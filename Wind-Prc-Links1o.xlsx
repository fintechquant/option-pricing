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704" yWindow="468" windowWidth="28008" windowHeight="13488" tabRatio="706"/>
  </bookViews>
  <sheets>
    <sheet name="Main" sheetId="1" r:id="rId1"/>
    <sheet name="SWHY" sheetId="6" r:id="rId2"/>
    <sheet name="Size" sheetId="16" r:id="rId3"/>
    <sheet name="Option" sheetId="17" r:id="rId4"/>
  </sheets>
  <externalReferences>
    <externalReference r:id="rId5"/>
  </externalReferences>
  <definedNames>
    <definedName name="_xlnm._FilterDatabase" localSheetId="0" hidden="1">Main!$A$1:$P$40</definedName>
    <definedName name="_xlnm._FilterDatabase" localSheetId="3" hidden="1">Option!$A$8:$N$340</definedName>
  </definedNames>
  <calcPr calcId="145621"/>
</workbook>
</file>

<file path=xl/calcChain.xml><?xml version="1.0" encoding="utf-8"?>
<calcChain xmlns="http://schemas.openxmlformats.org/spreadsheetml/2006/main">
  <c r="Z27" i="1" l="1"/>
  <c r="L6" i="17"/>
  <c r="H6" i="17"/>
  <c r="K6" i="17"/>
  <c r="M6" i="17"/>
  <c r="G6" i="17"/>
  <c r="J6" i="17"/>
  <c r="I6" i="17"/>
  <c r="D11" i="1"/>
  <c r="G42" i="1"/>
  <c r="D42" i="1"/>
  <c r="B6" i="17"/>
  <c r="B42" i="1"/>
  <c r="F42" i="1"/>
  <c r="I42" i="1" l="1"/>
  <c r="B2" i="17"/>
  <c r="F11" i="1"/>
  <c r="R9" i="17" l="1"/>
  <c r="R10" i="17" s="1"/>
  <c r="R11" i="17" l="1"/>
  <c r="R8" i="17"/>
  <c r="C6" i="17"/>
  <c r="B4" i="17"/>
  <c r="Z36" i="1"/>
  <c r="A36" i="1" s="1"/>
  <c r="L36" i="1" s="1"/>
  <c r="M36" i="1"/>
  <c r="K36" i="1"/>
  <c r="Z35" i="1"/>
  <c r="A35" i="1" s="1"/>
  <c r="L35" i="1" s="1"/>
  <c r="M35" i="1"/>
  <c r="K35" i="1"/>
  <c r="AI34" i="1"/>
  <c r="Z34" i="1"/>
  <c r="A34" i="1" s="1"/>
  <c r="L34" i="1" s="1"/>
  <c r="M34" i="1"/>
  <c r="K34" i="1"/>
  <c r="AI33" i="1"/>
  <c r="Z33" i="1"/>
  <c r="A33" i="1" s="1"/>
  <c r="L33" i="1" s="1"/>
  <c r="M33" i="1"/>
  <c r="K33" i="1"/>
  <c r="M32" i="1"/>
  <c r="L32" i="1"/>
  <c r="K32" i="1"/>
  <c r="M31" i="1"/>
  <c r="K31" i="1"/>
  <c r="A31" i="1"/>
  <c r="L31" i="1" s="1"/>
  <c r="M30" i="1"/>
  <c r="K30" i="1"/>
  <c r="A30" i="1"/>
  <c r="L30" i="1" s="1"/>
  <c r="AI29" i="1"/>
  <c r="M29" i="1"/>
  <c r="K29" i="1"/>
  <c r="A29" i="1"/>
  <c r="L29" i="1" s="1"/>
  <c r="AI28" i="1"/>
  <c r="M28" i="1"/>
  <c r="K28" i="1"/>
  <c r="A28" i="1"/>
  <c r="L28" i="1" s="1"/>
  <c r="Z32" i="1"/>
  <c r="M27" i="1"/>
  <c r="L27" i="1"/>
  <c r="K27" i="1"/>
  <c r="Z26" i="1"/>
  <c r="A26" i="1" s="1"/>
  <c r="L26" i="1" s="1"/>
  <c r="M26" i="1"/>
  <c r="K26" i="1"/>
  <c r="Z25" i="1"/>
  <c r="A25" i="1" s="1"/>
  <c r="L25" i="1" s="1"/>
  <c r="M25" i="1"/>
  <c r="K25" i="1"/>
  <c r="AI24" i="1"/>
  <c r="Z24" i="1"/>
  <c r="A24" i="1" s="1"/>
  <c r="L24" i="1" s="1"/>
  <c r="M24" i="1"/>
  <c r="K24" i="1"/>
  <c r="Z23" i="1"/>
  <c r="A23" i="1" s="1"/>
  <c r="L23" i="1" s="1"/>
  <c r="M23" i="1"/>
  <c r="K23" i="1"/>
  <c r="M22" i="1"/>
  <c r="L22" i="1"/>
  <c r="K22" i="1"/>
  <c r="AJ19" i="1"/>
  <c r="L19" i="1"/>
  <c r="F19" i="1"/>
  <c r="I12" i="1"/>
  <c r="H12" i="1"/>
  <c r="G12" i="1"/>
  <c r="F12" i="1"/>
  <c r="D12" i="1"/>
  <c r="B12" i="1"/>
  <c r="A12" i="1"/>
  <c r="L11" i="1"/>
  <c r="B11" i="1"/>
  <c r="B10" i="1"/>
  <c r="H9" i="1"/>
  <c r="H8" i="1"/>
  <c r="H7" i="1"/>
  <c r="H6" i="1"/>
  <c r="H5" i="1"/>
  <c r="H4" i="1"/>
  <c r="G4" i="1"/>
  <c r="H3" i="1"/>
  <c r="G3" i="1"/>
  <c r="P2" i="1"/>
  <c r="H2" i="1"/>
  <c r="G2" i="1"/>
  <c r="B2" i="1"/>
  <c r="J9" i="17"/>
  <c r="I2" i="17"/>
  <c r="I9" i="17"/>
  <c r="K9" i="17"/>
  <c r="M9" i="17"/>
  <c r="G4" i="17"/>
  <c r="H9" i="17"/>
  <c r="L9" i="17"/>
  <c r="G2" i="17"/>
  <c r="G9" i="17"/>
  <c r="E4" i="6"/>
  <c r="D16" i="6"/>
  <c r="D2" i="6"/>
  <c r="E23" i="6"/>
  <c r="E19" i="6"/>
  <c r="D6" i="6"/>
  <c r="E20" i="6"/>
  <c r="E21" i="6"/>
  <c r="E8" i="6"/>
  <c r="E13" i="6"/>
  <c r="E6" i="6"/>
  <c r="E7" i="6"/>
  <c r="D14" i="6"/>
  <c r="D9" i="6"/>
  <c r="D5" i="6"/>
  <c r="E16" i="6"/>
  <c r="D22" i="6"/>
  <c r="D15" i="6"/>
  <c r="D23" i="6"/>
  <c r="D19" i="6"/>
  <c r="D21" i="6"/>
  <c r="E17" i="6"/>
  <c r="D27" i="6"/>
  <c r="E26" i="6"/>
  <c r="E15" i="6"/>
  <c r="D25" i="6"/>
  <c r="E18" i="6"/>
  <c r="D11" i="6"/>
  <c r="E11" i="6"/>
  <c r="E28" i="6"/>
  <c r="E14" i="6"/>
  <c r="D12" i="6"/>
  <c r="E12" i="6"/>
  <c r="D18" i="6"/>
  <c r="E29" i="6"/>
  <c r="E3" i="6"/>
  <c r="D17" i="6"/>
  <c r="D29" i="6"/>
  <c r="D7" i="6"/>
  <c r="D13" i="6"/>
  <c r="E22" i="6"/>
  <c r="D8" i="6"/>
  <c r="D3" i="6"/>
  <c r="E2" i="6"/>
  <c r="D26" i="6"/>
  <c r="E10" i="6"/>
  <c r="D28" i="6"/>
  <c r="E25" i="6"/>
  <c r="E27" i="6"/>
  <c r="D20" i="6"/>
  <c r="D24" i="6"/>
  <c r="D10" i="6"/>
  <c r="E5" i="6"/>
  <c r="E24" i="6"/>
  <c r="E9" i="6"/>
  <c r="D4" i="6"/>
  <c r="F2" i="1"/>
  <c r="F5" i="1"/>
  <c r="D37" i="1"/>
  <c r="G40" i="1"/>
  <c r="G39" i="1"/>
  <c r="G22" i="1"/>
  <c r="G8" i="1"/>
  <c r="D9" i="1"/>
  <c r="G41" i="1"/>
  <c r="D27" i="1"/>
  <c r="F8" i="1"/>
  <c r="G7" i="1"/>
  <c r="D40" i="1"/>
  <c r="D41" i="1"/>
  <c r="F6" i="1"/>
  <c r="G32" i="1"/>
  <c r="D6" i="1"/>
  <c r="D32" i="1"/>
  <c r="G5" i="1"/>
  <c r="F9" i="1"/>
  <c r="D8" i="1"/>
  <c r="F7" i="1"/>
  <c r="G27" i="1"/>
  <c r="D4" i="1"/>
  <c r="F3" i="1"/>
  <c r="G9" i="1"/>
  <c r="D38" i="1"/>
  <c r="G38" i="1"/>
  <c r="D3" i="1"/>
  <c r="D7" i="1"/>
  <c r="D5" i="1"/>
  <c r="G37" i="1"/>
  <c r="D2" i="1"/>
  <c r="D22" i="1"/>
  <c r="G6" i="1"/>
  <c r="D39" i="1"/>
  <c r="F4" i="1"/>
  <c r="B8" i="1"/>
  <c r="G11" i="1"/>
  <c r="B6" i="1"/>
  <c r="G3" i="17"/>
  <c r="B40" i="1"/>
  <c r="I3" i="17"/>
  <c r="B7" i="1"/>
  <c r="B5" i="1"/>
  <c r="B37" i="1"/>
  <c r="B3" i="17"/>
  <c r="B39" i="1"/>
  <c r="B9" i="1"/>
  <c r="B41" i="1"/>
  <c r="I4" i="17"/>
  <c r="B4" i="1"/>
  <c r="B3" i="1"/>
  <c r="O6" i="17" l="1"/>
  <c r="N6" i="17"/>
  <c r="P6" i="17"/>
  <c r="R12" i="17"/>
  <c r="Z22" i="1"/>
  <c r="N27" i="1"/>
  <c r="N32" i="1"/>
  <c r="H2" i="17"/>
  <c r="I8" i="1"/>
  <c r="I9" i="1"/>
  <c r="N22" i="1"/>
  <c r="L8" i="1"/>
  <c r="D6" i="17"/>
  <c r="G35" i="1"/>
  <c r="R3" i="1"/>
  <c r="D36" i="1"/>
  <c r="G23" i="1"/>
  <c r="R32" i="1"/>
  <c r="G24" i="1"/>
  <c r="G25" i="1"/>
  <c r="G26" i="1"/>
  <c r="D23" i="1"/>
  <c r="S22" i="1"/>
  <c r="S32" i="1"/>
  <c r="D24" i="1"/>
  <c r="S3" i="1"/>
  <c r="R4" i="1"/>
  <c r="D29" i="1"/>
  <c r="G31" i="1"/>
  <c r="D35" i="1"/>
  <c r="G29" i="1"/>
  <c r="F27" i="1"/>
  <c r="S27" i="1"/>
  <c r="D25" i="1"/>
  <c r="D26" i="1"/>
  <c r="F22" i="1"/>
  <c r="R22" i="1"/>
  <c r="D28" i="1"/>
  <c r="S4" i="1"/>
  <c r="G30" i="1"/>
  <c r="G36" i="1"/>
  <c r="R27" i="1"/>
  <c r="F32" i="1"/>
  <c r="D30" i="1"/>
  <c r="G33" i="1"/>
  <c r="D34" i="1"/>
  <c r="F38" i="1"/>
  <c r="G28" i="1"/>
  <c r="D33" i="1"/>
  <c r="G34" i="1"/>
  <c r="D31" i="1"/>
  <c r="F37" i="1"/>
  <c r="H3" i="17"/>
  <c r="F40" i="1"/>
  <c r="F41" i="1"/>
  <c r="H4" i="17"/>
  <c r="F39" i="1"/>
  <c r="N24" i="1" l="1"/>
  <c r="O24" i="1" s="1"/>
  <c r="P24" i="1" s="1"/>
  <c r="I40" i="1"/>
  <c r="N30" i="1"/>
  <c r="O30" i="1" s="1"/>
  <c r="P30" i="1" s="1"/>
  <c r="I39" i="1"/>
  <c r="J3" i="17"/>
  <c r="I38" i="1"/>
  <c r="N35" i="1"/>
  <c r="O35" i="1" s="1"/>
  <c r="P35" i="1" s="1"/>
  <c r="AA22" i="1"/>
  <c r="Q22" i="1"/>
  <c r="I22" i="1"/>
  <c r="N33" i="1"/>
  <c r="O33" i="1" s="1"/>
  <c r="P33" i="1" s="1"/>
  <c r="I37" i="1"/>
  <c r="I41" i="1"/>
  <c r="L9" i="1" s="1"/>
  <c r="N31" i="1"/>
  <c r="O31" i="1" s="1"/>
  <c r="P31" i="1" s="1"/>
  <c r="N26" i="1"/>
  <c r="O26" i="1" s="1"/>
  <c r="P26" i="1" s="1"/>
  <c r="S5" i="1"/>
  <c r="I32" i="1"/>
  <c r="AA32" i="1"/>
  <c r="Q32" i="1"/>
  <c r="I27" i="1"/>
  <c r="AA27" i="1"/>
  <c r="Q27" i="1"/>
  <c r="N34" i="1"/>
  <c r="R5" i="1"/>
  <c r="L5" i="1"/>
  <c r="N28" i="1"/>
  <c r="N36" i="1"/>
  <c r="O36" i="1" s="1"/>
  <c r="P36" i="1" s="1"/>
  <c r="L4" i="1"/>
  <c r="N23" i="1"/>
  <c r="O23" i="1" s="1"/>
  <c r="P23" i="1" s="1"/>
  <c r="N29" i="1"/>
  <c r="O29" i="1" s="1"/>
  <c r="P29" i="1" s="1"/>
  <c r="N25" i="1"/>
  <c r="O9" i="17"/>
  <c r="N9" i="17"/>
  <c r="E6" i="17"/>
  <c r="F6" i="17" s="1"/>
  <c r="P9" i="17"/>
  <c r="R13" i="17"/>
  <c r="J2" i="17"/>
  <c r="P8" i="1"/>
  <c r="N8" i="1"/>
  <c r="J4" i="17"/>
  <c r="F26" i="1"/>
  <c r="F36" i="1"/>
  <c r="F28" i="1"/>
  <c r="F30" i="1"/>
  <c r="F25" i="1"/>
  <c r="F24" i="1"/>
  <c r="F23" i="1"/>
  <c r="F29" i="1"/>
  <c r="F33" i="1"/>
  <c r="F35" i="1"/>
  <c r="F34" i="1"/>
  <c r="F31" i="1"/>
  <c r="I24" i="1" l="1"/>
  <c r="Q24" i="1"/>
  <c r="R24" i="1" s="1"/>
  <c r="S24" i="1" s="1"/>
  <c r="U24" i="1" s="1"/>
  <c r="AA24" i="1"/>
  <c r="AG24" i="1" s="1"/>
  <c r="AA35" i="1"/>
  <c r="I35" i="1"/>
  <c r="Q35" i="1"/>
  <c r="R35" i="1" s="1"/>
  <c r="S35" i="1" s="1"/>
  <c r="U35" i="1" s="1"/>
  <c r="N10" i="1"/>
  <c r="I30" i="1"/>
  <c r="AA30" i="1"/>
  <c r="Q30" i="1"/>
  <c r="R30" i="1" s="1"/>
  <c r="S30" i="1" s="1"/>
  <c r="U30" i="1" s="1"/>
  <c r="N11" i="1"/>
  <c r="I33" i="1"/>
  <c r="AA33" i="1"/>
  <c r="AD33" i="1" s="1"/>
  <c r="Q33" i="1"/>
  <c r="W33" i="1" s="1"/>
  <c r="X33" i="1" s="1"/>
  <c r="Y33" i="1" s="1"/>
  <c r="AD8" i="1"/>
  <c r="Q31" i="1"/>
  <c r="R31" i="1" s="1"/>
  <c r="S31" i="1" s="1"/>
  <c r="V31" i="1" s="1"/>
  <c r="I31" i="1"/>
  <c r="AA31" i="1"/>
  <c r="AD31" i="1" s="1"/>
  <c r="L12" i="1"/>
  <c r="N40" i="1"/>
  <c r="Q26" i="1"/>
  <c r="R26" i="1" s="1"/>
  <c r="S26" i="1" s="1"/>
  <c r="V26" i="1" s="1"/>
  <c r="AA26" i="1"/>
  <c r="I26" i="1"/>
  <c r="Q34" i="1"/>
  <c r="R34" i="1" s="1"/>
  <c r="S34" i="1" s="1"/>
  <c r="V34" i="1" s="1"/>
  <c r="AA34" i="1"/>
  <c r="AD34" i="1" s="1"/>
  <c r="I34" i="1"/>
  <c r="O25" i="1"/>
  <c r="P25" i="1" s="1"/>
  <c r="N12" i="1"/>
  <c r="P1" i="17"/>
  <c r="O34" i="1"/>
  <c r="P34" i="1" s="1"/>
  <c r="N9" i="1"/>
  <c r="N39" i="1"/>
  <c r="O28" i="1"/>
  <c r="P28" i="1" s="1"/>
  <c r="N38" i="1"/>
  <c r="O38" i="1" s="1"/>
  <c r="Q29" i="1"/>
  <c r="AA29" i="1"/>
  <c r="I29" i="1"/>
  <c r="Q25" i="1"/>
  <c r="AA25" i="1"/>
  <c r="AD25" i="1" s="1"/>
  <c r="I25" i="1"/>
  <c r="Q36" i="1"/>
  <c r="AA36" i="1"/>
  <c r="I36" i="1"/>
  <c r="AA28" i="1"/>
  <c r="Q28" i="1"/>
  <c r="AM28" i="1"/>
  <c r="AD7" i="1"/>
  <c r="I28" i="1"/>
  <c r="AD6" i="1"/>
  <c r="AA23" i="1"/>
  <c r="Q23" i="1"/>
  <c r="N5" i="1"/>
  <c r="AM23" i="1"/>
  <c r="I23" i="1"/>
  <c r="AA11" i="17"/>
  <c r="X10" i="17"/>
  <c r="Y12" i="17"/>
  <c r="W10" i="17"/>
  <c r="W12" i="17"/>
  <c r="AA10" i="17"/>
  <c r="T12" i="17"/>
  <c r="Y11" i="17"/>
  <c r="AC12" i="17"/>
  <c r="AB10" i="17"/>
  <c r="V12" i="17"/>
  <c r="T11" i="17"/>
  <c r="U9" i="17"/>
  <c r="X12" i="17"/>
  <c r="V11" i="17"/>
  <c r="V9" i="17"/>
  <c r="Z12" i="17"/>
  <c r="S10" i="17"/>
  <c r="AB12" i="17"/>
  <c r="AD10" i="17"/>
  <c r="Z9" i="17"/>
  <c r="Z11" i="17"/>
  <c r="S12" i="17"/>
  <c r="AD11" i="17"/>
  <c r="U10" i="17"/>
  <c r="Y9" i="17"/>
  <c r="X11" i="17"/>
  <c r="AA12" i="17"/>
  <c r="S11" i="17"/>
  <c r="V10" i="17"/>
  <c r="AD12" i="17"/>
  <c r="U12" i="17"/>
  <c r="Z10" i="17"/>
  <c r="S9" i="17"/>
  <c r="U11" i="17"/>
  <c r="T9" i="17"/>
  <c r="T10" i="17"/>
  <c r="AC9" i="17"/>
  <c r="AB11" i="17"/>
  <c r="AC10" i="17"/>
  <c r="AD9" i="17"/>
  <c r="AC11" i="17"/>
  <c r="W11" i="17"/>
  <c r="Y10" i="17"/>
  <c r="AA9" i="17"/>
  <c r="W9" i="17"/>
  <c r="AB9" i="17"/>
  <c r="X9" i="17"/>
  <c r="R14" i="17"/>
  <c r="Y13" i="17"/>
  <c r="X13" i="17"/>
  <c r="AB13" i="17"/>
  <c r="W13" i="17"/>
  <c r="AD13" i="17"/>
  <c r="V13" i="17"/>
  <c r="AC13" i="17"/>
  <c r="U13" i="17"/>
  <c r="Z13" i="17"/>
  <c r="T13" i="17"/>
  <c r="S13" i="17"/>
  <c r="AA13" i="17"/>
  <c r="AD24" i="1" l="1"/>
  <c r="AJ24" i="1" s="1"/>
  <c r="W30" i="1"/>
  <c r="X30" i="1" s="1"/>
  <c r="Y30" i="1" s="1"/>
  <c r="T26" i="1"/>
  <c r="W35" i="1"/>
  <c r="X35" i="1" s="1"/>
  <c r="Y35" i="1" s="1"/>
  <c r="AG33" i="1"/>
  <c r="AJ33" i="1" s="1"/>
  <c r="R33" i="1"/>
  <c r="S33" i="1" s="1"/>
  <c r="V33" i="1" s="1"/>
  <c r="U26" i="1"/>
  <c r="W34" i="1"/>
  <c r="X34" i="1" s="1"/>
  <c r="Y34" i="1" s="1"/>
  <c r="W26" i="1"/>
  <c r="X26" i="1" s="1"/>
  <c r="Y26" i="1" s="1"/>
  <c r="AG34" i="1"/>
  <c r="AJ34" i="1" s="1"/>
  <c r="U34" i="1"/>
  <c r="U31" i="1"/>
  <c r="T31" i="1"/>
  <c r="V30" i="1"/>
  <c r="T35" i="1"/>
  <c r="V35" i="1"/>
  <c r="T24" i="1"/>
  <c r="T34" i="1"/>
  <c r="V24" i="1"/>
  <c r="Q39" i="1"/>
  <c r="T30" i="1"/>
  <c r="W31" i="1"/>
  <c r="X31" i="1" s="1"/>
  <c r="Y31" i="1" s="1"/>
  <c r="Q38" i="1"/>
  <c r="Q40" i="1"/>
  <c r="W24" i="1"/>
  <c r="X24" i="1" s="1"/>
  <c r="Y24" i="1" s="1"/>
  <c r="AD23" i="1"/>
  <c r="AG23" i="1"/>
  <c r="W25" i="1"/>
  <c r="X25" i="1" s="1"/>
  <c r="Y25" i="1" s="1"/>
  <c r="R25" i="1"/>
  <c r="S25" i="1" s="1"/>
  <c r="R28" i="1"/>
  <c r="S28" i="1" s="1"/>
  <c r="W28" i="1"/>
  <c r="X28" i="1" s="1"/>
  <c r="Y28" i="1" s="1"/>
  <c r="W36" i="1"/>
  <c r="X36" i="1" s="1"/>
  <c r="Y36" i="1" s="1"/>
  <c r="R36" i="1"/>
  <c r="S36" i="1" s="1"/>
  <c r="AG28" i="1"/>
  <c r="AD28" i="1"/>
  <c r="AD29" i="1"/>
  <c r="AG29" i="1"/>
  <c r="W23" i="1"/>
  <c r="X23" i="1" s="1"/>
  <c r="Y23" i="1" s="1"/>
  <c r="R23" i="1"/>
  <c r="S23" i="1" s="1"/>
  <c r="W29" i="1"/>
  <c r="X29" i="1" s="1"/>
  <c r="Y29" i="1" s="1"/>
  <c r="R29" i="1"/>
  <c r="S29" i="1" s="1"/>
  <c r="R15" i="17"/>
  <c r="AC14" i="17"/>
  <c r="U14" i="17"/>
  <c r="AB14" i="17"/>
  <c r="T14" i="17"/>
  <c r="AA14" i="17"/>
  <c r="S14" i="17"/>
  <c r="Z14" i="17"/>
  <c r="Y14" i="17"/>
  <c r="X14" i="17"/>
  <c r="AD14" i="17"/>
  <c r="V14" i="17"/>
  <c r="W14" i="17"/>
  <c r="T33" i="1" l="1"/>
  <c r="U33" i="1"/>
  <c r="AJ28" i="1"/>
  <c r="AG21" i="1"/>
  <c r="AH23" i="1" s="1"/>
  <c r="T29" i="1"/>
  <c r="V29" i="1"/>
  <c r="U29" i="1"/>
  <c r="T36" i="1"/>
  <c r="V36" i="1"/>
  <c r="U36" i="1"/>
  <c r="V25" i="1"/>
  <c r="T25" i="1"/>
  <c r="U25" i="1"/>
  <c r="V23" i="1"/>
  <c r="U23" i="1"/>
  <c r="T23" i="1"/>
  <c r="U28" i="1"/>
  <c r="T28" i="1"/>
  <c r="V28" i="1"/>
  <c r="AJ29" i="1"/>
  <c r="AJ23" i="1"/>
  <c r="AD21" i="1"/>
  <c r="R16" i="17"/>
  <c r="Y15" i="17"/>
  <c r="T15" i="17"/>
  <c r="X15" i="17"/>
  <c r="W15" i="17"/>
  <c r="AD15" i="17"/>
  <c r="V15" i="17"/>
  <c r="AC15" i="17"/>
  <c r="U15" i="17"/>
  <c r="Z15" i="17"/>
  <c r="AB15" i="17"/>
  <c r="AA15" i="17"/>
  <c r="S15" i="17"/>
  <c r="AH29" i="1" l="1"/>
  <c r="AH33" i="1"/>
  <c r="AH24" i="1"/>
  <c r="AH34" i="1"/>
  <c r="AH28" i="1"/>
  <c r="AE29" i="1"/>
  <c r="AE33" i="1"/>
  <c r="AE24" i="1"/>
  <c r="AE28" i="1"/>
  <c r="AJ21" i="1"/>
  <c r="AE23" i="1"/>
  <c r="AE34" i="1"/>
  <c r="R17" i="17"/>
  <c r="AC16" i="17"/>
  <c r="U16" i="17"/>
  <c r="AB16" i="17"/>
  <c r="T16" i="17"/>
  <c r="AA16" i="17"/>
  <c r="S16" i="17"/>
  <c r="Z16" i="17"/>
  <c r="Y16" i="17"/>
  <c r="X16" i="17"/>
  <c r="AD16" i="17"/>
  <c r="V16" i="17"/>
  <c r="W16" i="17"/>
  <c r="AK34" i="1" l="1"/>
  <c r="AK23" i="1"/>
  <c r="AK28" i="1"/>
  <c r="AK33" i="1"/>
  <c r="AK24" i="1"/>
  <c r="AK29" i="1"/>
  <c r="R18" i="17"/>
  <c r="Y17" i="17"/>
  <c r="X17" i="17"/>
  <c r="AB17" i="17"/>
  <c r="W17" i="17"/>
  <c r="AD17" i="17"/>
  <c r="V17" i="17"/>
  <c r="AC17" i="17"/>
  <c r="U17" i="17"/>
  <c r="Z17" i="17"/>
  <c r="T17" i="17"/>
  <c r="AA17" i="17"/>
  <c r="S17" i="17"/>
  <c r="R19" i="17" l="1"/>
  <c r="AC18" i="17"/>
  <c r="U18" i="17"/>
  <c r="AB18" i="17"/>
  <c r="T18" i="17"/>
  <c r="AA18" i="17"/>
  <c r="S18" i="17"/>
  <c r="Z18" i="17"/>
  <c r="Y18" i="17"/>
  <c r="X18" i="17"/>
  <c r="AD18" i="17"/>
  <c r="V18" i="17"/>
  <c r="W18" i="17"/>
  <c r="R20" i="17" l="1"/>
  <c r="AA19" i="17"/>
  <c r="AD19" i="17"/>
  <c r="Z19" i="17"/>
  <c r="Y19" i="17"/>
  <c r="V19" i="17"/>
  <c r="U19" i="17"/>
  <c r="AB19" i="17"/>
  <c r="T19" i="17"/>
  <c r="AC19" i="17"/>
  <c r="S19" i="17"/>
  <c r="X19" i="17"/>
  <c r="W19" i="17"/>
  <c r="R21" i="17" l="1"/>
  <c r="W20" i="17"/>
  <c r="AD20" i="17"/>
  <c r="V20" i="17"/>
  <c r="AC20" i="17"/>
  <c r="U20" i="17"/>
  <c r="AB20" i="17"/>
  <c r="T20" i="17"/>
  <c r="Z20" i="17"/>
  <c r="AA20" i="17"/>
  <c r="S20" i="17"/>
  <c r="X20" i="17"/>
  <c r="Y20" i="17"/>
  <c r="R22" i="17" l="1"/>
  <c r="AA21" i="17"/>
  <c r="S21" i="17"/>
  <c r="Z21" i="17"/>
  <c r="Y21" i="17"/>
  <c r="X21" i="17"/>
  <c r="W21" i="17"/>
  <c r="AD21" i="17"/>
  <c r="AB21" i="17"/>
  <c r="T21" i="17"/>
  <c r="V21" i="17"/>
  <c r="AC21" i="17"/>
  <c r="U21" i="17"/>
  <c r="R23" i="17" l="1"/>
  <c r="W22" i="17"/>
  <c r="AD22" i="17"/>
  <c r="V22" i="17"/>
  <c r="Z22" i="17"/>
  <c r="AC22" i="17"/>
  <c r="U22" i="17"/>
  <c r="AB22" i="17"/>
  <c r="T22" i="17"/>
  <c r="AA22" i="17"/>
  <c r="S22" i="17"/>
  <c r="X22" i="17"/>
  <c r="Y22" i="17"/>
  <c r="R24" i="17" l="1"/>
  <c r="AA23" i="17"/>
  <c r="S23" i="17"/>
  <c r="Z23" i="17"/>
  <c r="Y23" i="17"/>
  <c r="X23" i="17"/>
  <c r="W23" i="17"/>
  <c r="AD23" i="17"/>
  <c r="AB23" i="17"/>
  <c r="T23" i="17"/>
  <c r="V23" i="17"/>
  <c r="AC23" i="17"/>
  <c r="U23" i="17"/>
  <c r="R25" i="17" l="1"/>
  <c r="W24" i="17"/>
  <c r="Z24" i="17"/>
  <c r="AD24" i="17"/>
  <c r="V24" i="17"/>
  <c r="AC24" i="17"/>
  <c r="U24" i="17"/>
  <c r="AB24" i="17"/>
  <c r="T24" i="17"/>
  <c r="AA24" i="17"/>
  <c r="S24" i="17"/>
  <c r="X24" i="17"/>
  <c r="Y24" i="17"/>
  <c r="R26" i="17" l="1"/>
  <c r="AA25" i="17"/>
  <c r="S25" i="17"/>
  <c r="Z25" i="17"/>
  <c r="AC25" i="17"/>
  <c r="Y25" i="17"/>
  <c r="X25" i="17"/>
  <c r="AD25" i="17"/>
  <c r="W25" i="17"/>
  <c r="AB25" i="17"/>
  <c r="T25" i="17"/>
  <c r="V25" i="17"/>
  <c r="U25" i="17"/>
  <c r="R27" i="17" l="1"/>
  <c r="W26" i="17"/>
  <c r="AD26" i="17"/>
  <c r="V26" i="17"/>
  <c r="AC26" i="17"/>
  <c r="U26" i="17"/>
  <c r="AB26" i="17"/>
  <c r="T26" i="17"/>
  <c r="AA26" i="17"/>
  <c r="S26" i="17"/>
  <c r="Z26" i="17"/>
  <c r="Y26" i="17"/>
  <c r="X26" i="17"/>
  <c r="R28" i="17" l="1"/>
  <c r="AB27" i="17"/>
  <c r="AA27" i="17"/>
  <c r="S27" i="17"/>
  <c r="Z27" i="17"/>
  <c r="Y27" i="17"/>
  <c r="X27" i="17"/>
  <c r="W27" i="17"/>
  <c r="AD27" i="17"/>
  <c r="AC27" i="17"/>
  <c r="T27" i="17"/>
  <c r="V27" i="17"/>
  <c r="U27" i="17"/>
  <c r="R29" i="17" l="1"/>
  <c r="X28" i="17"/>
  <c r="AB28" i="17"/>
  <c r="T28" i="17"/>
  <c r="Z28" i="17"/>
  <c r="Y28" i="17"/>
  <c r="S28" i="17"/>
  <c r="W28" i="17"/>
  <c r="V28" i="17"/>
  <c r="U28" i="17"/>
  <c r="AD28" i="17"/>
  <c r="AA28" i="17"/>
  <c r="AC28" i="17"/>
  <c r="R30" i="17" l="1"/>
  <c r="AB29" i="17"/>
  <c r="T29" i="17"/>
  <c r="Z29" i="17"/>
  <c r="Y29" i="17"/>
  <c r="X29" i="17"/>
  <c r="AA29" i="17"/>
  <c r="AD29" i="17"/>
  <c r="W29" i="17"/>
  <c r="V29" i="17"/>
  <c r="U29" i="17"/>
  <c r="S29" i="17"/>
  <c r="AC29" i="17"/>
  <c r="R31" i="17" l="1"/>
  <c r="X30" i="17"/>
  <c r="AD30" i="17"/>
  <c r="V30" i="17"/>
  <c r="AC30" i="17"/>
  <c r="U30" i="17"/>
  <c r="AB30" i="17"/>
  <c r="T30" i="17"/>
  <c r="AA30" i="17"/>
  <c r="Z30" i="17"/>
  <c r="Y30" i="17"/>
  <c r="W30" i="17"/>
  <c r="S30" i="17"/>
  <c r="R32" i="17" l="1"/>
  <c r="AB31" i="17"/>
  <c r="T31" i="17"/>
  <c r="Z31" i="17"/>
  <c r="Y31" i="17"/>
  <c r="X31" i="17"/>
  <c r="S31" i="17"/>
  <c r="W31" i="17"/>
  <c r="V31" i="17"/>
  <c r="AD31" i="17"/>
  <c r="AC31" i="17"/>
  <c r="AA31" i="17"/>
  <c r="U31" i="17"/>
  <c r="R33" i="17" l="1"/>
  <c r="X32" i="17"/>
  <c r="AD32" i="17"/>
  <c r="V32" i="17"/>
  <c r="AC32" i="17"/>
  <c r="U32" i="17"/>
  <c r="AB32" i="17"/>
  <c r="T32" i="17"/>
  <c r="W32" i="17"/>
  <c r="S32" i="17"/>
  <c r="Z32" i="17"/>
  <c r="AA32" i="17"/>
  <c r="Y32" i="17"/>
  <c r="R34" i="17" l="1"/>
  <c r="AB33" i="17"/>
  <c r="T33" i="17"/>
  <c r="Z33" i="17"/>
  <c r="Y33" i="17"/>
  <c r="X33" i="17"/>
  <c r="AA33" i="17"/>
  <c r="W33" i="17"/>
  <c r="V33" i="17"/>
  <c r="U33" i="17"/>
  <c r="S33" i="17"/>
  <c r="AD33" i="17"/>
  <c r="AC33" i="17"/>
  <c r="R35" i="17" l="1"/>
  <c r="Z34" i="17"/>
  <c r="Y34" i="17"/>
  <c r="X34" i="17"/>
  <c r="W34" i="17"/>
  <c r="AD34" i="17"/>
  <c r="T34" i="17"/>
  <c r="AC34" i="17"/>
  <c r="AB34" i="17"/>
  <c r="AA34" i="17"/>
  <c r="S34" i="17"/>
  <c r="V34" i="17"/>
  <c r="U34" i="17"/>
  <c r="R36" i="17" l="1"/>
  <c r="AD35" i="17"/>
  <c r="V35" i="17"/>
  <c r="AC35" i="17"/>
  <c r="U35" i="17"/>
  <c r="AB35" i="17"/>
  <c r="T35" i="17"/>
  <c r="AA35" i="17"/>
  <c r="S35" i="17"/>
  <c r="Z35" i="17"/>
  <c r="Y35" i="17"/>
  <c r="X35" i="17"/>
  <c r="W35" i="17"/>
  <c r="R37" i="17" l="1"/>
  <c r="Z36" i="17"/>
  <c r="Y36" i="17"/>
  <c r="X36" i="17"/>
  <c r="W36" i="17"/>
  <c r="AD36" i="17"/>
  <c r="V36" i="17"/>
  <c r="AC36" i="17"/>
  <c r="U36" i="17"/>
  <c r="AB36" i="17"/>
  <c r="AA36" i="17"/>
  <c r="S36" i="17"/>
  <c r="T36" i="17"/>
  <c r="R38" i="17" l="1"/>
  <c r="AD37" i="17"/>
  <c r="V37" i="17"/>
  <c r="AC37" i="17"/>
  <c r="U37" i="17"/>
  <c r="AB37" i="17"/>
  <c r="T37" i="17"/>
  <c r="AA37" i="17"/>
  <c r="S37" i="17"/>
  <c r="Z37" i="17"/>
  <c r="Y37" i="17"/>
  <c r="X37" i="17"/>
  <c r="W37" i="17"/>
  <c r="R39" i="17" l="1"/>
  <c r="Z38" i="17"/>
  <c r="Y38" i="17"/>
  <c r="X38" i="17"/>
  <c r="W38" i="17"/>
  <c r="AD38" i="17"/>
  <c r="V38" i="17"/>
  <c r="AC38" i="17"/>
  <c r="U38" i="17"/>
  <c r="T38" i="17"/>
  <c r="S38" i="17"/>
  <c r="AB38" i="17"/>
  <c r="AA38" i="17"/>
  <c r="R40" i="17" l="1"/>
  <c r="AD39" i="17"/>
  <c r="V39" i="17"/>
  <c r="AC39" i="17"/>
  <c r="U39" i="17"/>
  <c r="AB39" i="17"/>
  <c r="T39" i="17"/>
  <c r="AA39" i="17"/>
  <c r="S39" i="17"/>
  <c r="Z39" i="17"/>
  <c r="Y39" i="17"/>
  <c r="X39" i="17"/>
  <c r="W39" i="17"/>
  <c r="R41" i="17" l="1"/>
  <c r="Z40" i="17"/>
  <c r="Y40" i="17"/>
  <c r="X40" i="17"/>
  <c r="W40" i="17"/>
  <c r="AD40" i="17"/>
  <c r="V40" i="17"/>
  <c r="AC40" i="17"/>
  <c r="U40" i="17"/>
  <c r="AB40" i="17"/>
  <c r="AA40" i="17"/>
  <c r="T40" i="17"/>
  <c r="S40" i="17"/>
  <c r="R42" i="17" l="1"/>
  <c r="AD41" i="17"/>
  <c r="V41" i="17"/>
  <c r="AC41" i="17"/>
  <c r="U41" i="17"/>
  <c r="AB41" i="17"/>
  <c r="T41" i="17"/>
  <c r="AA41" i="17"/>
  <c r="S41" i="17"/>
  <c r="Z41" i="17"/>
  <c r="Y41" i="17"/>
  <c r="W41" i="17"/>
  <c r="X41" i="17"/>
  <c r="R43" i="17" l="1"/>
  <c r="Z42" i="17"/>
  <c r="Y42" i="17"/>
  <c r="X42" i="17"/>
  <c r="W42" i="17"/>
  <c r="AD42" i="17"/>
  <c r="V42" i="17"/>
  <c r="AC42" i="17"/>
  <c r="U42" i="17"/>
  <c r="AB42" i="17"/>
  <c r="AA42" i="17"/>
  <c r="T42" i="17"/>
  <c r="S42" i="17"/>
  <c r="R44" i="17" l="1"/>
  <c r="V43" i="17"/>
  <c r="U43" i="17"/>
  <c r="AD43" i="17"/>
  <c r="T43" i="17"/>
  <c r="AC43" i="17"/>
  <c r="S43" i="17"/>
  <c r="AB43" i="17"/>
  <c r="AA43" i="17"/>
  <c r="Z43" i="17"/>
  <c r="Y43" i="17"/>
  <c r="W43" i="17"/>
  <c r="X43" i="17"/>
  <c r="R45" i="17" l="1"/>
  <c r="AB44" i="17"/>
  <c r="T44" i="17"/>
  <c r="AA44" i="17"/>
  <c r="S44" i="17"/>
  <c r="Z44" i="17"/>
  <c r="Y44" i="17"/>
  <c r="X44" i="17"/>
  <c r="W44" i="17"/>
  <c r="V44" i="17"/>
  <c r="AD44" i="17"/>
  <c r="U44" i="17"/>
  <c r="AC44" i="17"/>
  <c r="R46" i="17" l="1"/>
  <c r="X45" i="17"/>
  <c r="W45" i="17"/>
  <c r="AD45" i="17"/>
  <c r="V45" i="17"/>
  <c r="AC45" i="17"/>
  <c r="U45" i="17"/>
  <c r="AB45" i="17"/>
  <c r="T45" i="17"/>
  <c r="AA45" i="17"/>
  <c r="S45" i="17"/>
  <c r="Z45" i="17"/>
  <c r="Y45" i="17"/>
  <c r="R47" i="17" l="1"/>
  <c r="AB46" i="17"/>
  <c r="T46" i="17"/>
  <c r="AA46" i="17"/>
  <c r="S46" i="17"/>
  <c r="Z46" i="17"/>
  <c r="Y46" i="17"/>
  <c r="X46" i="17"/>
  <c r="W46" i="17"/>
  <c r="V46" i="17"/>
  <c r="U46" i="17"/>
  <c r="AD46" i="17"/>
  <c r="AC46" i="17"/>
  <c r="R48" i="17" l="1"/>
  <c r="X47" i="17"/>
  <c r="W47" i="17"/>
  <c r="AD47" i="17"/>
  <c r="V47" i="17"/>
  <c r="AC47" i="17"/>
  <c r="U47" i="17"/>
  <c r="AB47" i="17"/>
  <c r="T47" i="17"/>
  <c r="AA47" i="17"/>
  <c r="S47" i="17"/>
  <c r="Z47" i="17"/>
  <c r="Y47" i="17"/>
  <c r="R49" i="17" l="1"/>
  <c r="AB48" i="17"/>
  <c r="T48" i="17"/>
  <c r="AA48" i="17"/>
  <c r="S48" i="17"/>
  <c r="Z48" i="17"/>
  <c r="Y48" i="17"/>
  <c r="X48" i="17"/>
  <c r="W48" i="17"/>
  <c r="AD48" i="17"/>
  <c r="AC48" i="17"/>
  <c r="V48" i="17"/>
  <c r="U48" i="17"/>
  <c r="R50" i="17" l="1"/>
  <c r="X49" i="17"/>
  <c r="W49" i="17"/>
  <c r="AD49" i="17"/>
  <c r="V49" i="17"/>
  <c r="AC49" i="17"/>
  <c r="U49" i="17"/>
  <c r="AB49" i="17"/>
  <c r="T49" i="17"/>
  <c r="AA49" i="17"/>
  <c r="S49" i="17"/>
  <c r="Y49" i="17"/>
  <c r="Z49" i="17"/>
  <c r="R51" i="17" l="1"/>
  <c r="AB50" i="17"/>
  <c r="T50" i="17"/>
  <c r="AA50" i="17"/>
  <c r="S50" i="17"/>
  <c r="Z50" i="17"/>
  <c r="Y50" i="17"/>
  <c r="X50" i="17"/>
  <c r="W50" i="17"/>
  <c r="AD50" i="17"/>
  <c r="AC50" i="17"/>
  <c r="V50" i="17"/>
  <c r="U50" i="17"/>
  <c r="R52" i="17" l="1"/>
  <c r="X51" i="17"/>
  <c r="W51" i="17"/>
  <c r="AD51" i="17"/>
  <c r="V51" i="17"/>
  <c r="AC51" i="17"/>
  <c r="U51" i="17"/>
  <c r="AB51" i="17"/>
  <c r="T51" i="17"/>
  <c r="AA51" i="17"/>
  <c r="S51" i="17"/>
  <c r="Z51" i="17"/>
  <c r="Y51" i="17"/>
  <c r="R53" i="17" l="1"/>
  <c r="AB52" i="17"/>
  <c r="T52" i="17"/>
  <c r="AA52" i="17"/>
  <c r="S52" i="17"/>
  <c r="Z52" i="17"/>
  <c r="Y52" i="17"/>
  <c r="X52" i="17"/>
  <c r="W52" i="17"/>
  <c r="AD52" i="17"/>
  <c r="AC52" i="17"/>
  <c r="V52" i="17"/>
  <c r="U52" i="17"/>
  <c r="R54" i="17" l="1"/>
  <c r="X53" i="17"/>
  <c r="W53" i="17"/>
  <c r="AD53" i="17"/>
  <c r="V53" i="17"/>
  <c r="AC53" i="17"/>
  <c r="U53" i="17"/>
  <c r="AB53" i="17"/>
  <c r="T53" i="17"/>
  <c r="AA53" i="17"/>
  <c r="S53" i="17"/>
  <c r="Z53" i="17"/>
  <c r="Y53" i="17"/>
  <c r="R55" i="17" l="1"/>
  <c r="AB54" i="17"/>
  <c r="T54" i="17"/>
  <c r="AA54" i="17"/>
  <c r="S54" i="17"/>
  <c r="Z54" i="17"/>
  <c r="Y54" i="17"/>
  <c r="X54" i="17"/>
  <c r="W54" i="17"/>
  <c r="V54" i="17"/>
  <c r="U54" i="17"/>
  <c r="AC54" i="17"/>
  <c r="AD54" i="17"/>
  <c r="R56" i="17" l="1"/>
  <c r="X55" i="17"/>
  <c r="W55" i="17"/>
  <c r="AD55" i="17"/>
  <c r="V55" i="17"/>
  <c r="AC55" i="17"/>
  <c r="U55" i="17"/>
  <c r="AB55" i="17"/>
  <c r="T55" i="17"/>
  <c r="AA55" i="17"/>
  <c r="S55" i="17"/>
  <c r="Y55" i="17"/>
  <c r="Z55" i="17"/>
  <c r="R57" i="17" l="1"/>
  <c r="AB56" i="17"/>
  <c r="T56" i="17"/>
  <c r="AA56" i="17"/>
  <c r="S56" i="17"/>
  <c r="Z56" i="17"/>
  <c r="Y56" i="17"/>
  <c r="X56" i="17"/>
  <c r="W56" i="17"/>
  <c r="AD56" i="17"/>
  <c r="AC56" i="17"/>
  <c r="V56" i="17"/>
  <c r="U56" i="17"/>
  <c r="R58" i="17" l="1"/>
  <c r="X57" i="17"/>
  <c r="W57" i="17"/>
  <c r="AD57" i="17"/>
  <c r="V57" i="17"/>
  <c r="AC57" i="17"/>
  <c r="U57" i="17"/>
  <c r="AB57" i="17"/>
  <c r="T57" i="17"/>
  <c r="AA57" i="17"/>
  <c r="S57" i="17"/>
  <c r="Z57" i="17"/>
  <c r="Y57" i="17"/>
  <c r="R59" i="17" l="1"/>
  <c r="AB58" i="17"/>
  <c r="T58" i="17"/>
  <c r="AA58" i="17"/>
  <c r="S58" i="17"/>
  <c r="Z58" i="17"/>
  <c r="Y58" i="17"/>
  <c r="X58" i="17"/>
  <c r="W58" i="17"/>
  <c r="AD58" i="17"/>
  <c r="AC58" i="17"/>
  <c r="V58" i="17"/>
  <c r="U58" i="17"/>
  <c r="R60" i="17" l="1"/>
  <c r="Z59" i="17"/>
  <c r="Y59" i="17"/>
  <c r="X59" i="17"/>
  <c r="W59" i="17"/>
  <c r="AD59" i="17"/>
  <c r="T59" i="17"/>
  <c r="AC59" i="17"/>
  <c r="S59" i="17"/>
  <c r="AB59" i="17"/>
  <c r="AA59" i="17"/>
  <c r="U59" i="17"/>
  <c r="V59" i="17"/>
  <c r="R61" i="17" l="1"/>
  <c r="AD60" i="17"/>
  <c r="V60" i="17"/>
  <c r="AC60" i="17"/>
  <c r="U60" i="17"/>
  <c r="AB60" i="17"/>
  <c r="T60" i="17"/>
  <c r="AA60" i="17"/>
  <c r="S60" i="17"/>
  <c r="Z60" i="17"/>
  <c r="Y60" i="17"/>
  <c r="W60" i="17"/>
  <c r="X60" i="17"/>
  <c r="R62" i="17" l="1"/>
  <c r="Z61" i="17"/>
  <c r="Y61" i="17"/>
  <c r="X61" i="17"/>
  <c r="W61" i="17"/>
  <c r="AD61" i="17"/>
  <c r="V61" i="17"/>
  <c r="AC61" i="17"/>
  <c r="U61" i="17"/>
  <c r="AB61" i="17"/>
  <c r="AA61" i="17"/>
  <c r="T61" i="17"/>
  <c r="S61" i="17"/>
  <c r="R63" i="17" l="1"/>
  <c r="AD62" i="17"/>
  <c r="V62" i="17"/>
  <c r="AC62" i="17"/>
  <c r="U62" i="17"/>
  <c r="AB62" i="17"/>
  <c r="T62" i="17"/>
  <c r="AA62" i="17"/>
  <c r="S62" i="17"/>
  <c r="Z62" i="17"/>
  <c r="Y62" i="17"/>
  <c r="X62" i="17"/>
  <c r="W62" i="17"/>
  <c r="R64" i="17" l="1"/>
  <c r="Z63" i="17"/>
  <c r="Y63" i="17"/>
  <c r="X63" i="17"/>
  <c r="W63" i="17"/>
  <c r="AD63" i="17"/>
  <c r="V63" i="17"/>
  <c r="AC63" i="17"/>
  <c r="U63" i="17"/>
  <c r="AB63" i="17"/>
  <c r="AA63" i="17"/>
  <c r="S63" i="17"/>
  <c r="T63" i="17"/>
  <c r="R65" i="17" l="1"/>
  <c r="AD64" i="17"/>
  <c r="V64" i="17"/>
  <c r="AC64" i="17"/>
  <c r="U64" i="17"/>
  <c r="AB64" i="17"/>
  <c r="T64" i="17"/>
  <c r="AA64" i="17"/>
  <c r="S64" i="17"/>
  <c r="Z64" i="17"/>
  <c r="Y64" i="17"/>
  <c r="X64" i="17"/>
  <c r="W64" i="17"/>
  <c r="R66" i="17" l="1"/>
  <c r="Z65" i="17"/>
  <c r="Y65" i="17"/>
  <c r="X65" i="17"/>
  <c r="W65" i="17"/>
  <c r="AD65" i="17"/>
  <c r="V65" i="17"/>
  <c r="AC65" i="17"/>
  <c r="U65" i="17"/>
  <c r="T65" i="17"/>
  <c r="S65" i="17"/>
  <c r="AB65" i="17"/>
  <c r="AA65" i="17"/>
  <c r="R67" i="17" l="1"/>
  <c r="AD66" i="17"/>
  <c r="V66" i="17"/>
  <c r="AC66" i="17"/>
  <c r="U66" i="17"/>
  <c r="AB66" i="17"/>
  <c r="T66" i="17"/>
  <c r="AA66" i="17"/>
  <c r="S66" i="17"/>
  <c r="Z66" i="17"/>
  <c r="Y66" i="17"/>
  <c r="X66" i="17"/>
  <c r="W66" i="17"/>
  <c r="R68" i="17" l="1"/>
  <c r="Z67" i="17"/>
  <c r="Y67" i="17"/>
  <c r="X67" i="17"/>
  <c r="W67" i="17"/>
  <c r="AD67" i="17"/>
  <c r="V67" i="17"/>
  <c r="AC67" i="17"/>
  <c r="U67" i="17"/>
  <c r="AB67" i="17"/>
  <c r="AA67" i="17"/>
  <c r="T67" i="17"/>
  <c r="S67" i="17"/>
  <c r="R69" i="17" l="1"/>
  <c r="V68" i="17"/>
  <c r="U68" i="17"/>
  <c r="AD68" i="17"/>
  <c r="T68" i="17"/>
  <c r="AC68" i="17"/>
  <c r="S68" i="17"/>
  <c r="AB68" i="17"/>
  <c r="AA68" i="17"/>
  <c r="Z68" i="17"/>
  <c r="Y68" i="17"/>
  <c r="X68" i="17"/>
  <c r="W68" i="17"/>
  <c r="R70" i="17" l="1"/>
  <c r="AB69" i="17"/>
  <c r="T69" i="17"/>
  <c r="AA69" i="17"/>
  <c r="S69" i="17"/>
  <c r="Z69" i="17"/>
  <c r="Y69" i="17"/>
  <c r="X69" i="17"/>
  <c r="W69" i="17"/>
  <c r="U69" i="17"/>
  <c r="AD69" i="17"/>
  <c r="AC69" i="17"/>
  <c r="V69" i="17"/>
  <c r="R71" i="17" l="1"/>
  <c r="X70" i="17"/>
  <c r="W70" i="17"/>
  <c r="AD70" i="17"/>
  <c r="V70" i="17"/>
  <c r="AC70" i="17"/>
  <c r="U70" i="17"/>
  <c r="AB70" i="17"/>
  <c r="T70" i="17"/>
  <c r="AA70" i="17"/>
  <c r="S70" i="17"/>
  <c r="Z70" i="17"/>
  <c r="Y70" i="17"/>
  <c r="R72" i="17" l="1"/>
  <c r="AB71" i="17"/>
  <c r="T71" i="17"/>
  <c r="AA71" i="17"/>
  <c r="S71" i="17"/>
  <c r="Z71" i="17"/>
  <c r="Y71" i="17"/>
  <c r="X71" i="17"/>
  <c r="W71" i="17"/>
  <c r="AD71" i="17"/>
  <c r="AC71" i="17"/>
  <c r="U71" i="17"/>
  <c r="V71" i="17"/>
  <c r="R73" i="17" l="1"/>
  <c r="X72" i="17"/>
  <c r="W72" i="17"/>
  <c r="AD72" i="17"/>
  <c r="V72" i="17"/>
  <c r="AC72" i="17"/>
  <c r="U72" i="17"/>
  <c r="AB72" i="17"/>
  <c r="T72" i="17"/>
  <c r="AA72" i="17"/>
  <c r="S72" i="17"/>
  <c r="Z72" i="17"/>
  <c r="Y72" i="17"/>
  <c r="R74" i="17" l="1"/>
  <c r="AB73" i="17"/>
  <c r="AC73" i="17"/>
  <c r="T73" i="17"/>
  <c r="AA73" i="17"/>
  <c r="S73" i="17"/>
  <c r="Z73" i="17"/>
  <c r="Y73" i="17"/>
  <c r="X73" i="17"/>
  <c r="W73" i="17"/>
  <c r="V73" i="17"/>
  <c r="U73" i="17"/>
  <c r="AD73" i="17"/>
  <c r="R75" i="17" l="1"/>
  <c r="AA74" i="17"/>
  <c r="S74" i="17"/>
  <c r="X74" i="17"/>
  <c r="AC74" i="17"/>
  <c r="AB74" i="17"/>
  <c r="Z74" i="17"/>
  <c r="Y74" i="17"/>
  <c r="W74" i="17"/>
  <c r="V74" i="17"/>
  <c r="U74" i="17"/>
  <c r="AD74" i="17"/>
  <c r="T74" i="17"/>
  <c r="R76" i="17" l="1"/>
  <c r="W75" i="17"/>
  <c r="AC75" i="17"/>
  <c r="U75" i="17"/>
  <c r="AB75" i="17"/>
  <c r="T75" i="17"/>
  <c r="Y75" i="17"/>
  <c r="AD75" i="17"/>
  <c r="AA75" i="17"/>
  <c r="Z75" i="17"/>
  <c r="X75" i="17"/>
  <c r="V75" i="17"/>
  <c r="S75" i="17"/>
  <c r="R77" i="17" l="1"/>
  <c r="AA76" i="17"/>
  <c r="S76" i="17"/>
  <c r="Y76" i="17"/>
  <c r="X76" i="17"/>
  <c r="AC76" i="17"/>
  <c r="U76" i="17"/>
  <c r="T76" i="17"/>
  <c r="AD76" i="17"/>
  <c r="AB76" i="17"/>
  <c r="Z76" i="17"/>
  <c r="W76" i="17"/>
  <c r="V76" i="17"/>
  <c r="R78" i="17" l="1"/>
  <c r="W77" i="17"/>
  <c r="AC77" i="17"/>
  <c r="U77" i="17"/>
  <c r="AB77" i="17"/>
  <c r="T77" i="17"/>
  <c r="Y77" i="17"/>
  <c r="X77" i="17"/>
  <c r="V77" i="17"/>
  <c r="S77" i="17"/>
  <c r="AD77" i="17"/>
  <c r="AA77" i="17"/>
  <c r="Z77" i="17"/>
  <c r="R79" i="17" l="1"/>
  <c r="AA78" i="17"/>
  <c r="S78" i="17"/>
  <c r="Y78" i="17"/>
  <c r="X78" i="17"/>
  <c r="AC78" i="17"/>
  <c r="U78" i="17"/>
  <c r="AB78" i="17"/>
  <c r="Z78" i="17"/>
  <c r="W78" i="17"/>
  <c r="V78" i="17"/>
  <c r="T78" i="17"/>
  <c r="AD78" i="17"/>
  <c r="R80" i="17" l="1"/>
  <c r="W79" i="17"/>
  <c r="AC79" i="17"/>
  <c r="U79" i="17"/>
  <c r="AB79" i="17"/>
  <c r="T79" i="17"/>
  <c r="Y79" i="17"/>
  <c r="AD79" i="17"/>
  <c r="AA79" i="17"/>
  <c r="Z79" i="17"/>
  <c r="X79" i="17"/>
  <c r="V79" i="17"/>
  <c r="S79" i="17"/>
  <c r="R81" i="17" l="1"/>
  <c r="AA80" i="17"/>
  <c r="S80" i="17"/>
  <c r="Y80" i="17"/>
  <c r="X80" i="17"/>
  <c r="AC80" i="17"/>
  <c r="U80" i="17"/>
  <c r="T80" i="17"/>
  <c r="AD80" i="17"/>
  <c r="AB80" i="17"/>
  <c r="Z80" i="17"/>
  <c r="V80" i="17"/>
  <c r="W80" i="17"/>
  <c r="R82" i="17" l="1"/>
  <c r="W81" i="17"/>
  <c r="AC81" i="17"/>
  <c r="U81" i="17"/>
  <c r="AB81" i="17"/>
  <c r="T81" i="17"/>
  <c r="Y81" i="17"/>
  <c r="X81" i="17"/>
  <c r="V81" i="17"/>
  <c r="S81" i="17"/>
  <c r="AD81" i="17"/>
  <c r="AA81" i="17"/>
  <c r="Z81" i="17"/>
  <c r="R83" i="17" l="1"/>
  <c r="AA82" i="17"/>
  <c r="S82" i="17"/>
  <c r="Y82" i="17"/>
  <c r="X82" i="17"/>
  <c r="AC82" i="17"/>
  <c r="U82" i="17"/>
  <c r="AB82" i="17"/>
  <c r="Z82" i="17"/>
  <c r="W82" i="17"/>
  <c r="V82" i="17"/>
  <c r="T82" i="17"/>
  <c r="AD82" i="17"/>
  <c r="R84" i="17" l="1"/>
  <c r="W83" i="17"/>
  <c r="AC83" i="17"/>
  <c r="U83" i="17"/>
  <c r="AB83" i="17"/>
  <c r="T83" i="17"/>
  <c r="Y83" i="17"/>
  <c r="AD83" i="17"/>
  <c r="AA83" i="17"/>
  <c r="Z83" i="17"/>
  <c r="X83" i="17"/>
  <c r="V83" i="17"/>
  <c r="S83" i="17"/>
  <c r="R85" i="17" l="1"/>
  <c r="AC84" i="17"/>
  <c r="S84" i="17"/>
  <c r="AA84" i="17"/>
  <c r="Z84" i="17"/>
  <c r="W84" i="17"/>
  <c r="T84" i="17"/>
  <c r="AD84" i="17"/>
  <c r="AB84" i="17"/>
  <c r="X84" i="17"/>
  <c r="Y84" i="17"/>
  <c r="V84" i="17"/>
  <c r="U84" i="17"/>
  <c r="R86" i="17" l="1"/>
  <c r="Y85" i="17"/>
  <c r="W85" i="17"/>
  <c r="AD85" i="17"/>
  <c r="V85" i="17"/>
  <c r="AA85" i="17"/>
  <c r="S85" i="17"/>
  <c r="Z85" i="17"/>
  <c r="X85" i="17"/>
  <c r="U85" i="17"/>
  <c r="T85" i="17"/>
  <c r="AC85" i="17"/>
  <c r="AB85" i="17"/>
  <c r="R87" i="17" l="1"/>
  <c r="AC86" i="17"/>
  <c r="U86" i="17"/>
  <c r="AA86" i="17"/>
  <c r="S86" i="17"/>
  <c r="Z86" i="17"/>
  <c r="W86" i="17"/>
  <c r="AD86" i="17"/>
  <c r="AB86" i="17"/>
  <c r="Y86" i="17"/>
  <c r="X86" i="17"/>
  <c r="V86" i="17"/>
  <c r="T86" i="17"/>
  <c r="R88" i="17" l="1"/>
  <c r="Y87" i="17"/>
  <c r="W87" i="17"/>
  <c r="AD87" i="17"/>
  <c r="V87" i="17"/>
  <c r="AA87" i="17"/>
  <c r="S87" i="17"/>
  <c r="AC87" i="17"/>
  <c r="AB87" i="17"/>
  <c r="Z87" i="17"/>
  <c r="X87" i="17"/>
  <c r="U87" i="17"/>
  <c r="T87" i="17"/>
  <c r="R89" i="17" l="1"/>
  <c r="AC88" i="17"/>
  <c r="U88" i="17"/>
  <c r="AA88" i="17"/>
  <c r="S88" i="17"/>
  <c r="Z88" i="17"/>
  <c r="W88" i="17"/>
  <c r="V88" i="17"/>
  <c r="T88" i="17"/>
  <c r="AD88" i="17"/>
  <c r="AB88" i="17"/>
  <c r="Y88" i="17"/>
  <c r="X88" i="17"/>
  <c r="R90" i="17" l="1"/>
  <c r="Z89" i="17"/>
  <c r="Y89" i="17"/>
  <c r="W89" i="17"/>
  <c r="AD89" i="17"/>
  <c r="V89" i="17"/>
  <c r="AA89" i="17"/>
  <c r="S89" i="17"/>
  <c r="AB89" i="17"/>
  <c r="X89" i="17"/>
  <c r="U89" i="17"/>
  <c r="T89" i="17"/>
  <c r="AC89" i="17"/>
  <c r="R91" i="17" l="1"/>
  <c r="AD90" i="17"/>
  <c r="V90" i="17"/>
  <c r="AC90" i="17"/>
  <c r="U90" i="17"/>
  <c r="AA90" i="17"/>
  <c r="S90" i="17"/>
  <c r="Z90" i="17"/>
  <c r="W90" i="17"/>
  <c r="AB90" i="17"/>
  <c r="Y90" i="17"/>
  <c r="X90" i="17"/>
  <c r="T90" i="17"/>
  <c r="R92" i="17" l="1"/>
  <c r="Z91" i="17"/>
  <c r="Y91" i="17"/>
  <c r="W91" i="17"/>
  <c r="AD91" i="17"/>
  <c r="V91" i="17"/>
  <c r="AA91" i="17"/>
  <c r="S91" i="17"/>
  <c r="X91" i="17"/>
  <c r="U91" i="17"/>
  <c r="T91" i="17"/>
  <c r="AC91" i="17"/>
  <c r="AB91" i="17"/>
  <c r="R93" i="17" l="1"/>
  <c r="V92" i="17"/>
  <c r="U92" i="17"/>
  <c r="AC92" i="17"/>
  <c r="S92" i="17"/>
  <c r="AB92" i="17"/>
  <c r="Y92" i="17"/>
  <c r="AD92" i="17"/>
  <c r="AA92" i="17"/>
  <c r="Z92" i="17"/>
  <c r="T92" i="17"/>
  <c r="W92" i="17"/>
  <c r="X92" i="17"/>
  <c r="R94" i="17" l="1"/>
  <c r="AB93" i="17"/>
  <c r="T93" i="17"/>
  <c r="AA93" i="17"/>
  <c r="S93" i="17"/>
  <c r="Y93" i="17"/>
  <c r="X93" i="17"/>
  <c r="AC93" i="17"/>
  <c r="U93" i="17"/>
  <c r="W93" i="17"/>
  <c r="V93" i="17"/>
  <c r="AD93" i="17"/>
  <c r="Z93" i="17"/>
  <c r="R95" i="17" l="1"/>
  <c r="X94" i="17"/>
  <c r="W94" i="17"/>
  <c r="AD94" i="17"/>
  <c r="AC94" i="17"/>
  <c r="U94" i="17"/>
  <c r="AB94" i="17"/>
  <c r="T94" i="17"/>
  <c r="Y94" i="17"/>
  <c r="AA94" i="17"/>
  <c r="Z94" i="17"/>
  <c r="V94" i="17"/>
  <c r="S94" i="17"/>
  <c r="R96" i="17" l="1"/>
  <c r="AB95" i="17"/>
  <c r="T95" i="17"/>
  <c r="AA95" i="17"/>
  <c r="S95" i="17"/>
  <c r="Z95" i="17"/>
  <c r="Y95" i="17"/>
  <c r="X95" i="17"/>
  <c r="AC95" i="17"/>
  <c r="U95" i="17"/>
  <c r="W95" i="17"/>
  <c r="V95" i="17"/>
  <c r="AD95" i="17"/>
  <c r="R97" i="17" l="1"/>
  <c r="X96" i="17"/>
  <c r="W96" i="17"/>
  <c r="AD96" i="17"/>
  <c r="V96" i="17"/>
  <c r="AC96" i="17"/>
  <c r="U96" i="17"/>
  <c r="AB96" i="17"/>
  <c r="T96" i="17"/>
  <c r="Y96" i="17"/>
  <c r="AA96" i="17"/>
  <c r="Z96" i="17"/>
  <c r="S96" i="17"/>
  <c r="R98" i="17" l="1"/>
  <c r="AB97" i="17"/>
  <c r="T97" i="17"/>
  <c r="AA97" i="17"/>
  <c r="S97" i="17"/>
  <c r="Z97" i="17"/>
  <c r="Y97" i="17"/>
  <c r="X97" i="17"/>
  <c r="AC97" i="17"/>
  <c r="U97" i="17"/>
  <c r="AD97" i="17"/>
  <c r="W97" i="17"/>
  <c r="V97" i="17"/>
  <c r="R99" i="17" l="1"/>
  <c r="X98" i="17"/>
  <c r="W98" i="17"/>
  <c r="AD98" i="17"/>
  <c r="V98" i="17"/>
  <c r="AC98" i="17"/>
  <c r="U98" i="17"/>
  <c r="AB98" i="17"/>
  <c r="T98" i="17"/>
  <c r="Y98" i="17"/>
  <c r="S98" i="17"/>
  <c r="AA98" i="17"/>
  <c r="Z98" i="17"/>
  <c r="R100" i="17" l="1"/>
  <c r="AB99" i="17"/>
  <c r="T99" i="17"/>
  <c r="AA99" i="17"/>
  <c r="S99" i="17"/>
  <c r="Z99" i="17"/>
  <c r="Y99" i="17"/>
  <c r="X99" i="17"/>
  <c r="AC99" i="17"/>
  <c r="U99" i="17"/>
  <c r="AD99" i="17"/>
  <c r="W99" i="17"/>
  <c r="V99" i="17"/>
  <c r="R101" i="17" l="1"/>
  <c r="X100" i="17"/>
  <c r="W100" i="17"/>
  <c r="AD100" i="17"/>
  <c r="V100" i="17"/>
  <c r="AC100" i="17"/>
  <c r="U100" i="17"/>
  <c r="AB100" i="17"/>
  <c r="T100" i="17"/>
  <c r="Y100" i="17"/>
  <c r="AA100" i="17"/>
  <c r="Z100" i="17"/>
  <c r="S100" i="17"/>
  <c r="R102" i="17" l="1"/>
  <c r="AB101" i="17"/>
  <c r="T101" i="17"/>
  <c r="AA101" i="17"/>
  <c r="S101" i="17"/>
  <c r="Z101" i="17"/>
  <c r="Y101" i="17"/>
  <c r="X101" i="17"/>
  <c r="AC101" i="17"/>
  <c r="U101" i="17"/>
  <c r="AD101" i="17"/>
  <c r="W101" i="17"/>
  <c r="V101" i="17"/>
  <c r="R103" i="17" l="1"/>
  <c r="X102" i="17"/>
  <c r="W102" i="17"/>
  <c r="AD102" i="17"/>
  <c r="V102" i="17"/>
  <c r="AC102" i="17"/>
  <c r="U102" i="17"/>
  <c r="AB102" i="17"/>
  <c r="T102" i="17"/>
  <c r="Y102" i="17"/>
  <c r="AA102" i="17"/>
  <c r="Z102" i="17"/>
  <c r="S102" i="17"/>
  <c r="R104" i="17" l="1"/>
  <c r="AB103" i="17"/>
  <c r="T103" i="17"/>
  <c r="AA103" i="17"/>
  <c r="S103" i="17"/>
  <c r="Z103" i="17"/>
  <c r="Y103" i="17"/>
  <c r="X103" i="17"/>
  <c r="AC103" i="17"/>
  <c r="U103" i="17"/>
  <c r="W103" i="17"/>
  <c r="V103" i="17"/>
  <c r="AD103" i="17"/>
  <c r="R105" i="17" l="1"/>
  <c r="X104" i="17"/>
  <c r="W104" i="17"/>
  <c r="AD104" i="17"/>
  <c r="V104" i="17"/>
  <c r="AC104" i="17"/>
  <c r="U104" i="17"/>
  <c r="AB104" i="17"/>
  <c r="T104" i="17"/>
  <c r="Y104" i="17"/>
  <c r="AA104" i="17"/>
  <c r="Z104" i="17"/>
  <c r="S104" i="17"/>
  <c r="R106" i="17" l="1"/>
  <c r="AB105" i="17"/>
  <c r="T105" i="17"/>
  <c r="AA105" i="17"/>
  <c r="S105" i="17"/>
  <c r="Z105" i="17"/>
  <c r="Y105" i="17"/>
  <c r="X105" i="17"/>
  <c r="AC105" i="17"/>
  <c r="U105" i="17"/>
  <c r="AD105" i="17"/>
  <c r="W105" i="17"/>
  <c r="V105" i="17"/>
  <c r="R107" i="17" l="1"/>
  <c r="X106" i="17"/>
  <c r="W106" i="17"/>
  <c r="AD106" i="17"/>
  <c r="V106" i="17"/>
  <c r="AC106" i="17"/>
  <c r="U106" i="17"/>
  <c r="AB106" i="17"/>
  <c r="T106" i="17"/>
  <c r="Y106" i="17"/>
  <c r="S106" i="17"/>
  <c r="AA106" i="17"/>
  <c r="Z106" i="17"/>
  <c r="R108" i="17" l="1"/>
  <c r="AC107" i="17"/>
  <c r="AB107" i="17"/>
  <c r="T107" i="17"/>
  <c r="AA107" i="17"/>
  <c r="S107" i="17"/>
  <c r="Z107" i="17"/>
  <c r="Y107" i="17"/>
  <c r="X107" i="17"/>
  <c r="AD107" i="17"/>
  <c r="U107" i="17"/>
  <c r="W107" i="17"/>
  <c r="V107" i="17"/>
  <c r="R109" i="17" l="1"/>
  <c r="AB108" i="17"/>
  <c r="Y108" i="17"/>
  <c r="Z108" i="17"/>
  <c r="X108" i="17"/>
  <c r="W108" i="17"/>
  <c r="V108" i="17"/>
  <c r="U108" i="17"/>
  <c r="AA108" i="17"/>
  <c r="AD108" i="17"/>
  <c r="AC108" i="17"/>
  <c r="T108" i="17"/>
  <c r="S108" i="17"/>
  <c r="R110" i="17" l="1"/>
  <c r="Z109" i="17"/>
  <c r="W109" i="17"/>
  <c r="AA109" i="17"/>
  <c r="AB109" i="17"/>
  <c r="Y109" i="17"/>
  <c r="X109" i="17"/>
  <c r="T109" i="17"/>
  <c r="S109" i="17"/>
  <c r="AC109" i="17"/>
  <c r="AD109" i="17"/>
  <c r="V109" i="17"/>
  <c r="U109" i="17"/>
  <c r="R111" i="17" l="1"/>
  <c r="AD110" i="17"/>
  <c r="V110" i="17"/>
  <c r="AA110" i="17"/>
  <c r="S110" i="17"/>
  <c r="W110" i="17"/>
  <c r="AB110" i="17"/>
  <c r="Z110" i="17"/>
  <c r="Y110" i="17"/>
  <c r="X110" i="17"/>
  <c r="U110" i="17"/>
  <c r="AC110" i="17"/>
  <c r="T110" i="17"/>
  <c r="R112" i="17" l="1"/>
  <c r="Z111" i="17"/>
  <c r="W111" i="17"/>
  <c r="AA111" i="17"/>
  <c r="S111" i="17"/>
  <c r="AC111" i="17"/>
  <c r="AB111" i="17"/>
  <c r="Y111" i="17"/>
  <c r="X111" i="17"/>
  <c r="V111" i="17"/>
  <c r="AD111" i="17"/>
  <c r="U111" i="17"/>
  <c r="T111" i="17"/>
  <c r="R113" i="17" l="1"/>
  <c r="AD112" i="17"/>
  <c r="V112" i="17"/>
  <c r="AA112" i="17"/>
  <c r="S112" i="17"/>
  <c r="W112" i="17"/>
  <c r="AC112" i="17"/>
  <c r="AB112" i="17"/>
  <c r="Z112" i="17"/>
  <c r="Y112" i="17"/>
  <c r="X112" i="17"/>
  <c r="U112" i="17"/>
  <c r="T112" i="17"/>
  <c r="R114" i="17" l="1"/>
  <c r="Z113" i="17"/>
  <c r="W113" i="17"/>
  <c r="AA113" i="17"/>
  <c r="S113" i="17"/>
  <c r="AD113" i="17"/>
  <c r="AC113" i="17"/>
  <c r="AB113" i="17"/>
  <c r="Y113" i="17"/>
  <c r="X113" i="17"/>
  <c r="T113" i="17"/>
  <c r="V113" i="17"/>
  <c r="U113" i="17"/>
  <c r="R115" i="17" l="1"/>
  <c r="AD114" i="17"/>
  <c r="V114" i="17"/>
  <c r="AA114" i="17"/>
  <c r="S114" i="17"/>
  <c r="W114" i="17"/>
  <c r="AC114" i="17"/>
  <c r="AB114" i="17"/>
  <c r="Z114" i="17"/>
  <c r="Y114" i="17"/>
  <c r="T114" i="17"/>
  <c r="X114" i="17"/>
  <c r="U114" i="17"/>
  <c r="R116" i="17" l="1"/>
  <c r="Z115" i="17"/>
  <c r="W115" i="17"/>
  <c r="AA115" i="17"/>
  <c r="S115" i="17"/>
  <c r="T115" i="17"/>
  <c r="AD115" i="17"/>
  <c r="AC115" i="17"/>
  <c r="AB115" i="17"/>
  <c r="Y115" i="17"/>
  <c r="U115" i="17"/>
  <c r="X115" i="17"/>
  <c r="V115" i="17"/>
  <c r="R117" i="17" l="1"/>
  <c r="AD116" i="17"/>
  <c r="V116" i="17"/>
  <c r="AA116" i="17"/>
  <c r="S116" i="17"/>
  <c r="W116" i="17"/>
  <c r="T116" i="17"/>
  <c r="AC116" i="17"/>
  <c r="AB116" i="17"/>
  <c r="Z116" i="17"/>
  <c r="U116" i="17"/>
  <c r="Y116" i="17"/>
  <c r="X116" i="17"/>
  <c r="R118" i="17" l="1"/>
  <c r="AB117" i="17"/>
  <c r="Y117" i="17"/>
  <c r="AC117" i="17"/>
  <c r="S117" i="17"/>
  <c r="U117" i="17"/>
  <c r="T117" i="17"/>
  <c r="AD117" i="17"/>
  <c r="V117" i="17"/>
  <c r="AA117" i="17"/>
  <c r="Z117" i="17"/>
  <c r="W117" i="17"/>
  <c r="X117" i="17"/>
  <c r="R119" i="17" l="1"/>
  <c r="X118" i="17"/>
  <c r="AC118" i="17"/>
  <c r="U118" i="17"/>
  <c r="Y118" i="17"/>
  <c r="W118" i="17"/>
  <c r="V118" i="17"/>
  <c r="T118" i="17"/>
  <c r="S118" i="17"/>
  <c r="AD118" i="17"/>
  <c r="Z118" i="17"/>
  <c r="AB118" i="17"/>
  <c r="AA118" i="17"/>
  <c r="R120" i="17" l="1"/>
  <c r="AB119" i="17"/>
  <c r="T119" i="17"/>
  <c r="Y119" i="17"/>
  <c r="AC119" i="17"/>
  <c r="U119" i="17"/>
  <c r="X119" i="17"/>
  <c r="W119" i="17"/>
  <c r="V119" i="17"/>
  <c r="S119" i="17"/>
  <c r="Z119" i="17"/>
  <c r="AD119" i="17"/>
  <c r="AA119" i="17"/>
  <c r="R121" i="17" l="1"/>
  <c r="X120" i="17"/>
  <c r="AC120" i="17"/>
  <c r="U120" i="17"/>
  <c r="Y120" i="17"/>
  <c r="Z120" i="17"/>
  <c r="W120" i="17"/>
  <c r="V120" i="17"/>
  <c r="T120" i="17"/>
  <c r="S120" i="17"/>
  <c r="AA120" i="17"/>
  <c r="AD120" i="17"/>
  <c r="AB120" i="17"/>
  <c r="R122" i="17" l="1"/>
  <c r="AB121" i="17"/>
  <c r="T121" i="17"/>
  <c r="Y121" i="17"/>
  <c r="AC121" i="17"/>
  <c r="U121" i="17"/>
  <c r="Z121" i="17"/>
  <c r="X121" i="17"/>
  <c r="W121" i="17"/>
  <c r="V121" i="17"/>
  <c r="S121" i="17"/>
  <c r="AA121" i="17"/>
  <c r="AD121" i="17"/>
  <c r="R123" i="17" l="1"/>
  <c r="X122" i="17"/>
  <c r="AD122" i="17"/>
  <c r="V122" i="17"/>
  <c r="AC122" i="17"/>
  <c r="U122" i="17"/>
  <c r="Y122" i="17"/>
  <c r="AB122" i="17"/>
  <c r="AA122" i="17"/>
  <c r="Z122" i="17"/>
  <c r="W122" i="17"/>
  <c r="T122" i="17"/>
  <c r="S122" i="17"/>
  <c r="R124" i="17" l="1"/>
  <c r="AB123" i="17"/>
  <c r="T123" i="17"/>
  <c r="Z123" i="17"/>
  <c r="Y123" i="17"/>
  <c r="AC123" i="17"/>
  <c r="U123" i="17"/>
  <c r="AD123" i="17"/>
  <c r="AA123" i="17"/>
  <c r="X123" i="17"/>
  <c r="S123" i="17"/>
  <c r="W123" i="17"/>
  <c r="V123" i="17"/>
  <c r="R125" i="17" l="1"/>
  <c r="X124" i="17"/>
  <c r="AD124" i="17"/>
  <c r="V124" i="17"/>
  <c r="AC124" i="17"/>
  <c r="U124" i="17"/>
  <c r="Y124" i="17"/>
  <c r="T124" i="17"/>
  <c r="S124" i="17"/>
  <c r="AB124" i="17"/>
  <c r="W124" i="17"/>
  <c r="AA124" i="17"/>
  <c r="Z124" i="17"/>
  <c r="R126" i="17" l="1"/>
  <c r="AB125" i="17"/>
  <c r="T125" i="17"/>
  <c r="Z125" i="17"/>
  <c r="Y125" i="17"/>
  <c r="AC125" i="17"/>
  <c r="U125" i="17"/>
  <c r="X125" i="17"/>
  <c r="W125" i="17"/>
  <c r="V125" i="17"/>
  <c r="S125" i="17"/>
  <c r="AA125" i="17"/>
  <c r="AD125" i="17"/>
  <c r="R127" i="17" l="1"/>
  <c r="X126" i="17"/>
  <c r="AD126" i="17"/>
  <c r="V126" i="17"/>
  <c r="AC126" i="17"/>
  <c r="U126" i="17"/>
  <c r="Y126" i="17"/>
  <c r="AB126" i="17"/>
  <c r="AA126" i="17"/>
  <c r="Z126" i="17"/>
  <c r="W126" i="17"/>
  <c r="T126" i="17"/>
  <c r="S126" i="17"/>
  <c r="R128" i="17" l="1"/>
  <c r="AB127" i="17"/>
  <c r="T127" i="17"/>
  <c r="AA127" i="17"/>
  <c r="Z127" i="17"/>
  <c r="Y127" i="17"/>
  <c r="AC127" i="17"/>
  <c r="U127" i="17"/>
  <c r="AD127" i="17"/>
  <c r="X127" i="17"/>
  <c r="S127" i="17"/>
  <c r="W127" i="17"/>
  <c r="V127" i="17"/>
  <c r="R129" i="17" l="1"/>
  <c r="X128" i="17"/>
  <c r="W128" i="17"/>
  <c r="AD128" i="17"/>
  <c r="V128" i="17"/>
  <c r="AC128" i="17"/>
  <c r="U128" i="17"/>
  <c r="Y128" i="17"/>
  <c r="Z128" i="17"/>
  <c r="T128" i="17"/>
  <c r="S128" i="17"/>
  <c r="AA128" i="17"/>
  <c r="AB128" i="17"/>
  <c r="R130" i="17" l="1"/>
  <c r="AB129" i="17"/>
  <c r="T129" i="17"/>
  <c r="AA129" i="17"/>
  <c r="S129" i="17"/>
  <c r="Z129" i="17"/>
  <c r="Y129" i="17"/>
  <c r="AC129" i="17"/>
  <c r="U129" i="17"/>
  <c r="AD129" i="17"/>
  <c r="X129" i="17"/>
  <c r="W129" i="17"/>
  <c r="V129" i="17"/>
  <c r="R131" i="17" l="1"/>
  <c r="X130" i="17"/>
  <c r="W130" i="17"/>
  <c r="AD130" i="17"/>
  <c r="V130" i="17"/>
  <c r="AC130" i="17"/>
  <c r="U130" i="17"/>
  <c r="Y130" i="17"/>
  <c r="T130" i="17"/>
  <c r="S130" i="17"/>
  <c r="Z130" i="17"/>
  <c r="AB130" i="17"/>
  <c r="AA130" i="17"/>
  <c r="R132" i="17" l="1"/>
  <c r="AB131" i="17"/>
  <c r="T131" i="17"/>
  <c r="AA131" i="17"/>
  <c r="S131" i="17"/>
  <c r="Z131" i="17"/>
  <c r="Y131" i="17"/>
  <c r="AC131" i="17"/>
  <c r="U131" i="17"/>
  <c r="AD131" i="17"/>
  <c r="X131" i="17"/>
  <c r="W131" i="17"/>
  <c r="V131" i="17"/>
  <c r="R133" i="17" l="1"/>
  <c r="X132" i="17"/>
  <c r="W132" i="17"/>
  <c r="AD132" i="17"/>
  <c r="V132" i="17"/>
  <c r="AC132" i="17"/>
  <c r="U132" i="17"/>
  <c r="Y132" i="17"/>
  <c r="S132" i="17"/>
  <c r="AB132" i="17"/>
  <c r="T132" i="17"/>
  <c r="AA132" i="17"/>
  <c r="Z132" i="17"/>
  <c r="R134" i="17" l="1"/>
  <c r="AB133" i="17"/>
  <c r="T133" i="17"/>
  <c r="AA133" i="17"/>
  <c r="S133" i="17"/>
  <c r="Z133" i="17"/>
  <c r="Y133" i="17"/>
  <c r="AC133" i="17"/>
  <c r="U133" i="17"/>
  <c r="AD133" i="17"/>
  <c r="X133" i="17"/>
  <c r="W133" i="17"/>
  <c r="V133" i="17"/>
  <c r="R135" i="17" l="1"/>
  <c r="Z134" i="17"/>
  <c r="Y134" i="17"/>
  <c r="X134" i="17"/>
  <c r="W134" i="17"/>
  <c r="AA134" i="17"/>
  <c r="AD134" i="17"/>
  <c r="AC134" i="17"/>
  <c r="S134" i="17"/>
  <c r="AB134" i="17"/>
  <c r="T134" i="17"/>
  <c r="V134" i="17"/>
  <c r="U134" i="17"/>
  <c r="R136" i="17" l="1"/>
  <c r="AD135" i="17"/>
  <c r="V135" i="17"/>
  <c r="AC135" i="17"/>
  <c r="U135" i="17"/>
  <c r="AB135" i="17"/>
  <c r="T135" i="17"/>
  <c r="AA135" i="17"/>
  <c r="S135" i="17"/>
  <c r="W135" i="17"/>
  <c r="Z135" i="17"/>
  <c r="Y135" i="17"/>
  <c r="X135" i="17"/>
  <c r="R137" i="17" l="1"/>
  <c r="Z136" i="17"/>
  <c r="Y136" i="17"/>
  <c r="X136" i="17"/>
  <c r="W136" i="17"/>
  <c r="AA136" i="17"/>
  <c r="S136" i="17"/>
  <c r="AD136" i="17"/>
  <c r="AC136" i="17"/>
  <c r="AB136" i="17"/>
  <c r="T136" i="17"/>
  <c r="V136" i="17"/>
  <c r="U136" i="17"/>
  <c r="R138" i="17" l="1"/>
  <c r="AD137" i="17"/>
  <c r="V137" i="17"/>
  <c r="AC137" i="17"/>
  <c r="U137" i="17"/>
  <c r="AB137" i="17"/>
  <c r="T137" i="17"/>
  <c r="AA137" i="17"/>
  <c r="S137" i="17"/>
  <c r="W137" i="17"/>
  <c r="Y137" i="17"/>
  <c r="X137" i="17"/>
  <c r="Z137" i="17"/>
  <c r="R139" i="17" l="1"/>
  <c r="Z138" i="17"/>
  <c r="Y138" i="17"/>
  <c r="X138" i="17"/>
  <c r="W138" i="17"/>
  <c r="AA138" i="17"/>
  <c r="S138" i="17"/>
  <c r="AD138" i="17"/>
  <c r="AC138" i="17"/>
  <c r="AB138" i="17"/>
  <c r="V138" i="17"/>
  <c r="U138" i="17"/>
  <c r="T138" i="17"/>
  <c r="R140" i="17" l="1"/>
  <c r="AD139" i="17"/>
  <c r="V139" i="17"/>
  <c r="AC139" i="17"/>
  <c r="U139" i="17"/>
  <c r="AB139" i="17"/>
  <c r="T139" i="17"/>
  <c r="AA139" i="17"/>
  <c r="S139" i="17"/>
  <c r="W139" i="17"/>
  <c r="X139" i="17"/>
  <c r="Y139" i="17"/>
  <c r="Z139" i="17"/>
  <c r="R141" i="17" l="1"/>
  <c r="Z140" i="17"/>
  <c r="Y140" i="17"/>
  <c r="X140" i="17"/>
  <c r="W140" i="17"/>
  <c r="AA140" i="17"/>
  <c r="S140" i="17"/>
  <c r="AD140" i="17"/>
  <c r="AC140" i="17"/>
  <c r="AB140" i="17"/>
  <c r="V140" i="17"/>
  <c r="U140" i="17"/>
  <c r="T140" i="17"/>
  <c r="R142" i="17" l="1"/>
  <c r="U141" i="17"/>
  <c r="AD141" i="17"/>
  <c r="T141" i="17"/>
  <c r="Z141" i="17"/>
  <c r="Y141" i="17"/>
  <c r="V141" i="17"/>
  <c r="S141" i="17"/>
  <c r="AA141" i="17"/>
  <c r="AB141" i="17"/>
  <c r="AC141" i="17"/>
  <c r="X141" i="17"/>
  <c r="W141" i="17"/>
  <c r="R143" i="17" l="1"/>
  <c r="AC142" i="17"/>
  <c r="U142" i="17"/>
  <c r="AA142" i="17"/>
  <c r="S142" i="17"/>
  <c r="Z142" i="17"/>
  <c r="Y142" i="17"/>
  <c r="X142" i="17"/>
  <c r="W142" i="17"/>
  <c r="V142" i="17"/>
  <c r="T142" i="17"/>
  <c r="AB142" i="17"/>
  <c r="AD142" i="17"/>
  <c r="R144" i="17" l="1"/>
  <c r="Y143" i="17"/>
  <c r="W143" i="17"/>
  <c r="AD143" i="17"/>
  <c r="V143" i="17"/>
  <c r="AA143" i="17"/>
  <c r="Z143" i="17"/>
  <c r="X143" i="17"/>
  <c r="U143" i="17"/>
  <c r="T143" i="17"/>
  <c r="AB143" i="17"/>
  <c r="AC143" i="17"/>
  <c r="S143" i="17"/>
  <c r="R145" i="17" l="1"/>
  <c r="AC144" i="17"/>
  <c r="U144" i="17"/>
  <c r="AA144" i="17"/>
  <c r="S144" i="17"/>
  <c r="Z144" i="17"/>
  <c r="AB144" i="17"/>
  <c r="Y144" i="17"/>
  <c r="X144" i="17"/>
  <c r="W144" i="17"/>
  <c r="V144" i="17"/>
  <c r="AD144" i="17"/>
  <c r="T144" i="17"/>
  <c r="R146" i="17" l="1"/>
  <c r="Y145" i="17"/>
  <c r="W145" i="17"/>
  <c r="AD145" i="17"/>
  <c r="V145" i="17"/>
  <c r="AB145" i="17"/>
  <c r="AA145" i="17"/>
  <c r="Z145" i="17"/>
  <c r="X145" i="17"/>
  <c r="U145" i="17"/>
  <c r="AC145" i="17"/>
  <c r="T145" i="17"/>
  <c r="S145" i="17"/>
  <c r="R147" i="17" l="1"/>
  <c r="AC146" i="17"/>
  <c r="U146" i="17"/>
  <c r="AA146" i="17"/>
  <c r="S146" i="17"/>
  <c r="Z146" i="17"/>
  <c r="AD146" i="17"/>
  <c r="AB146" i="17"/>
  <c r="Y146" i="17"/>
  <c r="X146" i="17"/>
  <c r="W146" i="17"/>
  <c r="T146" i="17"/>
  <c r="V146" i="17"/>
  <c r="R148" i="17" l="1"/>
  <c r="Y147" i="17"/>
  <c r="W147" i="17"/>
  <c r="AD147" i="17"/>
  <c r="V147" i="17"/>
  <c r="AC147" i="17"/>
  <c r="AB147" i="17"/>
  <c r="AA147" i="17"/>
  <c r="Z147" i="17"/>
  <c r="X147" i="17"/>
  <c r="S147" i="17"/>
  <c r="U147" i="17"/>
  <c r="T147" i="17"/>
  <c r="R149" i="17" l="1"/>
  <c r="AC148" i="17"/>
  <c r="U148" i="17"/>
  <c r="AB148" i="17"/>
  <c r="AA148" i="17"/>
  <c r="S148" i="17"/>
  <c r="Z148" i="17"/>
  <c r="AD148" i="17"/>
  <c r="Y148" i="17"/>
  <c r="X148" i="17"/>
  <c r="T148" i="17"/>
  <c r="W148" i="17"/>
  <c r="V148" i="17"/>
  <c r="R150" i="17" l="1"/>
  <c r="Y149" i="17"/>
  <c r="X149" i="17"/>
  <c r="W149" i="17"/>
  <c r="AD149" i="17"/>
  <c r="V149" i="17"/>
  <c r="T149" i="17"/>
  <c r="S149" i="17"/>
  <c r="AC149" i="17"/>
  <c r="AB149" i="17"/>
  <c r="U149" i="17"/>
  <c r="AA149" i="17"/>
  <c r="Z149" i="17"/>
  <c r="R151" i="17" l="1"/>
  <c r="AC150" i="17"/>
  <c r="U150" i="17"/>
  <c r="AB150" i="17"/>
  <c r="T150" i="17"/>
  <c r="AA150" i="17"/>
  <c r="S150" i="17"/>
  <c r="Z150" i="17"/>
  <c r="X150" i="17"/>
  <c r="W150" i="17"/>
  <c r="V150" i="17"/>
  <c r="Y150" i="17"/>
  <c r="AD150" i="17"/>
  <c r="R152" i="17" l="1"/>
  <c r="Y151" i="17"/>
  <c r="X151" i="17"/>
  <c r="W151" i="17"/>
  <c r="AD151" i="17"/>
  <c r="V151" i="17"/>
  <c r="AB151" i="17"/>
  <c r="AA151" i="17"/>
  <c r="Z151" i="17"/>
  <c r="U151" i="17"/>
  <c r="T151" i="17"/>
  <c r="AC151" i="17"/>
  <c r="S151" i="17"/>
  <c r="R153" i="17" l="1"/>
  <c r="AC152" i="17"/>
  <c r="U152" i="17"/>
  <c r="AB152" i="17"/>
  <c r="T152" i="17"/>
  <c r="AA152" i="17"/>
  <c r="S152" i="17"/>
  <c r="Z152" i="17"/>
  <c r="AD152" i="17"/>
  <c r="Y152" i="17"/>
  <c r="X152" i="17"/>
  <c r="W152" i="17"/>
  <c r="V152" i="17"/>
  <c r="R154" i="17" l="1"/>
  <c r="Y153" i="17"/>
  <c r="X153" i="17"/>
  <c r="W153" i="17"/>
  <c r="AD153" i="17"/>
  <c r="V153" i="17"/>
  <c r="T153" i="17"/>
  <c r="S153" i="17"/>
  <c r="AC153" i="17"/>
  <c r="AB153" i="17"/>
  <c r="U153" i="17"/>
  <c r="AA153" i="17"/>
  <c r="Z153" i="17"/>
  <c r="R155" i="17" l="1"/>
  <c r="AC154" i="17"/>
  <c r="U154" i="17"/>
  <c r="AB154" i="17"/>
  <c r="T154" i="17"/>
  <c r="AA154" i="17"/>
  <c r="S154" i="17"/>
  <c r="Z154" i="17"/>
  <c r="X154" i="17"/>
  <c r="W154" i="17"/>
  <c r="V154" i="17"/>
  <c r="Y154" i="17"/>
  <c r="AD154" i="17"/>
  <c r="R156" i="17" l="1"/>
  <c r="Y155" i="17"/>
  <c r="X155" i="17"/>
  <c r="W155" i="17"/>
  <c r="AD155" i="17"/>
  <c r="V155" i="17"/>
  <c r="AB155" i="17"/>
  <c r="AA155" i="17"/>
  <c r="Z155" i="17"/>
  <c r="U155" i="17"/>
  <c r="T155" i="17"/>
  <c r="AC155" i="17"/>
  <c r="S155" i="17"/>
  <c r="R157" i="17" l="1"/>
  <c r="AC156" i="17"/>
  <c r="U156" i="17"/>
  <c r="AB156" i="17"/>
  <c r="T156" i="17"/>
  <c r="AA156" i="17"/>
  <c r="S156" i="17"/>
  <c r="Z156" i="17"/>
  <c r="AD156" i="17"/>
  <c r="Y156" i="17"/>
  <c r="X156" i="17"/>
  <c r="V156" i="17"/>
  <c r="W156" i="17"/>
  <c r="R158" i="17" l="1"/>
  <c r="Y157" i="17"/>
  <c r="X157" i="17"/>
  <c r="W157" i="17"/>
  <c r="AD157" i="17"/>
  <c r="V157" i="17"/>
  <c r="T157" i="17"/>
  <c r="S157" i="17"/>
  <c r="AC157" i="17"/>
  <c r="AB157" i="17"/>
  <c r="U157" i="17"/>
  <c r="AA157" i="17"/>
  <c r="Z157" i="17"/>
  <c r="R159" i="17" l="1"/>
  <c r="W158" i="17"/>
  <c r="AD158" i="17"/>
  <c r="T158" i="17"/>
  <c r="AC158" i="17"/>
  <c r="S158" i="17"/>
  <c r="AB158" i="17"/>
  <c r="Z158" i="17"/>
  <c r="Y158" i="17"/>
  <c r="X158" i="17"/>
  <c r="AA158" i="17"/>
  <c r="V158" i="17"/>
  <c r="U158" i="17"/>
  <c r="R160" i="17" l="1"/>
  <c r="AA159" i="17"/>
  <c r="S159" i="17"/>
  <c r="Z159" i="17"/>
  <c r="Y159" i="17"/>
  <c r="X159" i="17"/>
  <c r="AD159" i="17"/>
  <c r="AC159" i="17"/>
  <c r="AB159" i="17"/>
  <c r="W159" i="17"/>
  <c r="V159" i="17"/>
  <c r="U159" i="17"/>
  <c r="T159" i="17"/>
  <c r="R161" i="17" l="1"/>
  <c r="W160" i="17"/>
  <c r="AD160" i="17"/>
  <c r="V160" i="17"/>
  <c r="AC160" i="17"/>
  <c r="U160" i="17"/>
  <c r="AB160" i="17"/>
  <c r="T160" i="17"/>
  <c r="AA160" i="17"/>
  <c r="Z160" i="17"/>
  <c r="S160" i="17"/>
  <c r="Y160" i="17"/>
  <c r="X160" i="17"/>
  <c r="R162" i="17" l="1"/>
  <c r="AA161" i="17"/>
  <c r="S161" i="17"/>
  <c r="Z161" i="17"/>
  <c r="Y161" i="17"/>
  <c r="X161" i="17"/>
  <c r="V161" i="17"/>
  <c r="U161" i="17"/>
  <c r="T161" i="17"/>
  <c r="AD161" i="17"/>
  <c r="W161" i="17"/>
  <c r="AB161" i="17"/>
  <c r="AC161" i="17"/>
  <c r="R163" i="17" l="1"/>
  <c r="W162" i="17"/>
  <c r="AD162" i="17"/>
  <c r="V162" i="17"/>
  <c r="AC162" i="17"/>
  <c r="U162" i="17"/>
  <c r="AB162" i="17"/>
  <c r="T162" i="17"/>
  <c r="Z162" i="17"/>
  <c r="Y162" i="17"/>
  <c r="X162" i="17"/>
  <c r="S162" i="17"/>
  <c r="AA162" i="17"/>
  <c r="R164" i="17" l="1"/>
  <c r="AA163" i="17"/>
  <c r="X163" i="17"/>
  <c r="AC163" i="17"/>
  <c r="S163" i="17"/>
  <c r="AB163" i="17"/>
  <c r="Z163" i="17"/>
  <c r="Y163" i="17"/>
  <c r="AD163" i="17"/>
  <c r="W163" i="17"/>
  <c r="V163" i="17"/>
  <c r="U163" i="17"/>
  <c r="T163" i="17"/>
  <c r="R165" i="17" l="1"/>
  <c r="W164" i="17"/>
  <c r="AB164" i="17"/>
  <c r="T164" i="17"/>
  <c r="AA164" i="17"/>
  <c r="Z164" i="17"/>
  <c r="Y164" i="17"/>
  <c r="X164" i="17"/>
  <c r="U164" i="17"/>
  <c r="S164" i="17"/>
  <c r="V164" i="17"/>
  <c r="AD164" i="17"/>
  <c r="AC164" i="17"/>
  <c r="R166" i="17" l="1"/>
  <c r="AA165" i="17"/>
  <c r="S165" i="17"/>
  <c r="X165" i="17"/>
  <c r="Z165" i="17"/>
  <c r="Y165" i="17"/>
  <c r="W165" i="17"/>
  <c r="V165" i="17"/>
  <c r="AD165" i="17"/>
  <c r="AC165" i="17"/>
  <c r="AB165" i="17"/>
  <c r="U165" i="17"/>
  <c r="T165" i="17"/>
  <c r="R167" i="17" l="1"/>
  <c r="Y166" i="17"/>
  <c r="AD166" i="17"/>
  <c r="T166" i="17"/>
  <c r="AA166" i="17"/>
  <c r="Z166" i="17"/>
  <c r="V166" i="17"/>
  <c r="U166" i="17"/>
  <c r="S166" i="17"/>
  <c r="AC166" i="17"/>
  <c r="AB166" i="17"/>
  <c r="X166" i="17"/>
  <c r="W166" i="17"/>
  <c r="R168" i="17" l="1"/>
  <c r="AC167" i="17"/>
  <c r="U167" i="17"/>
  <c r="Z167" i="17"/>
  <c r="Y167" i="17"/>
  <c r="X167" i="17"/>
  <c r="W167" i="17"/>
  <c r="V167" i="17"/>
  <c r="AD167" i="17"/>
  <c r="S167" i="17"/>
  <c r="AB167" i="17"/>
  <c r="AA167" i="17"/>
  <c r="T167" i="17"/>
  <c r="R169" i="17" l="1"/>
  <c r="Y168" i="17"/>
  <c r="AD168" i="17"/>
  <c r="V168" i="17"/>
  <c r="X168" i="17"/>
  <c r="W168" i="17"/>
  <c r="U168" i="17"/>
  <c r="T168" i="17"/>
  <c r="AB168" i="17"/>
  <c r="Z168" i="17"/>
  <c r="S168" i="17"/>
  <c r="AA168" i="17"/>
  <c r="AC168" i="17"/>
  <c r="R170" i="17" l="1"/>
  <c r="AC169" i="17"/>
  <c r="U169" i="17"/>
  <c r="Z169" i="17"/>
  <c r="W169" i="17"/>
  <c r="V169" i="17"/>
  <c r="T169" i="17"/>
  <c r="AD169" i="17"/>
  <c r="S169" i="17"/>
  <c r="AA169" i="17"/>
  <c r="AB169" i="17"/>
  <c r="Y169" i="17"/>
  <c r="X169" i="17"/>
  <c r="R171" i="17" l="1"/>
  <c r="Y170" i="17"/>
  <c r="AD170" i="17"/>
  <c r="V170" i="17"/>
  <c r="U170" i="17"/>
  <c r="T170" i="17"/>
  <c r="AC170" i="17"/>
  <c r="S170" i="17"/>
  <c r="AB170" i="17"/>
  <c r="Z170" i="17"/>
  <c r="AA170" i="17"/>
  <c r="X170" i="17"/>
  <c r="W170" i="17"/>
  <c r="R172" i="17" l="1"/>
  <c r="AC171" i="17"/>
  <c r="U171" i="17"/>
  <c r="Z171" i="17"/>
  <c r="T171" i="17"/>
  <c r="AD171" i="17"/>
  <c r="S171" i="17"/>
  <c r="AB171" i="17"/>
  <c r="AA171" i="17"/>
  <c r="X171" i="17"/>
  <c r="V171" i="17"/>
  <c r="Y171" i="17"/>
  <c r="W171" i="17"/>
  <c r="R173" i="17" l="1"/>
  <c r="Y172" i="17"/>
  <c r="AD172" i="17"/>
  <c r="V172" i="17"/>
  <c r="AC172" i="17"/>
  <c r="S172" i="17"/>
  <c r="AB172" i="17"/>
  <c r="AA172" i="17"/>
  <c r="Z172" i="17"/>
  <c r="W172" i="17"/>
  <c r="X172" i="17"/>
  <c r="U172" i="17"/>
  <c r="T172" i="17"/>
  <c r="R174" i="17" l="1"/>
  <c r="AC173" i="17"/>
  <c r="U173" i="17"/>
  <c r="Z173" i="17"/>
  <c r="AB173" i="17"/>
  <c r="AA173" i="17"/>
  <c r="Y173" i="17"/>
  <c r="X173" i="17"/>
  <c r="V173" i="17"/>
  <c r="T173" i="17"/>
  <c r="S173" i="17"/>
  <c r="W173" i="17"/>
  <c r="AD173" i="17"/>
  <c r="R175" i="17" l="1"/>
  <c r="Y174" i="17"/>
  <c r="AD174" i="17"/>
  <c r="V174" i="17"/>
  <c r="AA174" i="17"/>
  <c r="Z174" i="17"/>
  <c r="X174" i="17"/>
  <c r="W174" i="17"/>
  <c r="T174" i="17"/>
  <c r="AC174" i="17"/>
  <c r="AB174" i="17"/>
  <c r="U174" i="17"/>
  <c r="S174" i="17"/>
  <c r="R176" i="17" l="1"/>
  <c r="AC175" i="17"/>
  <c r="U175" i="17"/>
  <c r="Z175" i="17"/>
  <c r="Y175" i="17"/>
  <c r="X175" i="17"/>
  <c r="W175" i="17"/>
  <c r="V175" i="17"/>
  <c r="AD175" i="17"/>
  <c r="S175" i="17"/>
  <c r="AA175" i="17"/>
  <c r="T175" i="17"/>
  <c r="AB175" i="17"/>
  <c r="R177" i="17" l="1"/>
  <c r="Y176" i="17"/>
  <c r="AD176" i="17"/>
  <c r="V176" i="17"/>
  <c r="X176" i="17"/>
  <c r="W176" i="17"/>
  <c r="U176" i="17"/>
  <c r="T176" i="17"/>
  <c r="AB176" i="17"/>
  <c r="AC176" i="17"/>
  <c r="AA176" i="17"/>
  <c r="Z176" i="17"/>
  <c r="S176" i="17"/>
  <c r="R178" i="17" l="1"/>
  <c r="AC177" i="17"/>
  <c r="U177" i="17"/>
  <c r="Z177" i="17"/>
  <c r="W177" i="17"/>
  <c r="V177" i="17"/>
  <c r="T177" i="17"/>
  <c r="AD177" i="17"/>
  <c r="S177" i="17"/>
  <c r="AA177" i="17"/>
  <c r="AB177" i="17"/>
  <c r="Y177" i="17"/>
  <c r="X177" i="17"/>
  <c r="R179" i="17" l="1"/>
  <c r="Y178" i="17"/>
  <c r="AD178" i="17"/>
  <c r="V178" i="17"/>
  <c r="U178" i="17"/>
  <c r="T178" i="17"/>
  <c r="AC178" i="17"/>
  <c r="S178" i="17"/>
  <c r="AB178" i="17"/>
  <c r="Z178" i="17"/>
  <c r="W178" i="17"/>
  <c r="X178" i="17"/>
  <c r="AA178" i="17"/>
  <c r="R180" i="17" l="1"/>
  <c r="AC179" i="17"/>
  <c r="U179" i="17"/>
  <c r="Z179" i="17"/>
  <c r="T179" i="17"/>
  <c r="AD179" i="17"/>
  <c r="S179" i="17"/>
  <c r="AB179" i="17"/>
  <c r="AA179" i="17"/>
  <c r="X179" i="17"/>
  <c r="Y179" i="17"/>
  <c r="W179" i="17"/>
  <c r="V179" i="17"/>
  <c r="R181" i="17" l="1"/>
  <c r="Y180" i="17"/>
  <c r="AD180" i="17"/>
  <c r="V180" i="17"/>
  <c r="AC180" i="17"/>
  <c r="S180" i="17"/>
  <c r="AB180" i="17"/>
  <c r="AA180" i="17"/>
  <c r="Z180" i="17"/>
  <c r="W180" i="17"/>
  <c r="U180" i="17"/>
  <c r="T180" i="17"/>
  <c r="X180" i="17"/>
  <c r="R182" i="17" l="1"/>
  <c r="AC181" i="17"/>
  <c r="U181" i="17"/>
  <c r="Z181" i="17"/>
  <c r="AB181" i="17"/>
  <c r="AA181" i="17"/>
  <c r="Y181" i="17"/>
  <c r="X181" i="17"/>
  <c r="V181" i="17"/>
  <c r="AD181" i="17"/>
  <c r="W181" i="17"/>
  <c r="T181" i="17"/>
  <c r="S181" i="17"/>
  <c r="R183" i="17" l="1"/>
  <c r="Y182" i="17"/>
  <c r="AD182" i="17"/>
  <c r="V182" i="17"/>
  <c r="AA182" i="17"/>
  <c r="Z182" i="17"/>
  <c r="X182" i="17"/>
  <c r="W182" i="17"/>
  <c r="T182" i="17"/>
  <c r="AB182" i="17"/>
  <c r="U182" i="17"/>
  <c r="S182" i="17"/>
  <c r="AC182" i="17"/>
  <c r="R184" i="17" l="1"/>
  <c r="W183" i="17"/>
  <c r="AB183" i="17"/>
  <c r="AA183" i="17"/>
  <c r="Z183" i="17"/>
  <c r="Y183" i="17"/>
  <c r="X183" i="17"/>
  <c r="S183" i="17"/>
  <c r="AD183" i="17"/>
  <c r="AC183" i="17"/>
  <c r="T183" i="17"/>
  <c r="U183" i="17"/>
  <c r="V183" i="17"/>
  <c r="R185" i="17" l="1"/>
  <c r="AA184" i="17"/>
  <c r="S184" i="17"/>
  <c r="X184" i="17"/>
  <c r="Z184" i="17"/>
  <c r="Y184" i="17"/>
  <c r="W184" i="17"/>
  <c r="V184" i="17"/>
  <c r="AD184" i="17"/>
  <c r="T184" i="17"/>
  <c r="AC184" i="17"/>
  <c r="AB184" i="17"/>
  <c r="U184" i="17"/>
  <c r="R186" i="17" l="1"/>
  <c r="W185" i="17"/>
  <c r="AB185" i="17"/>
  <c r="T185" i="17"/>
  <c r="Y185" i="17"/>
  <c r="X185" i="17"/>
  <c r="V185" i="17"/>
  <c r="U185" i="17"/>
  <c r="AC185" i="17"/>
  <c r="S185" i="17"/>
  <c r="Z185" i="17"/>
  <c r="AD185" i="17"/>
  <c r="AA185" i="17"/>
  <c r="R187" i="17" l="1"/>
  <c r="AA186" i="17"/>
  <c r="S186" i="17"/>
  <c r="X186" i="17"/>
  <c r="W186" i="17"/>
  <c r="V186" i="17"/>
  <c r="U186" i="17"/>
  <c r="AD186" i="17"/>
  <c r="T186" i="17"/>
  <c r="AB186" i="17"/>
  <c r="AC186" i="17"/>
  <c r="Z186" i="17"/>
  <c r="Y186" i="17"/>
  <c r="R188" i="17" l="1"/>
  <c r="AA187" i="17"/>
  <c r="W187" i="17"/>
  <c r="AB187" i="17"/>
  <c r="T187" i="17"/>
  <c r="V187" i="17"/>
  <c r="U187" i="17"/>
  <c r="S187" i="17"/>
  <c r="AD187" i="17"/>
  <c r="Z187" i="17"/>
  <c r="Y187" i="17"/>
  <c r="X187" i="17"/>
  <c r="AC187" i="17"/>
  <c r="R189" i="17" l="1"/>
  <c r="W188" i="17"/>
  <c r="AA188" i="17"/>
  <c r="S188" i="17"/>
  <c r="X188" i="17"/>
  <c r="V188" i="17"/>
  <c r="U188" i="17"/>
  <c r="T188" i="17"/>
  <c r="AD188" i="17"/>
  <c r="AB188" i="17"/>
  <c r="AC188" i="17"/>
  <c r="Y188" i="17"/>
  <c r="Z188" i="17"/>
  <c r="R190" i="17" l="1"/>
  <c r="AA189" i="17"/>
  <c r="S189" i="17"/>
  <c r="W189" i="17"/>
  <c r="AB189" i="17"/>
  <c r="T189" i="17"/>
  <c r="X189" i="17"/>
  <c r="V189" i="17"/>
  <c r="U189" i="17"/>
  <c r="AC189" i="17"/>
  <c r="AD189" i="17"/>
  <c r="Z189" i="17"/>
  <c r="Y189" i="17"/>
  <c r="R191" i="17" l="1"/>
  <c r="Y190" i="17"/>
  <c r="AC190" i="17"/>
  <c r="S190" i="17"/>
  <c r="Z190" i="17"/>
  <c r="AA190" i="17"/>
  <c r="V190" i="17"/>
  <c r="U190" i="17"/>
  <c r="T190" i="17"/>
  <c r="AB190" i="17"/>
  <c r="AD190" i="17"/>
  <c r="X190" i="17"/>
  <c r="W190" i="17"/>
  <c r="R192" i="17" l="1"/>
  <c r="AC191" i="17"/>
  <c r="U191" i="17"/>
  <c r="Y191" i="17"/>
  <c r="AD191" i="17"/>
  <c r="V191" i="17"/>
  <c r="AA191" i="17"/>
  <c r="Z191" i="17"/>
  <c r="X191" i="17"/>
  <c r="W191" i="17"/>
  <c r="S191" i="17"/>
  <c r="AB191" i="17"/>
  <c r="T191" i="17"/>
  <c r="R193" i="17" l="1"/>
  <c r="Y192" i="17"/>
  <c r="AC192" i="17"/>
  <c r="U192" i="17"/>
  <c r="Z192" i="17"/>
  <c r="AB192" i="17"/>
  <c r="AA192" i="17"/>
  <c r="X192" i="17"/>
  <c r="W192" i="17"/>
  <c r="T192" i="17"/>
  <c r="AD192" i="17"/>
  <c r="V192" i="17"/>
  <c r="S192" i="17"/>
  <c r="R194" i="17" l="1"/>
  <c r="AC193" i="17"/>
  <c r="U193" i="17"/>
  <c r="Y193" i="17"/>
  <c r="AD193" i="17"/>
  <c r="V193" i="17"/>
  <c r="AB193" i="17"/>
  <c r="AA193" i="17"/>
  <c r="Z193" i="17"/>
  <c r="X193" i="17"/>
  <c r="T193" i="17"/>
  <c r="W193" i="17"/>
  <c r="S193" i="17"/>
  <c r="R195" i="17" l="1"/>
  <c r="Y194" i="17"/>
  <c r="AC194" i="17"/>
  <c r="U194" i="17"/>
  <c r="Z194" i="17"/>
  <c r="AD194" i="17"/>
  <c r="AB194" i="17"/>
  <c r="AA194" i="17"/>
  <c r="X194" i="17"/>
  <c r="V194" i="17"/>
  <c r="S194" i="17"/>
  <c r="W194" i="17"/>
  <c r="T194" i="17"/>
  <c r="R196" i="17" l="1"/>
  <c r="AC195" i="17"/>
  <c r="U195" i="17"/>
  <c r="Y195" i="17"/>
  <c r="AD195" i="17"/>
  <c r="V195" i="17"/>
  <c r="AB195" i="17"/>
  <c r="AA195" i="17"/>
  <c r="Z195" i="17"/>
  <c r="W195" i="17"/>
  <c r="X195" i="17"/>
  <c r="T195" i="17"/>
  <c r="S195" i="17"/>
  <c r="R197" i="17" l="1"/>
  <c r="Y196" i="17"/>
  <c r="AC196" i="17"/>
  <c r="U196" i="17"/>
  <c r="Z196" i="17"/>
  <c r="S196" i="17"/>
  <c r="AD196" i="17"/>
  <c r="AB196" i="17"/>
  <c r="AA196" i="17"/>
  <c r="W196" i="17"/>
  <c r="V196" i="17"/>
  <c r="T196" i="17"/>
  <c r="X196" i="17"/>
  <c r="R198" i="17" l="1"/>
  <c r="AC197" i="17"/>
  <c r="U197" i="17"/>
  <c r="Y197" i="17"/>
  <c r="AD197" i="17"/>
  <c r="V197" i="17"/>
  <c r="S197" i="17"/>
  <c r="AB197" i="17"/>
  <c r="AA197" i="17"/>
  <c r="X197" i="17"/>
  <c r="Z197" i="17"/>
  <c r="W197" i="17"/>
  <c r="T197" i="17"/>
  <c r="R199" i="17" l="1"/>
  <c r="Y198" i="17"/>
  <c r="AC198" i="17"/>
  <c r="U198" i="17"/>
  <c r="Z198" i="17"/>
  <c r="T198" i="17"/>
  <c r="S198" i="17"/>
  <c r="AD198" i="17"/>
  <c r="AB198" i="17"/>
  <c r="X198" i="17"/>
  <c r="AA198" i="17"/>
  <c r="W198" i="17"/>
  <c r="V198" i="17"/>
  <c r="R200" i="17" l="1"/>
  <c r="AC199" i="17"/>
  <c r="U199" i="17"/>
  <c r="Y199" i="17"/>
  <c r="AD199" i="17"/>
  <c r="V199" i="17"/>
  <c r="T199" i="17"/>
  <c r="S199" i="17"/>
  <c r="AB199" i="17"/>
  <c r="Z199" i="17"/>
  <c r="W199" i="17"/>
  <c r="X199" i="17"/>
  <c r="AA199" i="17"/>
  <c r="R201" i="17" l="1"/>
  <c r="Y200" i="17"/>
  <c r="AC200" i="17"/>
  <c r="U200" i="17"/>
  <c r="Z200" i="17"/>
  <c r="V200" i="17"/>
  <c r="T200" i="17"/>
  <c r="S200" i="17"/>
  <c r="AD200" i="17"/>
  <c r="AA200" i="17"/>
  <c r="AB200" i="17"/>
  <c r="X200" i="17"/>
  <c r="W200" i="17"/>
  <c r="R202" i="17" l="1"/>
  <c r="AC201" i="17"/>
  <c r="U201" i="17"/>
  <c r="Y201" i="17"/>
  <c r="AD201" i="17"/>
  <c r="V201" i="17"/>
  <c r="W201" i="17"/>
  <c r="T201" i="17"/>
  <c r="S201" i="17"/>
  <c r="AA201" i="17"/>
  <c r="AB201" i="17"/>
  <c r="Z201" i="17"/>
  <c r="X201" i="17"/>
  <c r="R203" i="17" l="1"/>
  <c r="Y202" i="17"/>
  <c r="AC202" i="17"/>
  <c r="U202" i="17"/>
  <c r="Z202" i="17"/>
  <c r="W202" i="17"/>
  <c r="V202" i="17"/>
  <c r="T202" i="17"/>
  <c r="S202" i="17"/>
  <c r="AB202" i="17"/>
  <c r="X202" i="17"/>
  <c r="AD202" i="17"/>
  <c r="AA202" i="17"/>
  <c r="R204" i="17" l="1"/>
  <c r="AC203" i="17"/>
  <c r="U203" i="17"/>
  <c r="Y203" i="17"/>
  <c r="AD203" i="17"/>
  <c r="V203" i="17"/>
  <c r="X203" i="17"/>
  <c r="W203" i="17"/>
  <c r="T203" i="17"/>
  <c r="S203" i="17"/>
  <c r="AB203" i="17"/>
  <c r="AA203" i="17"/>
  <c r="Z203" i="17"/>
  <c r="R205" i="17" l="1"/>
  <c r="Y204" i="17"/>
  <c r="AC204" i="17"/>
  <c r="U204" i="17"/>
  <c r="Z204" i="17"/>
  <c r="X204" i="17"/>
  <c r="W204" i="17"/>
  <c r="V204" i="17"/>
  <c r="T204" i="17"/>
  <c r="AD204" i="17"/>
  <c r="AB204" i="17"/>
  <c r="AA204" i="17"/>
  <c r="S204" i="17"/>
  <c r="R206" i="17" l="1"/>
  <c r="AC205" i="17"/>
  <c r="U205" i="17"/>
  <c r="Y205" i="17"/>
  <c r="AD205" i="17"/>
  <c r="V205" i="17"/>
  <c r="Z205" i="17"/>
  <c r="X205" i="17"/>
  <c r="W205" i="17"/>
  <c r="T205" i="17"/>
  <c r="S205" i="17"/>
  <c r="AA205" i="17"/>
  <c r="AB205" i="17"/>
  <c r="R207" i="17" l="1"/>
  <c r="Y206" i="17"/>
  <c r="AC206" i="17"/>
  <c r="U206" i="17"/>
  <c r="Z206" i="17"/>
  <c r="AA206" i="17"/>
  <c r="X206" i="17"/>
  <c r="W206" i="17"/>
  <c r="V206" i="17"/>
  <c r="T206" i="17"/>
  <c r="S206" i="17"/>
  <c r="AD206" i="17"/>
  <c r="AB206" i="17"/>
  <c r="R208" i="17" l="1"/>
  <c r="AC207" i="17"/>
  <c r="U207" i="17"/>
  <c r="Y207" i="17"/>
  <c r="AD207" i="17"/>
  <c r="V207" i="17"/>
  <c r="AA207" i="17"/>
  <c r="Z207" i="17"/>
  <c r="X207" i="17"/>
  <c r="W207" i="17"/>
  <c r="T207" i="17"/>
  <c r="S207" i="17"/>
  <c r="AB207" i="17"/>
  <c r="R209" i="17" l="1"/>
  <c r="AA208" i="17"/>
  <c r="W208" i="17"/>
  <c r="AB208" i="17"/>
  <c r="AD208" i="17"/>
  <c r="AC208" i="17"/>
  <c r="Z208" i="17"/>
  <c r="Y208" i="17"/>
  <c r="X208" i="17"/>
  <c r="T208" i="17"/>
  <c r="S208" i="17"/>
  <c r="V208" i="17"/>
  <c r="U208" i="17"/>
  <c r="R210" i="17" l="1"/>
  <c r="W209" i="17"/>
  <c r="AA209" i="17"/>
  <c r="S209" i="17"/>
  <c r="X209" i="17"/>
  <c r="AD209" i="17"/>
  <c r="AC209" i="17"/>
  <c r="AB209" i="17"/>
  <c r="Z209" i="17"/>
  <c r="Y209" i="17"/>
  <c r="V209" i="17"/>
  <c r="U209" i="17"/>
  <c r="T209" i="17"/>
  <c r="R211" i="17" l="1"/>
  <c r="AA210" i="17"/>
  <c r="S210" i="17"/>
  <c r="Z210" i="17"/>
  <c r="X210" i="17"/>
  <c r="W210" i="17"/>
  <c r="AC210" i="17"/>
  <c r="U210" i="17"/>
  <c r="AB210" i="17"/>
  <c r="T210" i="17"/>
  <c r="AD210" i="17"/>
  <c r="V210" i="17"/>
  <c r="Y210" i="17"/>
  <c r="R212" i="17" l="1"/>
  <c r="W211" i="17"/>
  <c r="AD211" i="17"/>
  <c r="V211" i="17"/>
  <c r="AB211" i="17"/>
  <c r="T211" i="17"/>
  <c r="AA211" i="17"/>
  <c r="S211" i="17"/>
  <c r="Y211" i="17"/>
  <c r="X211" i="17"/>
  <c r="AC211" i="17"/>
  <c r="Z211" i="17"/>
  <c r="U211" i="17"/>
  <c r="R213" i="17" l="1"/>
  <c r="AD212" i="17"/>
  <c r="AA212" i="17"/>
  <c r="S212" i="17"/>
  <c r="Z212" i="17"/>
  <c r="X212" i="17"/>
  <c r="W212" i="17"/>
  <c r="AC212" i="17"/>
  <c r="U212" i="17"/>
  <c r="AB212" i="17"/>
  <c r="T212" i="17"/>
  <c r="Y212" i="17"/>
  <c r="V212" i="17"/>
  <c r="R214" i="17" l="1"/>
  <c r="AC213" i="17"/>
  <c r="U213" i="17"/>
  <c r="Z213" i="17"/>
  <c r="Y213" i="17"/>
  <c r="X213" i="17"/>
  <c r="V213" i="17"/>
  <c r="T213" i="17"/>
  <c r="AB213" i="17"/>
  <c r="AA213" i="17"/>
  <c r="AD213" i="17"/>
  <c r="W213" i="17"/>
  <c r="S213" i="17"/>
  <c r="R215" i="17" l="1"/>
  <c r="Y214" i="17"/>
  <c r="AD214" i="17"/>
  <c r="V214" i="17"/>
  <c r="X214" i="17"/>
  <c r="W214" i="17"/>
  <c r="T214" i="17"/>
  <c r="AC214" i="17"/>
  <c r="S214" i="17"/>
  <c r="AA214" i="17"/>
  <c r="Z214" i="17"/>
  <c r="AB214" i="17"/>
  <c r="U214" i="17"/>
  <c r="R216" i="17" l="1"/>
  <c r="U215" i="17"/>
  <c r="AB215" i="17"/>
  <c r="Y215" i="17"/>
  <c r="V215" i="17"/>
  <c r="S215" i="17"/>
  <c r="AD215" i="17"/>
  <c r="AA215" i="17"/>
  <c r="Z215" i="17"/>
  <c r="AC215" i="17"/>
  <c r="T215" i="17"/>
  <c r="W215" i="17"/>
  <c r="X215" i="17"/>
  <c r="R217" i="17" l="1"/>
  <c r="AA216" i="17"/>
  <c r="S216" i="17"/>
  <c r="X216" i="17"/>
  <c r="W216" i="17"/>
  <c r="V216" i="17"/>
  <c r="AD216" i="17"/>
  <c r="T216" i="17"/>
  <c r="AC216" i="17"/>
  <c r="Z216" i="17"/>
  <c r="Y216" i="17"/>
  <c r="U216" i="17"/>
  <c r="AB216" i="17"/>
  <c r="R218" i="17" l="1"/>
  <c r="W217" i="17"/>
  <c r="AB217" i="17"/>
  <c r="T217" i="17"/>
  <c r="V217" i="17"/>
  <c r="U217" i="17"/>
  <c r="AC217" i="17"/>
  <c r="AA217" i="17"/>
  <c r="Y217" i="17"/>
  <c r="X217" i="17"/>
  <c r="AD217" i="17"/>
  <c r="Z217" i="17"/>
  <c r="S217" i="17"/>
  <c r="R219" i="17" l="1"/>
  <c r="AD218" i="17"/>
  <c r="V218" i="17"/>
  <c r="AC218" i="17"/>
  <c r="U218" i="17"/>
  <c r="AA218" i="17"/>
  <c r="S218" i="17"/>
  <c r="X218" i="17"/>
  <c r="W218" i="17"/>
  <c r="T218" i="17"/>
  <c r="Z218" i="17"/>
  <c r="Y218" i="17"/>
  <c r="AB218" i="17"/>
  <c r="R220" i="17" l="1"/>
  <c r="Z219" i="17"/>
  <c r="Y219" i="17"/>
  <c r="W219" i="17"/>
  <c r="AB219" i="17"/>
  <c r="T219" i="17"/>
  <c r="AA219" i="17"/>
  <c r="X219" i="17"/>
  <c r="U219" i="17"/>
  <c r="S219" i="17"/>
  <c r="AD219" i="17"/>
  <c r="AC219" i="17"/>
  <c r="V219" i="17"/>
  <c r="R221" i="17" l="1"/>
  <c r="AD220" i="17"/>
  <c r="V220" i="17"/>
  <c r="AC220" i="17"/>
  <c r="U220" i="17"/>
  <c r="AA220" i="17"/>
  <c r="S220" i="17"/>
  <c r="X220" i="17"/>
  <c r="AB220" i="17"/>
  <c r="Y220" i="17"/>
  <c r="W220" i="17"/>
  <c r="Z220" i="17"/>
  <c r="T220" i="17"/>
  <c r="R222" i="17" l="1"/>
  <c r="Z221" i="17"/>
  <c r="Y221" i="17"/>
  <c r="W221" i="17"/>
  <c r="AB221" i="17"/>
  <c r="T221" i="17"/>
  <c r="S221" i="17"/>
  <c r="AC221" i="17"/>
  <c r="AA221" i="17"/>
  <c r="V221" i="17"/>
  <c r="U221" i="17"/>
  <c r="AD221" i="17"/>
  <c r="X221" i="17"/>
  <c r="R223" i="17" l="1"/>
  <c r="AD222" i="17"/>
  <c r="V222" i="17"/>
  <c r="AC222" i="17"/>
  <c r="U222" i="17"/>
  <c r="AA222" i="17"/>
  <c r="S222" i="17"/>
  <c r="X222" i="17"/>
  <c r="W222" i="17"/>
  <c r="T222" i="17"/>
  <c r="Z222" i="17"/>
  <c r="Y222" i="17"/>
  <c r="AB222" i="17"/>
  <c r="R224" i="17" l="1"/>
  <c r="Z223" i="17"/>
  <c r="Y223" i="17"/>
  <c r="W223" i="17"/>
  <c r="AB223" i="17"/>
  <c r="T223" i="17"/>
  <c r="AA223" i="17"/>
  <c r="X223" i="17"/>
  <c r="U223" i="17"/>
  <c r="S223" i="17"/>
  <c r="AD223" i="17"/>
  <c r="AC223" i="17"/>
  <c r="V223" i="17"/>
  <c r="R225" i="17" l="1"/>
  <c r="AD224" i="17"/>
  <c r="V224" i="17"/>
  <c r="AC224" i="17"/>
  <c r="U224" i="17"/>
  <c r="AB224" i="17"/>
  <c r="AA224" i="17"/>
  <c r="S224" i="17"/>
  <c r="X224" i="17"/>
  <c r="Y224" i="17"/>
  <c r="W224" i="17"/>
  <c r="Z224" i="17"/>
  <c r="T224" i="17"/>
  <c r="R226" i="17" l="1"/>
  <c r="Z225" i="17"/>
  <c r="Y225" i="17"/>
  <c r="X225" i="17"/>
  <c r="W225" i="17"/>
  <c r="AC225" i="17"/>
  <c r="U225" i="17"/>
  <c r="AB225" i="17"/>
  <c r="T225" i="17"/>
  <c r="V225" i="17"/>
  <c r="S225" i="17"/>
  <c r="AD225" i="17"/>
  <c r="AA225" i="17"/>
  <c r="R227" i="17" l="1"/>
  <c r="AD226" i="17"/>
  <c r="V226" i="17"/>
  <c r="AC226" i="17"/>
  <c r="U226" i="17"/>
  <c r="AB226" i="17"/>
  <c r="T226" i="17"/>
  <c r="AA226" i="17"/>
  <c r="S226" i="17"/>
  <c r="Y226" i="17"/>
  <c r="X226" i="17"/>
  <c r="Z226" i="17"/>
  <c r="W226" i="17"/>
  <c r="R228" i="17" l="1"/>
  <c r="Z227" i="17"/>
  <c r="Y227" i="17"/>
  <c r="X227" i="17"/>
  <c r="W227" i="17"/>
  <c r="AD227" i="17"/>
  <c r="V227" i="17"/>
  <c r="AC227" i="17"/>
  <c r="U227" i="17"/>
  <c r="AB227" i="17"/>
  <c r="T227" i="17"/>
  <c r="S227" i="17"/>
  <c r="AA227" i="17"/>
  <c r="R229" i="17" l="1"/>
  <c r="AD228" i="17"/>
  <c r="V228" i="17"/>
  <c r="AC228" i="17"/>
  <c r="U228" i="17"/>
  <c r="AB228" i="17"/>
  <c r="T228" i="17"/>
  <c r="AA228" i="17"/>
  <c r="S228" i="17"/>
  <c r="Z228" i="17"/>
  <c r="Y228" i="17"/>
  <c r="X228" i="17"/>
  <c r="W228" i="17"/>
  <c r="R230" i="17" l="1"/>
  <c r="Z229" i="17"/>
  <c r="Y229" i="17"/>
  <c r="X229" i="17"/>
  <c r="W229" i="17"/>
  <c r="AD229" i="17"/>
  <c r="V229" i="17"/>
  <c r="AC229" i="17"/>
  <c r="U229" i="17"/>
  <c r="AB229" i="17"/>
  <c r="T229" i="17"/>
  <c r="AA229" i="17"/>
  <c r="S229" i="17"/>
  <c r="R231" i="17" l="1"/>
  <c r="AD230" i="17"/>
  <c r="V230" i="17"/>
  <c r="AC230" i="17"/>
  <c r="U230" i="17"/>
  <c r="AB230" i="17"/>
  <c r="T230" i="17"/>
  <c r="AA230" i="17"/>
  <c r="S230" i="17"/>
  <c r="Z230" i="17"/>
  <c r="Y230" i="17"/>
  <c r="X230" i="17"/>
  <c r="W230" i="17"/>
  <c r="R232" i="17" l="1"/>
  <c r="Z231" i="17"/>
  <c r="Y231" i="17"/>
  <c r="X231" i="17"/>
  <c r="W231" i="17"/>
  <c r="AD231" i="17"/>
  <c r="V231" i="17"/>
  <c r="AC231" i="17"/>
  <c r="U231" i="17"/>
  <c r="AB231" i="17"/>
  <c r="T231" i="17"/>
  <c r="AA231" i="17"/>
  <c r="S231" i="17"/>
  <c r="R233" i="17" l="1"/>
  <c r="AD232" i="17"/>
  <c r="V232" i="17"/>
  <c r="AC232" i="17"/>
  <c r="U232" i="17"/>
  <c r="AB232" i="17"/>
  <c r="T232" i="17"/>
  <c r="AA232" i="17"/>
  <c r="S232" i="17"/>
  <c r="Z232" i="17"/>
  <c r="Y232" i="17"/>
  <c r="X232" i="17"/>
  <c r="W232" i="17"/>
  <c r="R234" i="17" l="1"/>
  <c r="AB233" i="17"/>
  <c r="AA233" i="17"/>
  <c r="Z233" i="17"/>
  <c r="Y233" i="17"/>
  <c r="X233" i="17"/>
  <c r="W233" i="17"/>
  <c r="AD233" i="17"/>
  <c r="T233" i="17"/>
  <c r="AC233" i="17"/>
  <c r="S233" i="17"/>
  <c r="U233" i="17"/>
  <c r="V233" i="17"/>
  <c r="R235" i="17" l="1"/>
  <c r="X234" i="17"/>
  <c r="W234" i="17"/>
  <c r="AD234" i="17"/>
  <c r="V234" i="17"/>
  <c r="AC234" i="17"/>
  <c r="U234" i="17"/>
  <c r="AB234" i="17"/>
  <c r="T234" i="17"/>
  <c r="AA234" i="17"/>
  <c r="S234" i="17"/>
  <c r="Z234" i="17"/>
  <c r="Y234" i="17"/>
  <c r="R236" i="17" l="1"/>
  <c r="AB235" i="17"/>
  <c r="T235" i="17"/>
  <c r="AA235" i="17"/>
  <c r="S235" i="17"/>
  <c r="Z235" i="17"/>
  <c r="Y235" i="17"/>
  <c r="X235" i="17"/>
  <c r="W235" i="17"/>
  <c r="AD235" i="17"/>
  <c r="V235" i="17"/>
  <c r="AC235" i="17"/>
  <c r="U235" i="17"/>
  <c r="R237" i="17" l="1"/>
  <c r="X236" i="17"/>
  <c r="W236" i="17"/>
  <c r="AD236" i="17"/>
  <c r="V236" i="17"/>
  <c r="AC236" i="17"/>
  <c r="U236" i="17"/>
  <c r="AB236" i="17"/>
  <c r="T236" i="17"/>
  <c r="AA236" i="17"/>
  <c r="S236" i="17"/>
  <c r="Z236" i="17"/>
  <c r="Y236" i="17"/>
  <c r="R238" i="17" l="1"/>
  <c r="AB237" i="17"/>
  <c r="T237" i="17"/>
  <c r="AA237" i="17"/>
  <c r="S237" i="17"/>
  <c r="Z237" i="17"/>
  <c r="Y237" i="17"/>
  <c r="X237" i="17"/>
  <c r="W237" i="17"/>
  <c r="AD237" i="17"/>
  <c r="V237" i="17"/>
  <c r="AC237" i="17"/>
  <c r="U237" i="17"/>
  <c r="R239" i="17" l="1"/>
  <c r="X238" i="17"/>
  <c r="W238" i="17"/>
  <c r="AD238" i="17"/>
  <c r="V238" i="17"/>
  <c r="AC238" i="17"/>
  <c r="U238" i="17"/>
  <c r="AB238" i="17"/>
  <c r="T238" i="17"/>
  <c r="AA238" i="17"/>
  <c r="S238" i="17"/>
  <c r="Z238" i="17"/>
  <c r="Y238" i="17"/>
  <c r="R240" i="17" l="1"/>
  <c r="AD239" i="17"/>
  <c r="T239" i="17"/>
  <c r="AC239" i="17"/>
  <c r="S239" i="17"/>
  <c r="AB239" i="17"/>
  <c r="AA239" i="17"/>
  <c r="Z239" i="17"/>
  <c r="Y239" i="17"/>
  <c r="V239" i="17"/>
  <c r="U239" i="17"/>
  <c r="X239" i="17"/>
  <c r="W239" i="17"/>
  <c r="R241" i="17" l="1"/>
  <c r="Z240" i="17"/>
  <c r="Y240" i="17"/>
  <c r="X240" i="17"/>
  <c r="W240" i="17"/>
  <c r="AD240" i="17"/>
  <c r="V240" i="17"/>
  <c r="AC240" i="17"/>
  <c r="U240" i="17"/>
  <c r="AB240" i="17"/>
  <c r="T240" i="17"/>
  <c r="AA240" i="17"/>
  <c r="S240" i="17"/>
  <c r="R242" i="17" l="1"/>
  <c r="AD241" i="17"/>
  <c r="V241" i="17"/>
  <c r="AC241" i="17"/>
  <c r="U241" i="17"/>
  <c r="AB241" i="17"/>
  <c r="T241" i="17"/>
  <c r="AA241" i="17"/>
  <c r="S241" i="17"/>
  <c r="Z241" i="17"/>
  <c r="Y241" i="17"/>
  <c r="X241" i="17"/>
  <c r="W241" i="17"/>
  <c r="R243" i="17" l="1"/>
  <c r="Z242" i="17"/>
  <c r="Y242" i="17"/>
  <c r="X242" i="17"/>
  <c r="W242" i="17"/>
  <c r="AD242" i="17"/>
  <c r="V242" i="17"/>
  <c r="AC242" i="17"/>
  <c r="U242" i="17"/>
  <c r="AB242" i="17"/>
  <c r="T242" i="17"/>
  <c r="AA242" i="17"/>
  <c r="S242" i="17"/>
  <c r="R244" i="17" l="1"/>
  <c r="AD243" i="17"/>
  <c r="V243" i="17"/>
  <c r="AC243" i="17"/>
  <c r="U243" i="17"/>
  <c r="AB243" i="17"/>
  <c r="T243" i="17"/>
  <c r="AA243" i="17"/>
  <c r="S243" i="17"/>
  <c r="Z243" i="17"/>
  <c r="Y243" i="17"/>
  <c r="X243" i="17"/>
  <c r="W243" i="17"/>
  <c r="R245" i="17" l="1"/>
  <c r="Z244" i="17"/>
  <c r="Y244" i="17"/>
  <c r="X244" i="17"/>
  <c r="W244" i="17"/>
  <c r="AD244" i="17"/>
  <c r="V244" i="17"/>
  <c r="AC244" i="17"/>
  <c r="U244" i="17"/>
  <c r="AB244" i="17"/>
  <c r="T244" i="17"/>
  <c r="AA244" i="17"/>
  <c r="S244" i="17"/>
  <c r="R246" i="17" l="1"/>
  <c r="AD245" i="17"/>
  <c r="V245" i="17"/>
  <c r="AC245" i="17"/>
  <c r="U245" i="17"/>
  <c r="AB245" i="17"/>
  <c r="T245" i="17"/>
  <c r="AA245" i="17"/>
  <c r="S245" i="17"/>
  <c r="Z245" i="17"/>
  <c r="Y245" i="17"/>
  <c r="X245" i="17"/>
  <c r="W245" i="17"/>
  <c r="R247" i="17" l="1"/>
  <c r="Z246" i="17"/>
  <c r="Y246" i="17"/>
  <c r="X246" i="17"/>
  <c r="W246" i="17"/>
  <c r="AD246" i="17"/>
  <c r="V246" i="17"/>
  <c r="AC246" i="17"/>
  <c r="U246" i="17"/>
  <c r="AB246" i="17"/>
  <c r="T246" i="17"/>
  <c r="AA246" i="17"/>
  <c r="S246" i="17"/>
  <c r="R248" i="17" l="1"/>
  <c r="AD247" i="17"/>
  <c r="V247" i="17"/>
  <c r="AC247" i="17"/>
  <c r="U247" i="17"/>
  <c r="AB247" i="17"/>
  <c r="T247" i="17"/>
  <c r="AA247" i="17"/>
  <c r="S247" i="17"/>
  <c r="Z247" i="17"/>
  <c r="Y247" i="17"/>
  <c r="X247" i="17"/>
  <c r="W247" i="17"/>
  <c r="R249" i="17" l="1"/>
  <c r="Z248" i="17"/>
  <c r="Y248" i="17"/>
  <c r="X248" i="17"/>
  <c r="W248" i="17"/>
  <c r="AD248" i="17"/>
  <c r="V248" i="17"/>
  <c r="AC248" i="17"/>
  <c r="U248" i="17"/>
  <c r="AB248" i="17"/>
  <c r="T248" i="17"/>
  <c r="AA248" i="17"/>
  <c r="S248" i="17"/>
  <c r="R250" i="17" l="1"/>
  <c r="AD249" i="17"/>
  <c r="V249" i="17"/>
  <c r="AC249" i="17"/>
  <c r="U249" i="17"/>
  <c r="AB249" i="17"/>
  <c r="T249" i="17"/>
  <c r="AA249" i="17"/>
  <c r="S249" i="17"/>
  <c r="Z249" i="17"/>
  <c r="Y249" i="17"/>
  <c r="X249" i="17"/>
  <c r="W249" i="17"/>
  <c r="R251" i="17" l="1"/>
  <c r="Z250" i="17"/>
  <c r="Y250" i="17"/>
  <c r="X250" i="17"/>
  <c r="W250" i="17"/>
  <c r="AD250" i="17"/>
  <c r="V250" i="17"/>
  <c r="AC250" i="17"/>
  <c r="U250" i="17"/>
  <c r="AB250" i="17"/>
  <c r="T250" i="17"/>
  <c r="AA250" i="17"/>
  <c r="S250" i="17"/>
  <c r="R252" i="17" l="1"/>
  <c r="AD251" i="17"/>
  <c r="V251" i="17"/>
  <c r="AC251" i="17"/>
  <c r="U251" i="17"/>
  <c r="AB251" i="17"/>
  <c r="T251" i="17"/>
  <c r="AA251" i="17"/>
  <c r="S251" i="17"/>
  <c r="Z251" i="17"/>
  <c r="Y251" i="17"/>
  <c r="X251" i="17"/>
  <c r="W251" i="17"/>
  <c r="R253" i="17" l="1"/>
  <c r="Z252" i="17"/>
  <c r="Y252" i="17"/>
  <c r="X252" i="17"/>
  <c r="W252" i="17"/>
  <c r="AD252" i="17"/>
  <c r="V252" i="17"/>
  <c r="AC252" i="17"/>
  <c r="U252" i="17"/>
  <c r="AB252" i="17"/>
  <c r="T252" i="17"/>
  <c r="AA252" i="17"/>
  <c r="S252" i="17"/>
  <c r="R254" i="17" l="1"/>
  <c r="AD253" i="17"/>
  <c r="V253" i="17"/>
  <c r="AC253" i="17"/>
  <c r="U253" i="17"/>
  <c r="AB253" i="17"/>
  <c r="T253" i="17"/>
  <c r="AA253" i="17"/>
  <c r="S253" i="17"/>
  <c r="Z253" i="17"/>
  <c r="Y253" i="17"/>
  <c r="X253" i="17"/>
  <c r="W253" i="17"/>
  <c r="R255" i="17" l="1"/>
  <c r="Z254" i="17"/>
  <c r="Y254" i="17"/>
  <c r="X254" i="17"/>
  <c r="W254" i="17"/>
  <c r="AD254" i="17"/>
  <c r="V254" i="17"/>
  <c r="AC254" i="17"/>
  <c r="U254" i="17"/>
  <c r="AB254" i="17"/>
  <c r="T254" i="17"/>
  <c r="AA254" i="17"/>
  <c r="S254" i="17"/>
  <c r="R256" i="17" l="1"/>
  <c r="AD255" i="17"/>
  <c r="V255" i="17"/>
  <c r="AC255" i="17"/>
  <c r="U255" i="17"/>
  <c r="AB255" i="17"/>
  <c r="T255" i="17"/>
  <c r="AA255" i="17"/>
  <c r="S255" i="17"/>
  <c r="Z255" i="17"/>
  <c r="Y255" i="17"/>
  <c r="X255" i="17"/>
  <c r="W255" i="17"/>
  <c r="R257" i="17" l="1"/>
  <c r="Z256" i="17"/>
  <c r="Y256" i="17"/>
  <c r="X256" i="17"/>
  <c r="W256" i="17"/>
  <c r="AD256" i="17"/>
  <c r="V256" i="17"/>
  <c r="AC256" i="17"/>
  <c r="U256" i="17"/>
  <c r="AB256" i="17"/>
  <c r="T256" i="17"/>
  <c r="AA256" i="17"/>
  <c r="S256" i="17"/>
  <c r="R258" i="17" l="1"/>
  <c r="AD257" i="17"/>
  <c r="V257" i="17"/>
  <c r="AC257" i="17"/>
  <c r="U257" i="17"/>
  <c r="AB257" i="17"/>
  <c r="T257" i="17"/>
  <c r="AA257" i="17"/>
  <c r="S257" i="17"/>
  <c r="Z257" i="17"/>
  <c r="Y257" i="17"/>
  <c r="X257" i="17"/>
  <c r="W257" i="17"/>
  <c r="R259" i="17" l="1"/>
  <c r="Z258" i="17"/>
  <c r="Y258" i="17"/>
  <c r="X258" i="17"/>
  <c r="W258" i="17"/>
  <c r="AD258" i="17"/>
  <c r="V258" i="17"/>
  <c r="AC258" i="17"/>
  <c r="U258" i="17"/>
  <c r="AB258" i="17"/>
  <c r="T258" i="17"/>
  <c r="AA258" i="17"/>
  <c r="S258" i="17"/>
  <c r="R260" i="17" l="1"/>
  <c r="AD259" i="17"/>
  <c r="V259" i="17"/>
  <c r="AC259" i="17"/>
  <c r="U259" i="17"/>
  <c r="AB259" i="17"/>
  <c r="T259" i="17"/>
  <c r="AA259" i="17"/>
  <c r="S259" i="17"/>
  <c r="Z259" i="17"/>
  <c r="Y259" i="17"/>
  <c r="X259" i="17"/>
  <c r="W259" i="17"/>
  <c r="R261" i="17" l="1"/>
  <c r="Z260" i="17"/>
  <c r="Y260" i="17"/>
  <c r="X260" i="17"/>
  <c r="W260" i="17"/>
  <c r="AD260" i="17"/>
  <c r="V260" i="17"/>
  <c r="AC260" i="17"/>
  <c r="U260" i="17"/>
  <c r="AB260" i="17"/>
  <c r="T260" i="17"/>
  <c r="AA260" i="17"/>
  <c r="S260" i="17"/>
  <c r="R262" i="17" l="1"/>
  <c r="AD261" i="17"/>
  <c r="V261" i="17"/>
  <c r="AC261" i="17"/>
  <c r="U261" i="17"/>
  <c r="AB261" i="17"/>
  <c r="T261" i="17"/>
  <c r="AA261" i="17"/>
  <c r="S261" i="17"/>
  <c r="Z261" i="17"/>
  <c r="Y261" i="17"/>
  <c r="X261" i="17"/>
  <c r="W261" i="17"/>
  <c r="R263" i="17" l="1"/>
  <c r="Z262" i="17"/>
  <c r="Y262" i="17"/>
  <c r="X262" i="17"/>
  <c r="W262" i="17"/>
  <c r="AD262" i="17"/>
  <c r="V262" i="17"/>
  <c r="AC262" i="17"/>
  <c r="U262" i="17"/>
  <c r="AB262" i="17"/>
  <c r="T262" i="17"/>
  <c r="AA262" i="17"/>
  <c r="S262" i="17"/>
  <c r="R264" i="17" l="1"/>
  <c r="AD263" i="17"/>
  <c r="V263" i="17"/>
  <c r="AC263" i="17"/>
  <c r="U263" i="17"/>
  <c r="AB263" i="17"/>
  <c r="T263" i="17"/>
  <c r="AA263" i="17"/>
  <c r="S263" i="17"/>
  <c r="Z263" i="17"/>
  <c r="Y263" i="17"/>
  <c r="X263" i="17"/>
  <c r="W263" i="17"/>
  <c r="R265" i="17" l="1"/>
  <c r="Z264" i="17"/>
  <c r="Y264" i="17"/>
  <c r="X264" i="17"/>
  <c r="W264" i="17"/>
  <c r="AD264" i="17"/>
  <c r="V264" i="17"/>
  <c r="AC264" i="17"/>
  <c r="U264" i="17"/>
  <c r="AB264" i="17"/>
  <c r="T264" i="17"/>
  <c r="AA264" i="17"/>
  <c r="S264" i="17"/>
  <c r="R266" i="17" l="1"/>
  <c r="AD265" i="17"/>
  <c r="V265" i="17"/>
  <c r="AC265" i="17"/>
  <c r="U265" i="17"/>
  <c r="AB265" i="17"/>
  <c r="T265" i="17"/>
  <c r="AA265" i="17"/>
  <c r="S265" i="17"/>
  <c r="Z265" i="17"/>
  <c r="Y265" i="17"/>
  <c r="X265" i="17"/>
  <c r="W265" i="17"/>
  <c r="R267" i="17" l="1"/>
  <c r="Z266" i="17"/>
  <c r="Y266" i="17"/>
  <c r="X266" i="17"/>
  <c r="W266" i="17"/>
  <c r="AD266" i="17"/>
  <c r="V266" i="17"/>
  <c r="AC266" i="17"/>
  <c r="U266" i="17"/>
  <c r="AB266" i="17"/>
  <c r="T266" i="17"/>
  <c r="AA266" i="17"/>
  <c r="S266" i="17"/>
  <c r="R268" i="17" l="1"/>
  <c r="AD267" i="17"/>
  <c r="V267" i="17"/>
  <c r="AC267" i="17"/>
  <c r="U267" i="17"/>
  <c r="AB267" i="17"/>
  <c r="T267" i="17"/>
  <c r="AA267" i="17"/>
  <c r="S267" i="17"/>
  <c r="Z267" i="17"/>
  <c r="Y267" i="17"/>
  <c r="X267" i="17"/>
  <c r="W267" i="17"/>
  <c r="R269" i="17" l="1"/>
  <c r="Z268" i="17"/>
  <c r="Y268" i="17"/>
  <c r="X268" i="17"/>
  <c r="W268" i="17"/>
  <c r="AD268" i="17"/>
  <c r="V268" i="17"/>
  <c r="AC268" i="17"/>
  <c r="U268" i="17"/>
  <c r="AB268" i="17"/>
  <c r="T268" i="17"/>
  <c r="AA268" i="17"/>
  <c r="S268" i="17"/>
  <c r="AD269" i="17" l="1"/>
  <c r="V269" i="17"/>
  <c r="AC269" i="17"/>
  <c r="U269" i="17"/>
  <c r="AB269" i="17"/>
  <c r="T269" i="17"/>
  <c r="AA269" i="17"/>
  <c r="S269" i="17"/>
  <c r="Z269" i="17"/>
  <c r="Y269" i="17"/>
  <c r="X269" i="17"/>
  <c r="W269" i="17"/>
</calcChain>
</file>

<file path=xl/sharedStrings.xml><?xml version="1.0" encoding="utf-8"?>
<sst xmlns="http://schemas.openxmlformats.org/spreadsheetml/2006/main" count="2156" uniqueCount="1634">
  <si>
    <t>000300.SH</t>
  </si>
  <si>
    <t>LastPrice</t>
    <phoneticPr fontId="2" type="noConversion"/>
  </si>
  <si>
    <t>Last</t>
    <phoneticPr fontId="2" type="noConversion"/>
  </si>
  <si>
    <t>代码</t>
  </si>
  <si>
    <t>名称</t>
  </si>
  <si>
    <t>.15.持仓数量</t>
    <phoneticPr fontId="2" type="noConversion"/>
  </si>
  <si>
    <t>.14.持仓市值</t>
    <phoneticPr fontId="2" type="noConversion"/>
  </si>
  <si>
    <t>最新价格</t>
    <phoneticPr fontId="2" type="noConversion"/>
  </si>
  <si>
    <t>P&amp;L</t>
    <phoneticPr fontId="2" type="noConversion"/>
  </si>
  <si>
    <t>Ret</t>
    <phoneticPr fontId="2" type="noConversion"/>
  </si>
  <si>
    <t>Stock.ALL</t>
  </si>
  <si>
    <t>000300.SH</t>
    <phoneticPr fontId="2" type="noConversion"/>
  </si>
  <si>
    <t>股票汇总</t>
    <phoneticPr fontId="2" type="noConversion"/>
  </si>
  <si>
    <t>tdf.quote</t>
  </si>
  <si>
    <t>price</t>
    <phoneticPr fontId="2" type="noConversion"/>
  </si>
  <si>
    <t>wdf.rtq</t>
  </si>
  <si>
    <t>PctChg</t>
    <phoneticPr fontId="2" type="noConversion"/>
  </si>
  <si>
    <t>华瑞300ETF</t>
    <phoneticPr fontId="2" type="noConversion"/>
  </si>
  <si>
    <t>(申万)</t>
  </si>
  <si>
    <t>Wind</t>
    <phoneticPr fontId="2" type="noConversion"/>
  </si>
  <si>
    <t>iFinD</t>
    <phoneticPr fontId="2" type="noConversion"/>
  </si>
  <si>
    <t>采掘</t>
  </si>
  <si>
    <t>801020.SI</t>
  </si>
  <si>
    <t>传媒</t>
  </si>
  <si>
    <t>801760.SI</t>
  </si>
  <si>
    <t>电气设备</t>
  </si>
  <si>
    <t>801730.SI</t>
  </si>
  <si>
    <t>电子</t>
  </si>
  <si>
    <t>801080.SI</t>
  </si>
  <si>
    <t>房地产</t>
  </si>
  <si>
    <t>801180.SI</t>
  </si>
  <si>
    <t>纺织服装</t>
  </si>
  <si>
    <t>801130.SI</t>
  </si>
  <si>
    <t>非银金融</t>
  </si>
  <si>
    <t>801790.SI</t>
  </si>
  <si>
    <t>钢铁</t>
  </si>
  <si>
    <t>801040.SI</t>
  </si>
  <si>
    <t>公用事业</t>
  </si>
  <si>
    <t>801160.SI</t>
  </si>
  <si>
    <t>国防军工</t>
  </si>
  <si>
    <t>801740.SI</t>
  </si>
  <si>
    <t>化工</t>
  </si>
  <si>
    <t>801030.SI</t>
  </si>
  <si>
    <t>机械设备</t>
  </si>
  <si>
    <t>801890.SI</t>
  </si>
  <si>
    <t>计算机</t>
  </si>
  <si>
    <t>801750.SI</t>
  </si>
  <si>
    <t>家用电器</t>
  </si>
  <si>
    <t>801110.SI</t>
  </si>
  <si>
    <t>建筑材料</t>
  </si>
  <si>
    <t>801710.SI</t>
  </si>
  <si>
    <t>建筑装饰</t>
  </si>
  <si>
    <t>801720.SI</t>
  </si>
  <si>
    <t>交通运输</t>
  </si>
  <si>
    <t>801170.SI</t>
  </si>
  <si>
    <t>农林牧渔</t>
  </si>
  <si>
    <t>801010.SI</t>
  </si>
  <si>
    <t>汽车</t>
  </si>
  <si>
    <t>801880.SI</t>
  </si>
  <si>
    <t>轻工制造</t>
  </si>
  <si>
    <t>801140.SI</t>
  </si>
  <si>
    <t>商业贸易</t>
  </si>
  <si>
    <t>801200.SI</t>
  </si>
  <si>
    <t>食品饮料</t>
  </si>
  <si>
    <t>801120.SI</t>
  </si>
  <si>
    <t>通信</t>
  </si>
  <si>
    <t>801770.SI</t>
  </si>
  <si>
    <t>休闲服务</t>
  </si>
  <si>
    <t>801210.SI</t>
  </si>
  <si>
    <t>医药生物</t>
  </si>
  <si>
    <t>801150.SI</t>
  </si>
  <si>
    <t>银行</t>
  </si>
  <si>
    <t>801780.SI</t>
  </si>
  <si>
    <t>有色金属</t>
  </si>
  <si>
    <t>801050.SI</t>
  </si>
  <si>
    <t>综合</t>
  </si>
  <si>
    <t>801230.SI</t>
  </si>
  <si>
    <t>ID</t>
    <phoneticPr fontId="2" type="noConversion"/>
  </si>
  <si>
    <t>IH01.CFE</t>
  </si>
  <si>
    <t>IH02.CFE</t>
  </si>
  <si>
    <t>IH03.CFE</t>
  </si>
  <si>
    <t>IF00.CFE</t>
  </si>
  <si>
    <t>IF01.CFE</t>
  </si>
  <si>
    <t>IF02.CFE</t>
  </si>
  <si>
    <t>IF03.CFE</t>
  </si>
  <si>
    <t>IC00.CFE</t>
  </si>
  <si>
    <t>IC01.CFE</t>
  </si>
  <si>
    <t>IC02.CFE</t>
  </si>
  <si>
    <t>IC03.CFE</t>
  </si>
  <si>
    <t>IH00.CFE</t>
  </si>
  <si>
    <t>204001.SH</t>
    <phoneticPr fontId="2" type="noConversion"/>
  </si>
  <si>
    <t>204002.SH</t>
    <phoneticPr fontId="2" type="noConversion"/>
  </si>
  <si>
    <t>510300.SH</t>
    <phoneticPr fontId="2" type="noConversion"/>
  </si>
  <si>
    <t>期限</t>
    <phoneticPr fontId="2" type="noConversion"/>
  </si>
  <si>
    <t>IF.ALL</t>
  </si>
  <si>
    <t>AST</t>
  </si>
  <si>
    <t>沪深300</t>
  </si>
  <si>
    <t>委托方向</t>
  </si>
  <si>
    <t>委托数量</t>
    <phoneticPr fontId="2" type="noConversion"/>
  </si>
  <si>
    <t>交易市场</t>
    <phoneticPr fontId="2" type="noConversion"/>
  </si>
  <si>
    <t>价格类型</t>
    <phoneticPr fontId="2" type="noConversion"/>
  </si>
  <si>
    <t>证券名称</t>
  </si>
  <si>
    <t>委托价格</t>
  </si>
  <si>
    <t>委托金额</t>
  </si>
  <si>
    <t>股指期货汇总</t>
    <phoneticPr fontId="2" type="noConversion"/>
  </si>
  <si>
    <t>基差</t>
    <phoneticPr fontId="2" type="noConversion"/>
  </si>
  <si>
    <t>价差</t>
    <phoneticPr fontId="2" type="noConversion"/>
  </si>
  <si>
    <t>Close</t>
    <phoneticPr fontId="2" type="noConversion"/>
  </si>
  <si>
    <t>基差</t>
    <phoneticPr fontId="2" type="noConversion"/>
  </si>
  <si>
    <t>511880.SH</t>
    <phoneticPr fontId="2" type="noConversion"/>
  </si>
  <si>
    <t>511990.SH</t>
    <phoneticPr fontId="2" type="noConversion"/>
  </si>
  <si>
    <t>150171.SZ</t>
    <phoneticPr fontId="2" type="noConversion"/>
  </si>
  <si>
    <t>合约规模</t>
    <phoneticPr fontId="2" type="noConversion"/>
  </si>
  <si>
    <t>△价差</t>
    <phoneticPr fontId="2" type="noConversion"/>
  </si>
  <si>
    <t>月均基差</t>
    <phoneticPr fontId="2" type="noConversion"/>
  </si>
  <si>
    <r>
      <rPr>
        <sz val="8"/>
        <color theme="1"/>
        <rFont val="宋体"/>
        <family val="3"/>
        <charset val="134"/>
      </rPr>
      <t>△</t>
    </r>
    <r>
      <rPr>
        <sz val="8"/>
        <color theme="1"/>
        <rFont val="Calibri"/>
        <family val="2"/>
        <charset val="134"/>
        <scheme val="minor"/>
      </rPr>
      <t>基差</t>
    </r>
    <phoneticPr fontId="2" type="noConversion"/>
  </si>
  <si>
    <r>
      <t>0.70</t>
    </r>
    <r>
      <rPr>
        <sz val="8"/>
        <color theme="1"/>
        <rFont val="宋体"/>
        <family val="3"/>
        <charset val="134"/>
      </rPr>
      <t>·</t>
    </r>
    <r>
      <rPr>
        <sz val="8"/>
        <color theme="1"/>
        <rFont val="Calibri"/>
        <family val="3"/>
        <charset val="134"/>
        <scheme val="minor"/>
      </rPr>
      <t>基差</t>
    </r>
    <phoneticPr fontId="2" type="noConversion"/>
  </si>
  <si>
    <t>122078.SH</t>
    <phoneticPr fontId="2" type="noConversion"/>
  </si>
  <si>
    <t>122267.SH</t>
    <phoneticPr fontId="2" type="noConversion"/>
  </si>
  <si>
    <t>Rt_Price</t>
    <phoneticPr fontId="2" type="noConversion"/>
  </si>
  <si>
    <t>证券代码</t>
    <phoneticPr fontId="2" type="noConversion"/>
  </si>
  <si>
    <t>000905.SH</t>
    <phoneticPr fontId="2" type="noConversion"/>
  </si>
  <si>
    <t>000016.SH</t>
    <phoneticPr fontId="2" type="noConversion"/>
  </si>
  <si>
    <t>中证500</t>
    <phoneticPr fontId="2" type="noConversion"/>
  </si>
  <si>
    <t>上证50</t>
    <phoneticPr fontId="2" type="noConversion"/>
  </si>
  <si>
    <t>510050.SH</t>
    <phoneticPr fontId="2" type="noConversion"/>
  </si>
  <si>
    <t>IC-IF</t>
    <phoneticPr fontId="2" type="noConversion"/>
  </si>
  <si>
    <t>IC-IH</t>
    <phoneticPr fontId="2" type="noConversion"/>
  </si>
  <si>
    <t>IF-IH</t>
    <phoneticPr fontId="2" type="noConversion"/>
  </si>
  <si>
    <t>Market Cap</t>
    <phoneticPr fontId="2" type="noConversion"/>
  </si>
  <si>
    <t>Bottom_1</t>
  </si>
  <si>
    <t>Decile_2</t>
  </si>
  <si>
    <t>Decile_3</t>
  </si>
  <si>
    <t>Decile_4</t>
  </si>
  <si>
    <t>Decile_5</t>
  </si>
  <si>
    <t>Decile_6</t>
  </si>
  <si>
    <t>Decile_7</t>
  </si>
  <si>
    <t>Decile_8</t>
  </si>
  <si>
    <t>Decile_9</t>
  </si>
  <si>
    <t>Top_10</t>
  </si>
  <si>
    <t>涨跌幅（%）</t>
    <phoneticPr fontId="2" type="noConversion"/>
  </si>
  <si>
    <t>中证500</t>
  </si>
  <si>
    <t>上证50</t>
  </si>
  <si>
    <t>1.07</t>
    <phoneticPr fontId="2" type="noConversion"/>
  </si>
  <si>
    <t>IC00.CFE</t>
    <phoneticPr fontId="2" type="noConversion"/>
  </si>
  <si>
    <t>(2017/1/11 - 2017/1/16)</t>
    <phoneticPr fontId="2" type="noConversion"/>
  </si>
  <si>
    <t>(总市值)</t>
    <phoneticPr fontId="2" type="noConversion"/>
  </si>
  <si>
    <t>0.19</t>
    <phoneticPr fontId="2" type="noConversion"/>
  </si>
  <si>
    <t>0.08</t>
    <phoneticPr fontId="2" type="noConversion"/>
  </si>
  <si>
    <t>0.11</t>
    <phoneticPr fontId="2" type="noConversion"/>
  </si>
  <si>
    <t>204004.SH</t>
    <phoneticPr fontId="2" type="noConversion"/>
  </si>
  <si>
    <t>PctChg</t>
    <phoneticPr fontId="2" type="noConversion"/>
  </si>
  <si>
    <t>000001.SH</t>
    <phoneticPr fontId="2" type="noConversion"/>
  </si>
  <si>
    <t>IC</t>
    <phoneticPr fontId="2" type="noConversion"/>
  </si>
  <si>
    <t>IF</t>
    <phoneticPr fontId="2" type="noConversion"/>
  </si>
  <si>
    <t>IH</t>
    <phoneticPr fontId="2" type="noConversion"/>
  </si>
  <si>
    <t>bid</t>
    <phoneticPr fontId="2" type="noConversion"/>
  </si>
  <si>
    <t>ask</t>
    <phoneticPr fontId="2" type="noConversion"/>
  </si>
  <si>
    <t xml:space="preserve"> </t>
    <phoneticPr fontId="2" type="noConversion"/>
  </si>
  <si>
    <t>399006.SZ</t>
    <phoneticPr fontId="2" type="noConversion"/>
  </si>
  <si>
    <t xml:space="preserve"> </t>
    <phoneticPr fontId="2" type="noConversion"/>
  </si>
  <si>
    <t>510500.SH</t>
    <phoneticPr fontId="2" type="noConversion"/>
  </si>
  <si>
    <t>最新市值</t>
    <phoneticPr fontId="2" type="noConversion"/>
  </si>
  <si>
    <t>turnover</t>
    <phoneticPr fontId="2" type="noConversion"/>
  </si>
  <si>
    <t>Amount</t>
    <phoneticPr fontId="2" type="noConversion"/>
  </si>
  <si>
    <t>收盘价格</t>
    <phoneticPr fontId="2" type="noConversion"/>
  </si>
  <si>
    <t>close</t>
    <phoneticPr fontId="2" type="noConversion"/>
  </si>
  <si>
    <t>PreClose</t>
    <phoneticPr fontId="2" type="noConversion"/>
  </si>
  <si>
    <t>IO2003-C-3550.CFE</t>
  </si>
  <si>
    <t>IO2003-C-3600.CFE</t>
  </si>
  <si>
    <t>IO2003-C-3650.CFE</t>
  </si>
  <si>
    <t>IO2003-C-3700.CFE</t>
  </si>
  <si>
    <t>IO2003-C-3750.CFE</t>
  </si>
  <si>
    <t>IO2003-C-3800.CFE</t>
  </si>
  <si>
    <t>IO2003-C-3850.CFE</t>
  </si>
  <si>
    <t>IO2003-C-3900.CFE</t>
  </si>
  <si>
    <t>IO2003-C-3950.CFE</t>
  </si>
  <si>
    <t>IO2003-C-4000.CFE</t>
  </si>
  <si>
    <t>IO2003-C-4050.CFE</t>
  </si>
  <si>
    <t>IO2003-C-4100.CFE</t>
  </si>
  <si>
    <t>IO2003-C-4150.CFE</t>
  </si>
  <si>
    <t>IO2003-C-4200.CFE</t>
  </si>
  <si>
    <t>IO2003-C-4250.CFE</t>
  </si>
  <si>
    <t>IO2003-C-4300.CFE</t>
  </si>
  <si>
    <t>IO2003-C-4350.CFE</t>
  </si>
  <si>
    <t>IO2003-C-4400.CFE</t>
  </si>
  <si>
    <t>IO2003-C-4450.CFE</t>
  </si>
  <si>
    <t>IO2004-C-3550.CFE</t>
  </si>
  <si>
    <t>IO2004-C-3600.CFE</t>
  </si>
  <si>
    <t>IO2004-C-3650.CFE</t>
  </si>
  <si>
    <t>IO2004-C-3700.CFE</t>
  </si>
  <si>
    <t>IO2004-C-3750.CFE</t>
  </si>
  <si>
    <t>IO2004-C-3800.CFE</t>
  </si>
  <si>
    <t>IO2004-C-3850.CFE</t>
  </si>
  <si>
    <t>IO2004-C-3900.CFE</t>
  </si>
  <si>
    <t>IO2004-C-3950.CFE</t>
  </si>
  <si>
    <t>IO2004-C-4000.CFE</t>
  </si>
  <si>
    <t>IO2004-C-4050.CFE</t>
  </si>
  <si>
    <t>IO2004-C-4100.CFE</t>
  </si>
  <si>
    <t>IO2004-C-4150.CFE</t>
  </si>
  <si>
    <t>IO2004-C-4200.CFE</t>
  </si>
  <si>
    <t>IO2004-C-4250.CFE</t>
  </si>
  <si>
    <t>IO2004-C-4300.CFE</t>
  </si>
  <si>
    <t>IO2004-C-4350.CFE</t>
  </si>
  <si>
    <t>IO2004-C-4400.CFE</t>
  </si>
  <si>
    <t>IO2004-C-4450.CFE</t>
  </si>
  <si>
    <t>IO2006-C-3500.CFE</t>
  </si>
  <si>
    <t>IO2006-C-3600.CFE</t>
  </si>
  <si>
    <t>IO2006-C-3700.CFE</t>
  </si>
  <si>
    <t>IO2006-C-3800.CFE</t>
  </si>
  <si>
    <t>IO2006-C-3900.CFE</t>
  </si>
  <si>
    <t>IO2006-C-4000.CFE</t>
  </si>
  <si>
    <t>IO2006-C-4100.CFE</t>
  </si>
  <si>
    <t>IO2006-C-4200.CFE</t>
  </si>
  <si>
    <t>IO2006-C-4300.CFE</t>
  </si>
  <si>
    <t>IO2006-C-4400.CFE</t>
  </si>
  <si>
    <t>IO2006-C-4500.CFE</t>
  </si>
  <si>
    <t>IO2009-C-3500.CFE</t>
  </si>
  <si>
    <t>IO2009-C-3600.CFE</t>
  </si>
  <si>
    <t>IO2009-C-3700.CFE</t>
  </si>
  <si>
    <t>IO2009-C-3800.CFE</t>
  </si>
  <si>
    <t>IO2009-C-3900.CFE</t>
  </si>
  <si>
    <t>IO2009-C-4000.CFE</t>
  </si>
  <si>
    <t>IO2009-C-4100.CFE</t>
  </si>
  <si>
    <t>IO2009-C-4200.CFE</t>
  </si>
  <si>
    <t>IO2009-C-4300.CFE</t>
  </si>
  <si>
    <t>IO2009-C-4400.CFE</t>
  </si>
  <si>
    <t>IO2009-C-4500.CFE</t>
  </si>
  <si>
    <t>IO2012-C-3500.CFE</t>
  </si>
  <si>
    <t>IO2012-C-3600.CFE</t>
  </si>
  <si>
    <t>IO2012-C-3700.CFE</t>
  </si>
  <si>
    <t>IO2012-C-3800.CFE</t>
  </si>
  <si>
    <t>IO2012-C-3900.CFE</t>
  </si>
  <si>
    <t>IO2012-C-4000.CFE</t>
  </si>
  <si>
    <t>IO2012-C-4100.CFE</t>
  </si>
  <si>
    <t>IO2012-C-4200.CFE</t>
  </si>
  <si>
    <t>IO2012-C-4300.CFE</t>
  </si>
  <si>
    <t>IO2012-C-4400.CFE</t>
  </si>
  <si>
    <t>IO2012-C-4500.CFE</t>
  </si>
  <si>
    <t>IO2003-P-3550.CFE</t>
  </si>
  <si>
    <t>IO2003-P-3600.CFE</t>
  </si>
  <si>
    <t>IO2003-P-3650.CFE</t>
  </si>
  <si>
    <t>IO2003-P-3700.CFE</t>
  </si>
  <si>
    <t>IO2003-P-3750.CFE</t>
  </si>
  <si>
    <t>IO2003-P-3800.CFE</t>
  </si>
  <si>
    <t>IO2003-P-3850.CFE</t>
  </si>
  <si>
    <t>IO2003-P-3900.CFE</t>
  </si>
  <si>
    <t>IO2003-P-3950.CFE</t>
  </si>
  <si>
    <t>IO2003-P-4000.CFE</t>
  </si>
  <si>
    <t>IO2003-P-4050.CFE</t>
  </si>
  <si>
    <t>IO2003-P-4100.CFE</t>
  </si>
  <si>
    <t>IO2003-P-4150.CFE</t>
  </si>
  <si>
    <t>IO2003-P-4200.CFE</t>
  </si>
  <si>
    <t>IO2003-P-4250.CFE</t>
  </si>
  <si>
    <t>IO2003-P-4300.CFE</t>
  </si>
  <si>
    <t>IO2003-P-4350.CFE</t>
  </si>
  <si>
    <t>IO2003-P-4400.CFE</t>
  </si>
  <si>
    <t>IO2003-P-4450.CFE</t>
  </si>
  <si>
    <t>IO2004-P-3550.CFE</t>
  </si>
  <si>
    <t>IO2004-P-3600.CFE</t>
  </si>
  <si>
    <t>IO2004-P-3650.CFE</t>
  </si>
  <si>
    <t>IO2004-P-3700.CFE</t>
  </si>
  <si>
    <t>IO2004-P-3750.CFE</t>
  </si>
  <si>
    <t>IO2004-P-3800.CFE</t>
  </si>
  <si>
    <t>IO2004-P-3850.CFE</t>
  </si>
  <si>
    <t>IO2004-P-3900.CFE</t>
  </si>
  <si>
    <t>IO2004-P-3950.CFE</t>
  </si>
  <si>
    <t>IO2004-P-4000.CFE</t>
  </si>
  <si>
    <t>IO2004-P-4050.CFE</t>
  </si>
  <si>
    <t>IO2004-P-4100.CFE</t>
  </si>
  <si>
    <t>IO2004-P-4150.CFE</t>
  </si>
  <si>
    <t>IO2004-P-4200.CFE</t>
  </si>
  <si>
    <t>IO2004-P-4250.CFE</t>
  </si>
  <si>
    <t>IO2004-P-4300.CFE</t>
  </si>
  <si>
    <t>IO2004-P-4350.CFE</t>
  </si>
  <si>
    <t>IO2004-P-4400.CFE</t>
  </si>
  <si>
    <t>IO2004-P-4450.CFE</t>
  </si>
  <si>
    <t>IO2006-P-3500.CFE</t>
  </si>
  <si>
    <t>IO2006-P-3600.CFE</t>
  </si>
  <si>
    <t>IO2006-P-3700.CFE</t>
  </si>
  <si>
    <t>IO2006-P-3800.CFE</t>
  </si>
  <si>
    <t>IO2006-P-3900.CFE</t>
  </si>
  <si>
    <t>IO2006-P-4000.CFE</t>
  </si>
  <si>
    <t>IO2006-P-4100.CFE</t>
  </si>
  <si>
    <t>IO2006-P-4200.CFE</t>
  </si>
  <si>
    <t>IO2006-P-4300.CFE</t>
  </si>
  <si>
    <t>IO2006-P-4400.CFE</t>
  </si>
  <si>
    <t>IO2006-P-4500.CFE</t>
  </si>
  <si>
    <t>IO2009-P-3500.CFE</t>
  </si>
  <si>
    <t>IO2009-P-3600.CFE</t>
  </si>
  <si>
    <t>IO2009-P-3700.CFE</t>
  </si>
  <si>
    <t>IO2009-P-3800.CFE</t>
  </si>
  <si>
    <t>IO2009-P-3900.CFE</t>
  </si>
  <si>
    <t>IO2009-P-4000.CFE</t>
  </si>
  <si>
    <t>IO2009-P-4100.CFE</t>
  </si>
  <si>
    <t>IO2009-P-4200.CFE</t>
  </si>
  <si>
    <t>IO2009-P-4300.CFE</t>
  </si>
  <si>
    <t>IO2009-P-4400.CFE</t>
  </si>
  <si>
    <t>IO2009-P-4500.CFE</t>
  </si>
  <si>
    <t>IO2012-P-3500.CFE</t>
  </si>
  <si>
    <t>IO2012-P-3600.CFE</t>
  </si>
  <si>
    <t>IO2012-P-3700.CFE</t>
  </si>
  <si>
    <t>IO2012-P-3800.CFE</t>
  </si>
  <si>
    <t>IO2012-P-3900.CFE</t>
  </si>
  <si>
    <t>IO2012-P-4000.CFE</t>
  </si>
  <si>
    <t>IO2012-P-4100.CFE</t>
  </si>
  <si>
    <t>IO2012-P-4200.CFE</t>
  </si>
  <si>
    <t>IO2012-P-4300.CFE</t>
  </si>
  <si>
    <t>IO2012-P-4400.CFE</t>
  </si>
  <si>
    <t>IO2012-P-4500.CFE</t>
  </si>
  <si>
    <t>Stk</t>
  </si>
  <si>
    <t>LastPrice</t>
  </si>
  <si>
    <t>Volume</t>
  </si>
  <si>
    <t>Bid_Price1</t>
  </si>
  <si>
    <t>Bid_Volume1</t>
  </si>
  <si>
    <t>Ask_Price1</t>
  </si>
  <si>
    <t>Ask_Volume1</t>
  </si>
  <si>
    <t>Input-&gt;</t>
  </si>
  <si>
    <t>10002135.SH</t>
  </si>
  <si>
    <t>10002136.SH</t>
  </si>
  <si>
    <t>10002137.SH</t>
  </si>
  <si>
    <t>10002138.SH</t>
  </si>
  <si>
    <t>10002139.SH</t>
  </si>
  <si>
    <t>10002140.SH</t>
  </si>
  <si>
    <t>10002141.SH</t>
  </si>
  <si>
    <t>10002142.SH</t>
  </si>
  <si>
    <t>10002143.SH</t>
  </si>
  <si>
    <t>10002144.SH</t>
  </si>
  <si>
    <t>10002145.SH</t>
  </si>
  <si>
    <t>10002146.SH</t>
  </si>
  <si>
    <t>10002147.SH</t>
  </si>
  <si>
    <t>10002148.SH</t>
  </si>
  <si>
    <t>10002149.SH</t>
  </si>
  <si>
    <t>10002150.SH</t>
  </si>
  <si>
    <t>10002151.SH</t>
  </si>
  <si>
    <t>10002152.SH</t>
  </si>
  <si>
    <t>10002153.SH</t>
  </si>
  <si>
    <t>10002154.SH</t>
  </si>
  <si>
    <t>10002155.SH</t>
  </si>
  <si>
    <t>10002156.SH</t>
  </si>
  <si>
    <t>10002157.SH</t>
  </si>
  <si>
    <t>10002158.SH</t>
  </si>
  <si>
    <t>10002159.SH</t>
  </si>
  <si>
    <t>10002160.SH</t>
  </si>
  <si>
    <t>10002161.SH</t>
  </si>
  <si>
    <t>10002162.SH</t>
  </si>
  <si>
    <t>10002163.SH</t>
  </si>
  <si>
    <t>10002164.SH</t>
  </si>
  <si>
    <t>10002165.SH</t>
  </si>
  <si>
    <t>10002166.SH</t>
  </si>
  <si>
    <t>10002167.SH</t>
  </si>
  <si>
    <t>10002168.SH</t>
  </si>
  <si>
    <t>10002169.SH</t>
  </si>
  <si>
    <t>10002170.SH</t>
  </si>
  <si>
    <t>10002171.SH</t>
  </si>
  <si>
    <t>10002172.SH</t>
  </si>
  <si>
    <t>10002173.SH</t>
  </si>
  <si>
    <t>10002174.SH</t>
  </si>
  <si>
    <t>10002175.SH</t>
  </si>
  <si>
    <t>10002176.SH</t>
  </si>
  <si>
    <t>10002177.SH</t>
  </si>
  <si>
    <t>10002178.SH</t>
  </si>
  <si>
    <t>10002179.SH</t>
  </si>
  <si>
    <t>10002180.SH</t>
  </si>
  <si>
    <t>10002181.SH</t>
  </si>
  <si>
    <t>10002182.SH</t>
  </si>
  <si>
    <t>10002183.SH</t>
  </si>
  <si>
    <t>10002184.SH</t>
  </si>
  <si>
    <t>10002185.SH</t>
  </si>
  <si>
    <t>10002186.SH</t>
  </si>
  <si>
    <t>10002187.SH</t>
  </si>
  <si>
    <t>10002188.SH</t>
  </si>
  <si>
    <t>510300.SH</t>
  </si>
  <si>
    <t>90000019.SZ</t>
  </si>
  <si>
    <t>90000020.SZ</t>
  </si>
  <si>
    <t>90000021.SZ</t>
  </si>
  <si>
    <t>90000022.SZ</t>
  </si>
  <si>
    <t>90000023.SZ</t>
  </si>
  <si>
    <t>90000024.SZ</t>
  </si>
  <si>
    <t>90000025.SZ</t>
  </si>
  <si>
    <t>90000026.SZ</t>
  </si>
  <si>
    <t>90000027.SZ</t>
  </si>
  <si>
    <t>90000037.SZ</t>
  </si>
  <si>
    <t>90000038.SZ</t>
  </si>
  <si>
    <t>90000039.SZ</t>
  </si>
  <si>
    <t>90000040.SZ</t>
  </si>
  <si>
    <t>90000041.SZ</t>
  </si>
  <si>
    <t>90000042.SZ</t>
  </si>
  <si>
    <t>90000043.SZ</t>
  </si>
  <si>
    <t>90000044.SZ</t>
  </si>
  <si>
    <t>90000045.SZ</t>
  </si>
  <si>
    <t>90000055.SZ</t>
  </si>
  <si>
    <t>90000056.SZ</t>
  </si>
  <si>
    <t>90000057.SZ</t>
  </si>
  <si>
    <t>90000058.SZ</t>
  </si>
  <si>
    <t>90000059.SZ</t>
  </si>
  <si>
    <t>90000060.SZ</t>
  </si>
  <si>
    <t>90000061.SZ</t>
  </si>
  <si>
    <t>90000062.SZ</t>
  </si>
  <si>
    <t>90000063.SZ</t>
  </si>
  <si>
    <t>90000075.SZ</t>
  </si>
  <si>
    <t>90000077.SZ</t>
  </si>
  <si>
    <t>90000079.SZ</t>
  </si>
  <si>
    <t>90000028.SZ</t>
  </si>
  <si>
    <t>90000029.SZ</t>
  </si>
  <si>
    <t>90000030.SZ</t>
  </si>
  <si>
    <t>90000031.SZ</t>
  </si>
  <si>
    <t>90000032.SZ</t>
  </si>
  <si>
    <t>90000033.SZ</t>
  </si>
  <si>
    <t>90000034.SZ</t>
  </si>
  <si>
    <t>90000035.SZ</t>
  </si>
  <si>
    <t>90000036.SZ</t>
  </si>
  <si>
    <t>90000046.SZ</t>
  </si>
  <si>
    <t>90000047.SZ</t>
  </si>
  <si>
    <t>90000048.SZ</t>
  </si>
  <si>
    <t>90000049.SZ</t>
  </si>
  <si>
    <t>90000050.SZ</t>
  </si>
  <si>
    <t>90000051.SZ</t>
  </si>
  <si>
    <t>90000052.SZ</t>
  </si>
  <si>
    <t>90000053.SZ</t>
  </si>
  <si>
    <t>90000054.SZ</t>
  </si>
  <si>
    <t>90000064.SZ</t>
  </si>
  <si>
    <t>90000065.SZ</t>
  </si>
  <si>
    <t>90000066.SZ</t>
  </si>
  <si>
    <t>90000067.SZ</t>
  </si>
  <si>
    <t>90000068.SZ</t>
  </si>
  <si>
    <t>90000069.SZ</t>
  </si>
  <si>
    <t>90000070.SZ</t>
  </si>
  <si>
    <t>90000071.SZ</t>
  </si>
  <si>
    <t>90000072.SZ</t>
  </si>
  <si>
    <t>90000076.SZ</t>
  </si>
  <si>
    <t>90000078.SZ</t>
  </si>
  <si>
    <t>90000080.SZ</t>
  </si>
  <si>
    <t>159919.SZ</t>
  </si>
  <si>
    <t>000300-202003-认购@3550</t>
  </si>
  <si>
    <t>000300-202003-认购@3600</t>
  </si>
  <si>
    <t>000300-202003-认购@3650</t>
  </si>
  <si>
    <t>000300-202003-认购@3700</t>
  </si>
  <si>
    <t>000300-202003-认购@3750</t>
  </si>
  <si>
    <t>000300-202003-认购@3800</t>
  </si>
  <si>
    <t>000300-202003-认购@3850</t>
  </si>
  <si>
    <t>000300-202003-认购@3900</t>
  </si>
  <si>
    <t>000300-202003-认购@3950</t>
  </si>
  <si>
    <t>000300-202003-认购@4000</t>
  </si>
  <si>
    <t>000300-202003-认购@4050</t>
  </si>
  <si>
    <t>000300-202003-认购@4100</t>
  </si>
  <si>
    <t>000300-202003-认购@4150</t>
  </si>
  <si>
    <t>000300-202003-认购@4200</t>
  </si>
  <si>
    <t>000300-202003-认购@4250</t>
  </si>
  <si>
    <t>000300-202003-认购@4300</t>
  </si>
  <si>
    <t>000300-202003-认购@4350</t>
  </si>
  <si>
    <t>000300-202003-认购@4400</t>
  </si>
  <si>
    <t>000300-202003-认购@4450</t>
  </si>
  <si>
    <t>000300-202004-认购@3550</t>
  </si>
  <si>
    <t>000300-202004-认购@3600</t>
  </si>
  <si>
    <t>000300-202004-认购@3650</t>
  </si>
  <si>
    <t>000300-202004-认购@3700</t>
  </si>
  <si>
    <t>000300-202004-认购@3750</t>
  </si>
  <si>
    <t>000300-202004-认购@3800</t>
  </si>
  <si>
    <t>000300-202004-认购@3850</t>
  </si>
  <si>
    <t>000300-202004-认购@3900</t>
  </si>
  <si>
    <t>000300-202004-认购@3950</t>
  </si>
  <si>
    <t>000300-202004-认购@4000</t>
  </si>
  <si>
    <t>000300-202004-认购@4050</t>
  </si>
  <si>
    <t>000300-202004-认购@4100</t>
  </si>
  <si>
    <t>000300-202004-认购@4150</t>
  </si>
  <si>
    <t>000300-202004-认购@4200</t>
  </si>
  <si>
    <t>000300-202004-认购@4250</t>
  </si>
  <si>
    <t>000300-202004-认购@4300</t>
  </si>
  <si>
    <t>000300-202004-认购@4350</t>
  </si>
  <si>
    <t>000300-202004-认购@4400</t>
  </si>
  <si>
    <t>000300-202004-认购@4450</t>
  </si>
  <si>
    <t>000300-202006-认购@3500</t>
  </si>
  <si>
    <t>000300-202006-认购@3600</t>
  </si>
  <si>
    <t>000300-202006-认购@3700</t>
  </si>
  <si>
    <t>000300-202006-认购@3800</t>
  </si>
  <si>
    <t>000300-202006-认购@3900</t>
  </si>
  <si>
    <t>000300-202006-认购@4000</t>
  </si>
  <si>
    <t>000300-202006-认购@4100</t>
  </si>
  <si>
    <t>000300-202006-认购@4200</t>
  </si>
  <si>
    <t>000300-202006-认购@4300</t>
  </si>
  <si>
    <t>000300-202006-认购@4400</t>
  </si>
  <si>
    <t>000300-202006-认购@4500</t>
  </si>
  <si>
    <t>000300-202009-认购@3500</t>
  </si>
  <si>
    <t>000300-202009-认购@3600</t>
  </si>
  <si>
    <t>000300-202009-认购@3700</t>
  </si>
  <si>
    <t>000300-202009-认购@3800</t>
  </si>
  <si>
    <t>000300-202009-认购@3900</t>
  </si>
  <si>
    <t>000300-202009-认购@4000</t>
  </si>
  <si>
    <t>000300-202009-认购@4100</t>
  </si>
  <si>
    <t>000300-202009-认购@4200</t>
  </si>
  <si>
    <t>000300-202009-认购@4300</t>
  </si>
  <si>
    <t>000300-202009-认购@4400</t>
  </si>
  <si>
    <t>000300-202009-认购@4500</t>
  </si>
  <si>
    <t>000300-202012-认购@3500</t>
  </si>
  <si>
    <t>000300-202012-认购@3600</t>
  </si>
  <si>
    <t>000300-202012-认购@3700</t>
  </si>
  <si>
    <t>000300-202012-认购@3800</t>
  </si>
  <si>
    <t>000300-202012-认购@3900</t>
  </si>
  <si>
    <t>000300-202012-认购@4000</t>
  </si>
  <si>
    <t>000300-202012-认购@4100</t>
  </si>
  <si>
    <t>000300-202012-认购@4200</t>
  </si>
  <si>
    <t>000300-202012-认购@4300</t>
  </si>
  <si>
    <t>000300-202012-认购@4400</t>
  </si>
  <si>
    <t>000300-202012-认购@4500</t>
  </si>
  <si>
    <t>000300-202003-认沽@3550</t>
  </si>
  <si>
    <t>000300-202003-认沽@3600</t>
  </si>
  <si>
    <t>000300-202003-认沽@3650</t>
  </si>
  <si>
    <t>000300-202003-认沽@3700</t>
  </si>
  <si>
    <t>000300-202003-认沽@3750</t>
  </si>
  <si>
    <t>000300-202003-认沽@3800</t>
  </si>
  <si>
    <t>000300-202003-认沽@3850</t>
  </si>
  <si>
    <t>000300-202003-认沽@3900</t>
  </si>
  <si>
    <t>000300-202003-认沽@3950</t>
  </si>
  <si>
    <t>000300-202003-认沽@4000</t>
  </si>
  <si>
    <t>000300-202003-认沽@4050</t>
  </si>
  <si>
    <t>000300-202003-认沽@4100</t>
  </si>
  <si>
    <t>000300-202003-认沽@4150</t>
  </si>
  <si>
    <t>000300-202003-认沽@4200</t>
  </si>
  <si>
    <t>000300-202003-认沽@4250</t>
  </si>
  <si>
    <t>000300-202003-认沽@4300</t>
  </si>
  <si>
    <t>000300-202003-认沽@4350</t>
  </si>
  <si>
    <t>000300-202003-认沽@4400</t>
  </si>
  <si>
    <t>000300-202003-认沽@4450</t>
  </si>
  <si>
    <t>000300-202004-认沽@3550</t>
  </si>
  <si>
    <t>000300-202004-认沽@3600</t>
  </si>
  <si>
    <t>000300-202004-认沽@3650</t>
  </si>
  <si>
    <t>000300-202004-认沽@3700</t>
  </si>
  <si>
    <t>000300-202004-认沽@3750</t>
  </si>
  <si>
    <t>000300-202004-认沽@3800</t>
  </si>
  <si>
    <t>000300-202004-认沽@3850</t>
  </si>
  <si>
    <t>000300-202004-认沽@3900</t>
  </si>
  <si>
    <t>000300-202004-认沽@3950</t>
  </si>
  <si>
    <t>000300-202004-认沽@4000</t>
  </si>
  <si>
    <t>000300-202004-认沽@4050</t>
  </si>
  <si>
    <t>000300-202004-认沽@4100</t>
  </si>
  <si>
    <t>000300-202004-认沽@4150</t>
  </si>
  <si>
    <t>000300-202004-认沽@4200</t>
  </si>
  <si>
    <t>000300-202004-认沽@4250</t>
  </si>
  <si>
    <t>000300-202004-认沽@4300</t>
  </si>
  <si>
    <t>000300-202004-认沽@4350</t>
  </si>
  <si>
    <t>000300-202004-认沽@4400</t>
  </si>
  <si>
    <t>000300-202004-认沽@4450</t>
  </si>
  <si>
    <t>000300-202006-认沽@3500</t>
  </si>
  <si>
    <t>000300-202006-认沽@3600</t>
  </si>
  <si>
    <t>000300-202006-认沽@3700</t>
  </si>
  <si>
    <t>000300-202006-认沽@3800</t>
  </si>
  <si>
    <t>000300-202006-认沽@3900</t>
  </si>
  <si>
    <t>000300-202006-认沽@4000</t>
  </si>
  <si>
    <t>000300-202006-认沽@4100</t>
  </si>
  <si>
    <t>000300-202006-认沽@4200</t>
  </si>
  <si>
    <t>000300-202006-认沽@4300</t>
  </si>
  <si>
    <t>000300-202006-认沽@4400</t>
  </si>
  <si>
    <t>000300-202006-认沽@4500</t>
  </si>
  <si>
    <t>000300-202009-认沽@3500</t>
  </si>
  <si>
    <t>000300-202009-认沽@3600</t>
  </si>
  <si>
    <t>000300-202009-认沽@3700</t>
  </si>
  <si>
    <t>000300-202009-认沽@3800</t>
  </si>
  <si>
    <t>000300-202009-认沽@3900</t>
  </si>
  <si>
    <t>000300-202009-认沽@4000</t>
  </si>
  <si>
    <t>000300-202009-认沽@4100</t>
  </si>
  <si>
    <t>000300-202009-认沽@4200</t>
  </si>
  <si>
    <t>000300-202009-认沽@4300</t>
  </si>
  <si>
    <t>000300-202009-认沽@4400</t>
  </si>
  <si>
    <t>000300-202009-认沽@4500</t>
  </si>
  <si>
    <t>000300-202012-认沽@3500</t>
  </si>
  <si>
    <t>000300-202012-认沽@3600</t>
  </si>
  <si>
    <t>000300-202012-认沽@3700</t>
  </si>
  <si>
    <t>000300-202012-认沽@3800</t>
  </si>
  <si>
    <t>000300-202012-认沽@3900</t>
  </si>
  <si>
    <t>000300-202012-认沽@4000</t>
  </si>
  <si>
    <t>000300-202012-认沽@4100</t>
  </si>
  <si>
    <t>000300-202012-认沽@4200</t>
  </si>
  <si>
    <t>000300-202012-认沽@4300</t>
  </si>
  <si>
    <t>000300-202012-认沽@4400</t>
  </si>
  <si>
    <t>000300-202012-认沽@4500</t>
  </si>
  <si>
    <t>510300-202002-认购@3.6</t>
  </si>
  <si>
    <t>510300-202002-认购@3.7</t>
  </si>
  <si>
    <t>510300-202002-认购@3.8</t>
  </si>
  <si>
    <t>510300-202002-认购@3.9</t>
  </si>
  <si>
    <t>510300-202002-认购@4</t>
  </si>
  <si>
    <t>510300-202002-认购@4.1</t>
  </si>
  <si>
    <t>510300-202002-认购@4.2</t>
  </si>
  <si>
    <t>510300-202002-认购@4.3</t>
  </si>
  <si>
    <t>510300-202002-认购@4.4</t>
  </si>
  <si>
    <t>510300-202002-认沽@3.6</t>
  </si>
  <si>
    <t>510300-202002-认沽@3.7</t>
  </si>
  <si>
    <t>510300-202002-认沽@3.8</t>
  </si>
  <si>
    <t>510300-202002-认沽@3.9</t>
  </si>
  <si>
    <t>510300-202002-认沽@4</t>
  </si>
  <si>
    <t>510300-202002-认沽@4.1</t>
  </si>
  <si>
    <t>510300-202002-认沽@4.2</t>
  </si>
  <si>
    <t>510300-202002-认沽@4.3</t>
  </si>
  <si>
    <t>510300-202002-认沽@4.4</t>
  </si>
  <si>
    <t>510300-202003-认购@3.6</t>
  </si>
  <si>
    <t>510300-202003-认购@3.7</t>
  </si>
  <si>
    <t>510300-202003-认购@3.8</t>
  </si>
  <si>
    <t>510300-202003-认购@3.9</t>
  </si>
  <si>
    <t>510300-202003-认购@4</t>
  </si>
  <si>
    <t>510300-202003-认购@4.1</t>
  </si>
  <si>
    <t>510300-202003-认购@4.2</t>
  </si>
  <si>
    <t>510300-202003-认购@4.3</t>
  </si>
  <si>
    <t>510300-202003-认购@4.4</t>
  </si>
  <si>
    <t>510300-202003-认沽@3.6</t>
  </si>
  <si>
    <t>510300-202003-认沽@3.7</t>
  </si>
  <si>
    <t>510300-202003-认沽@3.8</t>
  </si>
  <si>
    <t>510300-202003-认沽@3.9</t>
  </si>
  <si>
    <t>510300-202003-认沽@4</t>
  </si>
  <si>
    <t>510300-202003-认沽@4.1</t>
  </si>
  <si>
    <t>510300-202003-认沽@4.2</t>
  </si>
  <si>
    <t>510300-202003-认沽@4.3</t>
  </si>
  <si>
    <t>510300-202003-认沽@4.4</t>
  </si>
  <si>
    <t>510300-202006-认购@3.6</t>
  </si>
  <si>
    <t>510300-202006-认购@3.7</t>
  </si>
  <si>
    <t>510300-202006-认购@3.8</t>
  </si>
  <si>
    <t>510300-202006-认购@3.9</t>
  </si>
  <si>
    <t>510300-202006-认购@4</t>
  </si>
  <si>
    <t>510300-202006-认购@4.1</t>
  </si>
  <si>
    <t>510300-202006-认购@4.2</t>
  </si>
  <si>
    <t>510300-202006-认购@4.3</t>
  </si>
  <si>
    <t>510300-202006-认购@4.4</t>
  </si>
  <si>
    <t>510300-202006-认沽@3.6</t>
  </si>
  <si>
    <t>510300-202006-认沽@3.7</t>
  </si>
  <si>
    <t>510300-202006-认沽@3.8</t>
  </si>
  <si>
    <t>510300-202006-认沽@3.9</t>
  </si>
  <si>
    <t>510300-202006-认沽@4</t>
  </si>
  <si>
    <t>510300-202006-认沽@4.1</t>
  </si>
  <si>
    <t>510300-202006-认沽@4.2</t>
  </si>
  <si>
    <t>510300-202006-认沽@4.3</t>
  </si>
  <si>
    <t>510300-202006-认沽@4.4</t>
  </si>
  <si>
    <t>159919-202002-认购@3.7</t>
  </si>
  <si>
    <t>159919-202002-认购@3.8</t>
  </si>
  <si>
    <t>159919-202002-认购@3.9</t>
  </si>
  <si>
    <t>159919-202002-认购@4</t>
  </si>
  <si>
    <t>159919-202002-认购@4.1</t>
  </si>
  <si>
    <t>159919-202002-认购@4.2</t>
  </si>
  <si>
    <t>159919-202002-认购@4.3</t>
  </si>
  <si>
    <t>159919-202002-认购@4.4</t>
  </si>
  <si>
    <t>159919-202002-认购@4.5</t>
  </si>
  <si>
    <t>159919-202003-认购@3.7</t>
  </si>
  <si>
    <t>159919-202003-认购@3.8</t>
  </si>
  <si>
    <t>159919-202003-认购@3.9</t>
  </si>
  <si>
    <t>159919-202003-认购@4</t>
  </si>
  <si>
    <t>159919-202003-认购@4.1</t>
  </si>
  <si>
    <t>159919-202003-认购@4.2</t>
  </si>
  <si>
    <t>159919-202003-认购@4.3</t>
  </si>
  <si>
    <t>159919-202003-认购@4.4</t>
  </si>
  <si>
    <t>159919-202003-认购@4.5</t>
  </si>
  <si>
    <t>159919-202006-认购@3.7</t>
  </si>
  <si>
    <t>159919-202006-认购@3.8</t>
  </si>
  <si>
    <t>159919-202006-认购@3.9</t>
  </si>
  <si>
    <t>159919-202006-认购@4</t>
  </si>
  <si>
    <t>159919-202006-认购@4.1</t>
  </si>
  <si>
    <t>159919-202006-认购@4.2</t>
  </si>
  <si>
    <t>159919-202006-认购@4.3</t>
  </si>
  <si>
    <t>159919-202006-认购@4.4</t>
  </si>
  <si>
    <t>159919-202006-认购@4.5</t>
  </si>
  <si>
    <t>159919-202002-认购@3.6</t>
  </si>
  <si>
    <t>159919-202003-认购@3.6</t>
  </si>
  <si>
    <t>159919-202006-认购@3.6</t>
  </si>
  <si>
    <t>159919-202002-认沽@3.7</t>
  </si>
  <si>
    <t>159919-202002-认沽@3.8</t>
  </si>
  <si>
    <t>159919-202002-认沽@3.9</t>
  </si>
  <si>
    <t>159919-202002-认沽@4</t>
  </si>
  <si>
    <t>159919-202002-认沽@4.1</t>
  </si>
  <si>
    <t>159919-202002-认沽@4.2</t>
  </si>
  <si>
    <t>159919-202002-认沽@4.3</t>
  </si>
  <si>
    <t>159919-202002-认沽@4.4</t>
  </si>
  <si>
    <t>159919-202002-认沽@4.5</t>
  </si>
  <si>
    <t>159919-202003-认沽@3.7</t>
  </si>
  <si>
    <t>159919-202003-认沽@3.8</t>
  </si>
  <si>
    <t>159919-202003-认沽@3.9</t>
  </si>
  <si>
    <t>159919-202003-认沽@4</t>
  </si>
  <si>
    <t>159919-202003-认沽@4.1</t>
  </si>
  <si>
    <t>159919-202003-认沽@4.2</t>
  </si>
  <si>
    <t>159919-202003-认沽@4.3</t>
  </si>
  <si>
    <t>159919-202003-认沽@4.4</t>
  </si>
  <si>
    <t>159919-202003-认沽@4.5</t>
  </si>
  <si>
    <t>159919-202006-认沽@3.7</t>
  </si>
  <si>
    <t>159919-202006-认沽@3.8</t>
  </si>
  <si>
    <t>159919-202006-认沽@3.9</t>
  </si>
  <si>
    <t>159919-202006-认沽@4</t>
  </si>
  <si>
    <t>159919-202006-认沽@4.1</t>
  </si>
  <si>
    <t>159919-202006-认沽@4.2</t>
  </si>
  <si>
    <t>159919-202006-认沽@4.3</t>
  </si>
  <si>
    <t>159919-202006-认沽@4.4</t>
  </si>
  <si>
    <t>159919-202006-认沽@4.5</t>
  </si>
  <si>
    <t>159919-202002-认沽@3.6</t>
  </si>
  <si>
    <t>159919-202003-认沽@3.6</t>
  </si>
  <si>
    <t>159919-202006-认沽@3.6</t>
  </si>
  <si>
    <t>ExchCode</t>
  </si>
  <si>
    <t>Contract</t>
  </si>
  <si>
    <t>Implied_Vol</t>
  </si>
  <si>
    <t>Last/Last_300</t>
  </si>
  <si>
    <t>IO</t>
  </si>
  <si>
    <t>SH</t>
  </si>
  <si>
    <t>SZ</t>
  </si>
  <si>
    <t>IO2002-P</t>
  </si>
  <si>
    <t>IO2003-P</t>
  </si>
  <si>
    <t>IO2004-P</t>
  </si>
  <si>
    <t>IO2006-P</t>
  </si>
  <si>
    <t>IO2009-P</t>
  </si>
  <si>
    <t>IO2012-P</t>
  </si>
  <si>
    <t>SH2002-P</t>
  </si>
  <si>
    <t>SZ2002-P</t>
  </si>
  <si>
    <t>SH2001-P</t>
  </si>
  <si>
    <t>SZ2001-P</t>
  </si>
  <si>
    <t>SH2003-P</t>
  </si>
  <si>
    <t>SZ2003-P</t>
  </si>
  <si>
    <t>SH2006-P</t>
  </si>
  <si>
    <t>SZ2006-P</t>
  </si>
  <si>
    <t>IO2002-C</t>
  </si>
  <si>
    <t>IO2003-C</t>
  </si>
  <si>
    <t>IO2004-C</t>
  </si>
  <si>
    <t>IO2006-C</t>
  </si>
  <si>
    <t>IO2009-C</t>
  </si>
  <si>
    <t>IO2012-C</t>
  </si>
  <si>
    <t>SH2002-C</t>
  </si>
  <si>
    <t>SZ2002-C</t>
  </si>
  <si>
    <t>SH2001-C</t>
  </si>
  <si>
    <t>SZ2001-C</t>
  </si>
  <si>
    <t>SH2003-C</t>
  </si>
  <si>
    <t>SZ2003-C</t>
  </si>
  <si>
    <t>SH2006-C</t>
  </si>
  <si>
    <t>SZ2006-C</t>
  </si>
  <si>
    <t>Description</t>
  </si>
  <si>
    <t>IO2003-C@-0.031</t>
  </si>
  <si>
    <t>IO2003-C@-0.006</t>
  </si>
  <si>
    <t>IO2003-C@0.006</t>
  </si>
  <si>
    <t>IO2003-C@0.018</t>
  </si>
  <si>
    <t>IO2004-C@-0.031</t>
  </si>
  <si>
    <t>IO2004-C@-0.006</t>
  </si>
  <si>
    <t>IO2004-C@0.006</t>
  </si>
  <si>
    <t>IO2004-C@0.018</t>
  </si>
  <si>
    <t>IO2006-C@-0.031</t>
  </si>
  <si>
    <t>IO2006-C@-0.006</t>
  </si>
  <si>
    <t>IO2006-C@0.018</t>
  </si>
  <si>
    <t>IO2009-C@-0.031</t>
  </si>
  <si>
    <t>IO2009-C@-0.006</t>
  </si>
  <si>
    <t>IO2009-C@0.018</t>
  </si>
  <si>
    <t>IO2012-C@-0.031</t>
  </si>
  <si>
    <t>IO2012-C@-0.006</t>
  </si>
  <si>
    <t>IO2012-C@0.018</t>
  </si>
  <si>
    <t>IO2003-P@-0.031</t>
  </si>
  <si>
    <t>IO2003-P@-0.006</t>
  </si>
  <si>
    <t>IO2003-P@0.006</t>
  </si>
  <si>
    <t>IO2003-P@0.018</t>
  </si>
  <si>
    <t>IO2004-P@-0.031</t>
  </si>
  <si>
    <t>IO2004-P@-0.006</t>
  </si>
  <si>
    <t>IO2004-P@0.006</t>
  </si>
  <si>
    <t>IO2004-P@0.018</t>
  </si>
  <si>
    <t>IO2006-P@-0.031</t>
  </si>
  <si>
    <t>IO2006-P@-0.006</t>
  </si>
  <si>
    <t>IO2006-P@0.018</t>
  </si>
  <si>
    <t>IO2009-P@-0.031</t>
  </si>
  <si>
    <t>IO2009-P@-0.006</t>
  </si>
  <si>
    <t>IO2009-P@0.018</t>
  </si>
  <si>
    <t>IO2012-P@-0.031</t>
  </si>
  <si>
    <t>IO2012-P@-0.006</t>
  </si>
  <si>
    <t>IO2012-P@0.018</t>
  </si>
  <si>
    <t>SH2002-C@0.094</t>
  </si>
  <si>
    <t>SH2002-P@0.094</t>
  </si>
  <si>
    <t>SH2003-C@0.094</t>
  </si>
  <si>
    <t>SH2003-P@0.094</t>
  </si>
  <si>
    <t>SH2006-C@0.094</t>
  </si>
  <si>
    <t>SH2006-P@0.094</t>
  </si>
  <si>
    <t>SZ2002-C@0.076</t>
  </si>
  <si>
    <t>SZ2002-C@0.1</t>
  </si>
  <si>
    <t>SZ2003-C@0.076</t>
  </si>
  <si>
    <t>SZ2003-C@0.1</t>
  </si>
  <si>
    <t>SZ2006-C@0.076</t>
  </si>
  <si>
    <t>SZ2006-C@0.1</t>
  </si>
  <si>
    <t>SZ2002-P@0.076</t>
  </si>
  <si>
    <t>SZ2002-P@0.1</t>
  </si>
  <si>
    <t>SZ2003-P@0.076</t>
  </si>
  <si>
    <t>SZ2003-P@0.1</t>
  </si>
  <si>
    <t>SZ2006-P@0.076</t>
  </si>
  <si>
    <t>SZ2006-P@0.1</t>
  </si>
  <si>
    <t>Stk/Last_300</t>
  </si>
  <si>
    <t>LastPrAdj</t>
  </si>
  <si>
    <t>Ret</t>
  </si>
  <si>
    <t>Prem/Disc</t>
  </si>
  <si>
    <t>Sym</t>
  </si>
  <si>
    <t>Time</t>
  </si>
  <si>
    <t>Ask/Last_300</t>
  </si>
  <si>
    <t>Bid/Last_300</t>
  </si>
  <si>
    <t>Contract@Stk</t>
  </si>
  <si>
    <t>IO2003-C-3300.CFE</t>
  </si>
  <si>
    <t>IO2003-C-3350.CFE</t>
  </si>
  <si>
    <t>IO2003-C-3400.CFE</t>
  </si>
  <si>
    <t>IO2003-C-3450.CFE</t>
  </si>
  <si>
    <t>IO2003-C-3500.CFE</t>
  </si>
  <si>
    <t>IO2003-C-4500.CFE</t>
  </si>
  <si>
    <t>IO2003-C-4550.CFE</t>
  </si>
  <si>
    <t>IO2003-C-4600.CFE</t>
  </si>
  <si>
    <t>IO2003-C-4650.CFE</t>
  </si>
  <si>
    <t>IO2003-P-3300.CFE</t>
  </si>
  <si>
    <t>IO2003-P-3350.CFE</t>
  </si>
  <si>
    <t>IO2003-P-3400.CFE</t>
  </si>
  <si>
    <t>IO2003-P-3450.CFE</t>
  </si>
  <si>
    <t>IO2003-P-3500.CFE</t>
  </si>
  <si>
    <t>IO2003-P-4500.CFE</t>
  </si>
  <si>
    <t>IO2003-P-4550.CFE</t>
  </si>
  <si>
    <t>IO2003-P-4600.CFE</t>
  </si>
  <si>
    <t>IO2003-P-4650.CFE</t>
  </si>
  <si>
    <t>IO2004-C-3300.CFE</t>
  </si>
  <si>
    <t>IO2004-C-3350.CFE</t>
  </si>
  <si>
    <t>IO2004-C-3400.CFE</t>
  </si>
  <si>
    <t>IO2004-C-3450.CFE</t>
  </si>
  <si>
    <t>IO2004-C-3500.CFE</t>
  </si>
  <si>
    <t>IO2004-C-4500.CFE</t>
  </si>
  <si>
    <t>IO2004-C-4550.CFE</t>
  </si>
  <si>
    <t>IO2004-C-4600.CFE</t>
  </si>
  <si>
    <t>IO2004-C-4650.CFE</t>
  </si>
  <si>
    <t>IO2004-P-3300.CFE</t>
  </si>
  <si>
    <t>IO2004-P-3350.CFE</t>
  </si>
  <si>
    <t>IO2004-P-3400.CFE</t>
  </si>
  <si>
    <t>IO2004-P-3450.CFE</t>
  </si>
  <si>
    <t>IO2004-P-3500.CFE</t>
  </si>
  <si>
    <t>IO2004-P-4500.CFE</t>
  </si>
  <si>
    <t>IO2004-P-4550.CFE</t>
  </si>
  <si>
    <t>IO2004-P-4600.CFE</t>
  </si>
  <si>
    <t>IO2004-P-4650.CFE</t>
  </si>
  <si>
    <t>IO2005-C-3700.CFE</t>
  </si>
  <si>
    <t>IO2005-C-3750.CFE</t>
  </si>
  <si>
    <t>IO2005-C-3800.CFE</t>
  </si>
  <si>
    <t>IO2005-C-3850.CFE</t>
  </si>
  <si>
    <t>IO2005-C-3900.CFE</t>
  </si>
  <si>
    <t>IO2005-C-3950.CFE</t>
  </si>
  <si>
    <t>IO2005-C-4000.CFE</t>
  </si>
  <si>
    <t>IO2005-C-4050.CFE</t>
  </si>
  <si>
    <t>IO2005-C-4100.CFE</t>
  </si>
  <si>
    <t>IO2005-C-4150.CFE</t>
  </si>
  <si>
    <t>IO2005-C-4200.CFE</t>
  </si>
  <si>
    <t>IO2005-C-4250.CFE</t>
  </si>
  <si>
    <t>IO2005-C-4300.CFE</t>
  </si>
  <si>
    <t>IO2005-C-4350.CFE</t>
  </si>
  <si>
    <t>IO2005-C-4400.CFE</t>
  </si>
  <si>
    <t>IO2005-C-4450.CFE</t>
  </si>
  <si>
    <t>IO2005-C-4500.CFE</t>
  </si>
  <si>
    <t>IO2005-C-4550.CFE</t>
  </si>
  <si>
    <t>IO2005-C-4600.CFE</t>
  </si>
  <si>
    <t>IO2005-P-3700.CFE</t>
  </si>
  <si>
    <t>IO2005-P-3750.CFE</t>
  </si>
  <si>
    <t>IO2005-P-3800.CFE</t>
  </si>
  <si>
    <t>IO2005-P-3850.CFE</t>
  </si>
  <si>
    <t>IO2005-P-3900.CFE</t>
  </si>
  <si>
    <t>IO2005-P-3950.CFE</t>
  </si>
  <si>
    <t>IO2005-P-4000.CFE</t>
  </si>
  <si>
    <t>IO2005-P-4050.CFE</t>
  </si>
  <si>
    <t>IO2005-P-4100.CFE</t>
  </si>
  <si>
    <t>IO2005-P-4150.CFE</t>
  </si>
  <si>
    <t>IO2005-P-4200.CFE</t>
  </si>
  <si>
    <t>IO2005-P-4250.CFE</t>
  </si>
  <si>
    <t>IO2005-P-4300.CFE</t>
  </si>
  <si>
    <t>IO2005-P-4350.CFE</t>
  </si>
  <si>
    <t>IO2005-P-4400.CFE</t>
  </si>
  <si>
    <t>IO2005-P-4450.CFE</t>
  </si>
  <si>
    <t>IO2005-P-4500.CFE</t>
  </si>
  <si>
    <t>IO2005-P-4550.CFE</t>
  </si>
  <si>
    <t>IO2005-P-4600.CFE</t>
  </si>
  <si>
    <t>IO2006-C-3300.CFE</t>
  </si>
  <si>
    <t>IO2006-C-3400.CFE</t>
  </si>
  <si>
    <t>IO2006-C-4600.CFE</t>
  </si>
  <si>
    <t>IO2006-C-4700.CFE</t>
  </si>
  <si>
    <t>IO2006-P-3300.CFE</t>
  </si>
  <si>
    <t>IO2006-P-3400.CFE</t>
  </si>
  <si>
    <t>IO2006-P-4600.CFE</t>
  </si>
  <si>
    <t>IO2006-P-4700.CFE</t>
  </si>
  <si>
    <t>IO2009-C-3300.CFE</t>
  </si>
  <si>
    <t>IO2009-C-3400.CFE</t>
  </si>
  <si>
    <t>IO2009-C-4600.CFE</t>
  </si>
  <si>
    <t>IO2009-C-4700.CFE</t>
  </si>
  <si>
    <t>IO2009-P-3300.CFE</t>
  </si>
  <si>
    <t>IO2009-P-3400.CFE</t>
  </si>
  <si>
    <t>IO2009-P-4600.CFE</t>
  </si>
  <si>
    <t>IO2009-P-4700.CFE</t>
  </si>
  <si>
    <t>IO2012-C-3300.CFE</t>
  </si>
  <si>
    <t>IO2012-C-3400.CFE</t>
  </si>
  <si>
    <t>IO2012-C-4600.CFE</t>
  </si>
  <si>
    <t>IO2012-C-4700.CFE</t>
  </si>
  <si>
    <t>IO2012-P-3300.CFE</t>
  </si>
  <si>
    <t>IO2012-P-3400.CFE</t>
  </si>
  <si>
    <t>IO2012-P-4600.CFE</t>
  </si>
  <si>
    <t>IO2012-P-4700.CFE</t>
  </si>
  <si>
    <t>10002217.SH</t>
  </si>
  <si>
    <t>10002218.SH</t>
  </si>
  <si>
    <t>10002219.SH</t>
  </si>
  <si>
    <t>10002220.SH</t>
  </si>
  <si>
    <t>10002221.SH</t>
  </si>
  <si>
    <t>10002222.SH</t>
  </si>
  <si>
    <t>10002225.SH</t>
  </si>
  <si>
    <t>10002226.SH</t>
  </si>
  <si>
    <t>10002227.SH</t>
  </si>
  <si>
    <t>10002228.SH</t>
  </si>
  <si>
    <t>10002229.SH</t>
  </si>
  <si>
    <t>10002230.SH</t>
  </si>
  <si>
    <t>10002249.SH</t>
  </si>
  <si>
    <t>10002250.SH</t>
  </si>
  <si>
    <t>10002251.SH</t>
  </si>
  <si>
    <t>10002252.SH</t>
  </si>
  <si>
    <t>10002253.SH</t>
  </si>
  <si>
    <t>10002254.SH</t>
  </si>
  <si>
    <t>10002255.SH</t>
  </si>
  <si>
    <t>10002256.SH</t>
  </si>
  <si>
    <t>10002257.SH</t>
  </si>
  <si>
    <t>10002258.SH</t>
  </si>
  <si>
    <t>10002259.SH</t>
  </si>
  <si>
    <t>10002260.SH</t>
  </si>
  <si>
    <t>10002261.SH</t>
  </si>
  <si>
    <t>10002262.SH</t>
  </si>
  <si>
    <t>10002263.SH</t>
  </si>
  <si>
    <t>10002264.SH</t>
  </si>
  <si>
    <t>10002265.SH</t>
  </si>
  <si>
    <t>10002266.SH</t>
  </si>
  <si>
    <t>10002271.SH</t>
  </si>
  <si>
    <t>10002272.SH</t>
  </si>
  <si>
    <t>10002309.SH</t>
  </si>
  <si>
    <t>10002310.SH</t>
  </si>
  <si>
    <t>10002311.SH</t>
  </si>
  <si>
    <t>10002312.SH</t>
  </si>
  <si>
    <t>10002313.SH</t>
  </si>
  <si>
    <t>10002314.SH</t>
  </si>
  <si>
    <t>10002315.SH</t>
  </si>
  <si>
    <t>10002316.SH</t>
  </si>
  <si>
    <t>10002317.SH</t>
  </si>
  <si>
    <t>10002318.SH</t>
  </si>
  <si>
    <t>10002319.SH</t>
  </si>
  <si>
    <t>10002320.SH</t>
  </si>
  <si>
    <t>10002321.SH</t>
  </si>
  <si>
    <t>10002322.SH</t>
  </si>
  <si>
    <t>10002323.SH</t>
  </si>
  <si>
    <t>10002324.SH</t>
  </si>
  <si>
    <t>10002325.SH</t>
  </si>
  <si>
    <t>10002326.SH</t>
  </si>
  <si>
    <t>10002327.SH</t>
  </si>
  <si>
    <t>10002328.SH</t>
  </si>
  <si>
    <t>10002329.SH</t>
  </si>
  <si>
    <t>10002330.SH</t>
  </si>
  <si>
    <t>10002331.SH</t>
  </si>
  <si>
    <t>10002332.SH</t>
  </si>
  <si>
    <t>90000083.SZ</t>
  </si>
  <si>
    <t>90000084.SZ</t>
  </si>
  <si>
    <t>90000085.SZ</t>
  </si>
  <si>
    <t>90000086.SZ</t>
  </si>
  <si>
    <t>90000087.SZ</t>
  </si>
  <si>
    <t>90000088.SZ</t>
  </si>
  <si>
    <t>90000091.SZ</t>
  </si>
  <si>
    <t>90000092.SZ</t>
  </si>
  <si>
    <t>90000093.SZ</t>
  </si>
  <si>
    <t>90000094.SZ</t>
  </si>
  <si>
    <t>90000095.SZ</t>
  </si>
  <si>
    <t>90000096.SZ</t>
  </si>
  <si>
    <t>90000097.SZ</t>
  </si>
  <si>
    <t>90000098.SZ</t>
  </si>
  <si>
    <t>90000099.SZ</t>
  </si>
  <si>
    <t>90000100.SZ</t>
  </si>
  <si>
    <t>90000101.SZ</t>
  </si>
  <si>
    <t>90000102.SZ</t>
  </si>
  <si>
    <t>90000103.SZ</t>
  </si>
  <si>
    <t>90000104.SZ</t>
  </si>
  <si>
    <t>90000105.SZ</t>
  </si>
  <si>
    <t>90000106.SZ</t>
  </si>
  <si>
    <t>90000107.SZ</t>
  </si>
  <si>
    <t>90000108.SZ</t>
  </si>
  <si>
    <t>90000109.SZ</t>
  </si>
  <si>
    <t>90000110.SZ</t>
  </si>
  <si>
    <t>90000111.SZ</t>
  </si>
  <si>
    <t>90000112.SZ</t>
  </si>
  <si>
    <t>90000113.SZ</t>
  </si>
  <si>
    <t>90000114.SZ</t>
  </si>
  <si>
    <t>90000115.SZ</t>
  </si>
  <si>
    <t>90000116.SZ</t>
  </si>
  <si>
    <t>90000117.SZ</t>
  </si>
  <si>
    <t>90000118.SZ</t>
  </si>
  <si>
    <t>90000119.SZ</t>
  </si>
  <si>
    <t>90000120.SZ</t>
  </si>
  <si>
    <t>90000121.SZ</t>
  </si>
  <si>
    <t>90000122.SZ</t>
  </si>
  <si>
    <t>90000123.SZ</t>
  </si>
  <si>
    <t>90000124.SZ</t>
  </si>
  <si>
    <t>90000125.SZ</t>
  </si>
  <si>
    <t>90000126.SZ</t>
  </si>
  <si>
    <t>90000127.SZ</t>
  </si>
  <si>
    <t>90000128.SZ</t>
  </si>
  <si>
    <t>90000129.SZ</t>
  </si>
  <si>
    <t>90000130.SZ</t>
  </si>
  <si>
    <t>90000131.SZ</t>
  </si>
  <si>
    <t>90000132.SZ</t>
  </si>
  <si>
    <t>90000133.SZ</t>
  </si>
  <si>
    <t>90000134.SZ</t>
  </si>
  <si>
    <t>90000135.SZ</t>
  </si>
  <si>
    <t>90000136.SZ</t>
  </si>
  <si>
    <t>90000137.SZ</t>
  </si>
  <si>
    <t>90000138.SZ</t>
  </si>
  <si>
    <t>90000139.SZ</t>
  </si>
  <si>
    <t>90000140.SZ</t>
  </si>
  <si>
    <t>90000141.SZ</t>
  </si>
  <si>
    <t>90000142.SZ</t>
  </si>
  <si>
    <t>000300-202003-认购@3300</t>
  </si>
  <si>
    <t>IO2003-C@-0.2</t>
  </si>
  <si>
    <t>000300-202003-认购@3350</t>
  </si>
  <si>
    <t>IO2003-C@-0.188</t>
  </si>
  <si>
    <t>000300-202003-认购@3400</t>
  </si>
  <si>
    <t>IO2003-C@-0.176</t>
  </si>
  <si>
    <t>000300-202003-认购@3450</t>
  </si>
  <si>
    <t>IO2003-C@-0.164</t>
  </si>
  <si>
    <t>000300-202003-认购@3500</t>
  </si>
  <si>
    <t>IO2003-C@-0.152</t>
  </si>
  <si>
    <t>IO2003-C@-0.14</t>
  </si>
  <si>
    <t>IO2003-C@-0.128</t>
  </si>
  <si>
    <t>IO2003-C@-0.115</t>
  </si>
  <si>
    <t>IO2003-C@-0.103</t>
  </si>
  <si>
    <t>IO2003-C@-0.091</t>
  </si>
  <si>
    <t>IO2003-C@-0.079</t>
  </si>
  <si>
    <t>IO2003-C@-0.067</t>
  </si>
  <si>
    <t>IO2003-C@-0.055</t>
  </si>
  <si>
    <t>IO2003-C@-0.043</t>
  </si>
  <si>
    <t>IO2003-C@-0.018</t>
  </si>
  <si>
    <t>IO2003-C@0.03</t>
  </si>
  <si>
    <t>IO2003-C@0.042</t>
  </si>
  <si>
    <t>IO2003-C@0.054</t>
  </si>
  <si>
    <t>IO2003-C@0.066</t>
  </si>
  <si>
    <t>IO2003-C@0.079</t>
  </si>
  <si>
    <t>000300-202003-认购@4500</t>
  </si>
  <si>
    <t>IO2003-C@0.091</t>
  </si>
  <si>
    <t>000300-202003-认购@4550</t>
  </si>
  <si>
    <t>IO2003-C@0.103</t>
  </si>
  <si>
    <t>000300-202003-认购@4600</t>
  </si>
  <si>
    <t>IO2003-C@0.115</t>
  </si>
  <si>
    <t>000300-202003-认购@4650</t>
  </si>
  <si>
    <t>IO2003-C@0.127</t>
  </si>
  <si>
    <t>000300-202003-认沽@3300</t>
  </si>
  <si>
    <t>IO2003-P@-0.2</t>
  </si>
  <si>
    <t>000300-202003-认沽@3350</t>
  </si>
  <si>
    <t>IO2003-P@-0.188</t>
  </si>
  <si>
    <t>000300-202003-认沽@3400</t>
  </si>
  <si>
    <t>IO2003-P@-0.176</t>
  </si>
  <si>
    <t>000300-202003-认沽@3450</t>
  </si>
  <si>
    <t>IO2003-P@-0.164</t>
  </si>
  <si>
    <t>000300-202003-认沽@3500</t>
  </si>
  <si>
    <t>IO2003-P@-0.152</t>
  </si>
  <si>
    <t>IO2003-P@-0.14</t>
  </si>
  <si>
    <t>IO2003-P@-0.128</t>
  </si>
  <si>
    <t>IO2003-P@-0.115</t>
  </si>
  <si>
    <t>IO2003-P@-0.103</t>
  </si>
  <si>
    <t>IO2003-P@-0.091</t>
  </si>
  <si>
    <t>IO2003-P@-0.079</t>
  </si>
  <si>
    <t>IO2003-P@-0.067</t>
  </si>
  <si>
    <t>IO2003-P@-0.055</t>
  </si>
  <si>
    <t>IO2003-P@-0.043</t>
  </si>
  <si>
    <t>IO2003-P@-0.018</t>
  </si>
  <si>
    <t>IO2003-P@0.03</t>
  </si>
  <si>
    <t>IO2003-P@0.042</t>
  </si>
  <si>
    <t>IO2003-P@0.054</t>
  </si>
  <si>
    <t>IO2003-P@0.066</t>
  </si>
  <si>
    <t>IO2003-P@0.079</t>
  </si>
  <si>
    <t>000300-202003-认沽@4500</t>
  </si>
  <si>
    <t>IO2003-P@0.091</t>
  </si>
  <si>
    <t>000300-202003-认沽@4550</t>
  </si>
  <si>
    <t>IO2003-P@0.103</t>
  </si>
  <si>
    <t>000300-202003-认沽@4600</t>
  </si>
  <si>
    <t>IO2003-P@0.115</t>
  </si>
  <si>
    <t>000300-202003-认沽@4650</t>
  </si>
  <si>
    <t>IO2003-P@0.127</t>
  </si>
  <si>
    <t>000300-202004-认购@3300</t>
  </si>
  <si>
    <t>IO2004-C@-0.2</t>
  </si>
  <si>
    <t>000300-202004-认购@3350</t>
  </si>
  <si>
    <t>IO2004-C@-0.188</t>
  </si>
  <si>
    <t>000300-202004-认购@3400</t>
  </si>
  <si>
    <t>IO2004-C@-0.176</t>
  </si>
  <si>
    <t>000300-202004-认购@3450</t>
  </si>
  <si>
    <t>IO2004-C@-0.164</t>
  </si>
  <si>
    <t>000300-202004-认购@3500</t>
  </si>
  <si>
    <t>IO2004-C@-0.152</t>
  </si>
  <si>
    <t>IO2004-C@-0.14</t>
  </si>
  <si>
    <t>IO2004-C@-0.128</t>
  </si>
  <si>
    <t>IO2004-C@-0.115</t>
  </si>
  <si>
    <t>IO2004-C@-0.103</t>
  </si>
  <si>
    <t>IO2004-C@-0.091</t>
  </si>
  <si>
    <t>IO2004-C@-0.079</t>
  </si>
  <si>
    <t>IO2004-C@-0.067</t>
  </si>
  <si>
    <t>IO2004-C@-0.055</t>
  </si>
  <si>
    <t>IO2004-C@-0.043</t>
  </si>
  <si>
    <t>IO2004-C@-0.018</t>
  </si>
  <si>
    <t>IO2004-C@0.03</t>
  </si>
  <si>
    <t>IO2004-C@0.042</t>
  </si>
  <si>
    <t>IO2004-C@0.054</t>
  </si>
  <si>
    <t>IO2004-C@0.066</t>
  </si>
  <si>
    <t>IO2004-C@0.079</t>
  </si>
  <si>
    <t>000300-202004-认购@4500</t>
  </si>
  <si>
    <t>IO2004-C@0.091</t>
  </si>
  <si>
    <t>000300-202004-认购@4550</t>
  </si>
  <si>
    <t>IO2004-C@0.103</t>
  </si>
  <si>
    <t>000300-202004-认购@4600</t>
  </si>
  <si>
    <t>IO2004-C@0.115</t>
  </si>
  <si>
    <t>000300-202004-认购@4650</t>
  </si>
  <si>
    <t>IO2004-C@0.127</t>
  </si>
  <si>
    <t>000300-202004-认沽@3300</t>
  </si>
  <si>
    <t>IO2004-P@-0.2</t>
  </si>
  <si>
    <t>000300-202004-认沽@3350</t>
  </si>
  <si>
    <t>IO2004-P@-0.188</t>
  </si>
  <si>
    <t>000300-202004-认沽@3400</t>
  </si>
  <si>
    <t>IO2004-P@-0.176</t>
  </si>
  <si>
    <t>000300-202004-认沽@3450</t>
  </si>
  <si>
    <t>IO2004-P@-0.164</t>
  </si>
  <si>
    <t>000300-202004-认沽@3500</t>
  </si>
  <si>
    <t>IO2004-P@-0.152</t>
  </si>
  <si>
    <t>IO2004-P@-0.14</t>
  </si>
  <si>
    <t>IO2004-P@-0.128</t>
  </si>
  <si>
    <t>IO2004-P@-0.115</t>
  </si>
  <si>
    <t>IO2004-P@-0.103</t>
  </si>
  <si>
    <t>IO2004-P@-0.091</t>
  </si>
  <si>
    <t>IO2004-P@-0.079</t>
  </si>
  <si>
    <t>IO2004-P@-0.067</t>
  </si>
  <si>
    <t>IO2004-P@-0.055</t>
  </si>
  <si>
    <t>IO2004-P@-0.043</t>
  </si>
  <si>
    <t>IO2004-P@-0.018</t>
  </si>
  <si>
    <t>IO2004-P@0.03</t>
  </si>
  <si>
    <t>IO2004-P@0.042</t>
  </si>
  <si>
    <t>IO2004-P@0.054</t>
  </si>
  <si>
    <t>IO2004-P@0.066</t>
  </si>
  <si>
    <t>IO2004-P@0.079</t>
  </si>
  <si>
    <t>000300-202004-认沽@4500</t>
  </si>
  <si>
    <t>IO2004-P@0.091</t>
  </si>
  <si>
    <t>000300-202004-认沽@4550</t>
  </si>
  <si>
    <t>IO2004-P@0.103</t>
  </si>
  <si>
    <t>000300-202004-认沽@4600</t>
  </si>
  <si>
    <t>IO2004-P@0.115</t>
  </si>
  <si>
    <t>000300-202004-认沽@4650</t>
  </si>
  <si>
    <t>IO2004-P@0.127</t>
  </si>
  <si>
    <t>000300-202005-认购@3700</t>
  </si>
  <si>
    <t>IO2005-C</t>
  </si>
  <si>
    <t>IO2005-C@-0.103</t>
  </si>
  <si>
    <t>000300-202005-认购@3750</t>
  </si>
  <si>
    <t>IO2005-C@-0.091</t>
  </si>
  <si>
    <t>000300-202005-认购@3800</t>
  </si>
  <si>
    <t>IO2005-C@-0.079</t>
  </si>
  <si>
    <t>000300-202005-认购@3850</t>
  </si>
  <si>
    <t>IO2005-C@-0.067</t>
  </si>
  <si>
    <t>000300-202005-认购@3900</t>
  </si>
  <si>
    <t>IO2005-C@-0.055</t>
  </si>
  <si>
    <t>000300-202005-认购@3950</t>
  </si>
  <si>
    <t>IO2005-C@-0.043</t>
  </si>
  <si>
    <t>000300-202005-认购@4000</t>
  </si>
  <si>
    <t>IO2005-C@-0.031</t>
  </si>
  <si>
    <t>000300-202005-认购@4050</t>
  </si>
  <si>
    <t>IO2005-C@-0.018</t>
  </si>
  <si>
    <t>000300-202005-认购@4100</t>
  </si>
  <si>
    <t>IO2005-C@-0.006</t>
  </si>
  <si>
    <t>000300-202005-认购@4150</t>
  </si>
  <si>
    <t>IO2005-C@0.006</t>
  </si>
  <si>
    <t>000300-202005-认购@4200</t>
  </si>
  <si>
    <t>IO2005-C@0.018</t>
  </si>
  <si>
    <t>000300-202005-认购@4250</t>
  </si>
  <si>
    <t>IO2005-C@0.03</t>
  </si>
  <si>
    <t>000300-202005-认购@4300</t>
  </si>
  <si>
    <t>IO2005-C@0.042</t>
  </si>
  <si>
    <t>000300-202005-认购@4350</t>
  </si>
  <si>
    <t>IO2005-C@0.054</t>
  </si>
  <si>
    <t>000300-202005-认购@4400</t>
  </si>
  <si>
    <t>IO2005-C@0.066</t>
  </si>
  <si>
    <t>000300-202005-认购@4450</t>
  </si>
  <si>
    <t>IO2005-C@0.079</t>
  </si>
  <si>
    <t>000300-202005-认购@4500</t>
  </si>
  <si>
    <t>IO2005-C@0.091</t>
  </si>
  <si>
    <t>000300-202005-认购@4550</t>
  </si>
  <si>
    <t>IO2005-C@0.103</t>
  </si>
  <si>
    <t>000300-202005-认购@4600</t>
  </si>
  <si>
    <t>IO2005-C@0.115</t>
  </si>
  <si>
    <t>000300-202005-认沽@3700</t>
  </si>
  <si>
    <t>IO2005-P</t>
  </si>
  <si>
    <t>IO2005-P@-0.103</t>
  </si>
  <si>
    <t>000300-202005-认沽@3750</t>
  </si>
  <si>
    <t>IO2005-P@-0.091</t>
  </si>
  <si>
    <t>000300-202005-认沽@3800</t>
  </si>
  <si>
    <t>IO2005-P@-0.079</t>
  </si>
  <si>
    <t>000300-202005-认沽@3850</t>
  </si>
  <si>
    <t>IO2005-P@-0.067</t>
  </si>
  <si>
    <t>000300-202005-认沽@3900</t>
  </si>
  <si>
    <t>IO2005-P@-0.055</t>
  </si>
  <si>
    <t>000300-202005-认沽@3950</t>
  </si>
  <si>
    <t>IO2005-P@-0.043</t>
  </si>
  <si>
    <t>000300-202005-认沽@4000</t>
  </si>
  <si>
    <t>IO2005-P@-0.031</t>
  </si>
  <si>
    <t>000300-202005-认沽@4050</t>
  </si>
  <si>
    <t>IO2005-P@-0.018</t>
  </si>
  <si>
    <t>000300-202005-认沽@4100</t>
  </si>
  <si>
    <t>IO2005-P@-0.006</t>
  </si>
  <si>
    <t>000300-202005-认沽@4150</t>
  </si>
  <si>
    <t>IO2005-P@0.006</t>
  </si>
  <si>
    <t>000300-202005-认沽@4200</t>
  </si>
  <si>
    <t>IO2005-P@0.018</t>
  </si>
  <si>
    <t>000300-202005-认沽@4250</t>
  </si>
  <si>
    <t>IO2005-P@0.03</t>
  </si>
  <si>
    <t>000300-202005-认沽@4300</t>
  </si>
  <si>
    <t>IO2005-P@0.042</t>
  </si>
  <si>
    <t>000300-202005-认沽@4350</t>
  </si>
  <si>
    <t>IO2005-P@0.054</t>
  </si>
  <si>
    <t>000300-202005-认沽@4400</t>
  </si>
  <si>
    <t>IO2005-P@0.066</t>
  </si>
  <si>
    <t>000300-202005-认沽@4450</t>
  </si>
  <si>
    <t>IO2005-P@0.079</t>
  </si>
  <si>
    <t>000300-202005-认沽@4500</t>
  </si>
  <si>
    <t>IO2005-P@0.091</t>
  </si>
  <si>
    <t>000300-202005-认沽@4550</t>
  </si>
  <si>
    <t>IO2005-P@0.103</t>
  </si>
  <si>
    <t>000300-202005-认沽@4600</t>
  </si>
  <si>
    <t>IO2005-P@0.115</t>
  </si>
  <si>
    <t>000300-202006-认购@3300</t>
  </si>
  <si>
    <t>IO2006-C@-0.2</t>
  </si>
  <si>
    <t>000300-202006-认购@3400</t>
  </si>
  <si>
    <t>IO2006-C@-0.176</t>
  </si>
  <si>
    <t>IO2006-C@-0.152</t>
  </si>
  <si>
    <t>IO2006-C@-0.128</t>
  </si>
  <si>
    <t>IO2006-C@-0.103</t>
  </si>
  <si>
    <t>IO2006-C@-0.079</t>
  </si>
  <si>
    <t>IO2006-C@-0.055</t>
  </si>
  <si>
    <t>IO2006-C@0.042</t>
  </si>
  <si>
    <t>IO2006-C@0.066</t>
  </si>
  <si>
    <t>IO2006-C@0.091</t>
  </si>
  <si>
    <t>000300-202006-认购@4600</t>
  </si>
  <si>
    <t>IO2006-C@0.115</t>
  </si>
  <si>
    <t>000300-202006-认购@4700</t>
  </si>
  <si>
    <t>IO2006-C@0.139</t>
  </si>
  <si>
    <t>000300-202006-认沽@3300</t>
  </si>
  <si>
    <t>IO2006-P@-0.2</t>
  </si>
  <si>
    <t>000300-202006-认沽@3400</t>
  </si>
  <si>
    <t>IO2006-P@-0.176</t>
  </si>
  <si>
    <t>IO2006-P@-0.152</t>
  </si>
  <si>
    <t>IO2006-P@-0.128</t>
  </si>
  <si>
    <t>IO2006-P@-0.103</t>
  </si>
  <si>
    <t>IO2006-P@-0.079</t>
  </si>
  <si>
    <t>IO2006-P@-0.055</t>
  </si>
  <si>
    <t>IO2006-P@0.042</t>
  </si>
  <si>
    <t>IO2006-P@0.066</t>
  </si>
  <si>
    <t>IO2006-P@0.091</t>
  </si>
  <si>
    <t>000300-202006-认沽@4600</t>
  </si>
  <si>
    <t>IO2006-P@0.115</t>
  </si>
  <si>
    <t>000300-202006-认沽@4700</t>
  </si>
  <si>
    <t>IO2006-P@0.139</t>
  </si>
  <si>
    <t>000300-202009-认购@3300</t>
  </si>
  <si>
    <t>IO2009-C@-0.2</t>
  </si>
  <si>
    <t>000300-202009-认购@3400</t>
  </si>
  <si>
    <t>IO2009-C@-0.176</t>
  </si>
  <si>
    <t>IO2009-C@-0.152</t>
  </si>
  <si>
    <t>IO2009-C@-0.128</t>
  </si>
  <si>
    <t>IO2009-C@-0.103</t>
  </si>
  <si>
    <t>IO2009-C@-0.079</t>
  </si>
  <si>
    <t>IO2009-C@-0.055</t>
  </si>
  <si>
    <t>IO2009-C@0.042</t>
  </si>
  <si>
    <t>IO2009-C@0.066</t>
  </si>
  <si>
    <t>IO2009-C@0.091</t>
  </si>
  <si>
    <t>000300-202009-认购@4600</t>
  </si>
  <si>
    <t>IO2009-C@0.115</t>
  </si>
  <si>
    <t>000300-202009-认购@4700</t>
  </si>
  <si>
    <t>IO2009-C@0.139</t>
  </si>
  <si>
    <t>000300-202009-认沽@3300</t>
  </si>
  <si>
    <t>IO2009-P@-0.2</t>
  </si>
  <si>
    <t>000300-202009-认沽@3400</t>
  </si>
  <si>
    <t>IO2009-P@-0.176</t>
  </si>
  <si>
    <t>IO2009-P@-0.152</t>
  </si>
  <si>
    <t>IO2009-P@-0.128</t>
  </si>
  <si>
    <t>IO2009-P@-0.103</t>
  </si>
  <si>
    <t>IO2009-P@-0.079</t>
  </si>
  <si>
    <t>IO2009-P@-0.055</t>
  </si>
  <si>
    <t>IO2009-P@0.042</t>
  </si>
  <si>
    <t>IO2009-P@0.066</t>
  </si>
  <si>
    <t>IO2009-P@0.091</t>
  </si>
  <si>
    <t>000300-202009-认沽@4600</t>
  </si>
  <si>
    <t>IO2009-P@0.115</t>
  </si>
  <si>
    <t>000300-202009-认沽@4700</t>
  </si>
  <si>
    <t>IO2009-P@0.139</t>
  </si>
  <si>
    <t>000300-202012-认购@3300</t>
  </si>
  <si>
    <t>IO2012-C@-0.2</t>
  </si>
  <si>
    <t>000300-202012-认购@3400</t>
  </si>
  <si>
    <t>IO2012-C@-0.176</t>
  </si>
  <si>
    <t>IO2012-C@-0.152</t>
  </si>
  <si>
    <t>IO2012-C@-0.128</t>
  </si>
  <si>
    <t>IO2012-C@-0.103</t>
  </si>
  <si>
    <t>IO2012-C@-0.079</t>
  </si>
  <si>
    <t>IO2012-C@-0.055</t>
  </si>
  <si>
    <t>IO2012-C@0.042</t>
  </si>
  <si>
    <t>IO2012-C@0.066</t>
  </si>
  <si>
    <t>IO2012-C@0.091</t>
  </si>
  <si>
    <t>000300-202012-认购@4600</t>
  </si>
  <si>
    <t>IO2012-C@0.115</t>
  </si>
  <si>
    <t>000300-202012-认购@4700</t>
  </si>
  <si>
    <t>IO2012-C@0.139</t>
  </si>
  <si>
    <t>000300-202012-认沽@3300</t>
  </si>
  <si>
    <t>IO2012-P@-0.2</t>
  </si>
  <si>
    <t>000300-202012-认沽@3400</t>
  </si>
  <si>
    <t>IO2012-P@-0.176</t>
  </si>
  <si>
    <t>IO2012-P@-0.152</t>
  </si>
  <si>
    <t>IO2012-P@-0.128</t>
  </si>
  <si>
    <t>IO2012-P@-0.103</t>
  </si>
  <si>
    <t>IO2012-P@-0.079</t>
  </si>
  <si>
    <t>IO2012-P@-0.055</t>
  </si>
  <si>
    <t>IO2012-P@0.042</t>
  </si>
  <si>
    <t>IO2012-P@0.066</t>
  </si>
  <si>
    <t>IO2012-P@0.091</t>
  </si>
  <si>
    <t>000300-202012-认沽@4600</t>
  </si>
  <si>
    <t>IO2012-P@0.115</t>
  </si>
  <si>
    <t>000300-202012-认沽@4700</t>
  </si>
  <si>
    <t>IO2012-P@0.139</t>
  </si>
  <si>
    <t>SH2002-C@-0.125</t>
  </si>
  <si>
    <t>SH2002-C@-0.101</t>
  </si>
  <si>
    <t>SH2002-C@-0.076</t>
  </si>
  <si>
    <t>SH2002-C@-0.052</t>
  </si>
  <si>
    <t>SH2002-C@-0.028</t>
  </si>
  <si>
    <t>SH2002-C@-0.003</t>
  </si>
  <si>
    <t>SH2002-C@0.021</t>
  </si>
  <si>
    <t>SH2002-C@0.045</t>
  </si>
  <si>
    <t>SH2002-C@0.07</t>
  </si>
  <si>
    <t>SH2002-P@-0.125</t>
  </si>
  <si>
    <t>SH2002-P@-0.101</t>
  </si>
  <si>
    <t>SH2002-P@-0.076</t>
  </si>
  <si>
    <t>SH2002-P@-0.052</t>
  </si>
  <si>
    <t>SH2002-P@-0.028</t>
  </si>
  <si>
    <t>SH2002-P@-0.003</t>
  </si>
  <si>
    <t>SH2002-P@0.021</t>
  </si>
  <si>
    <t>SH2002-P@0.045</t>
  </si>
  <si>
    <t>SH2002-P@0.07</t>
  </si>
  <si>
    <t>SH2003-C@-0.125</t>
  </si>
  <si>
    <t>SH2003-C@-0.101</t>
  </si>
  <si>
    <t>SH2003-C@-0.076</t>
  </si>
  <si>
    <t>SH2003-C@-0.052</t>
  </si>
  <si>
    <t>SH2003-C@-0.028</t>
  </si>
  <si>
    <t>SH2003-C@-0.003</t>
  </si>
  <si>
    <t>SH2003-C@0.021</t>
  </si>
  <si>
    <t>SH2003-C@0.045</t>
  </si>
  <si>
    <t>SH2003-C@0.07</t>
  </si>
  <si>
    <t>SH2003-P@-0.125</t>
  </si>
  <si>
    <t>SH2003-P@-0.101</t>
  </si>
  <si>
    <t>SH2003-P@-0.076</t>
  </si>
  <si>
    <t>SH2003-P@-0.052</t>
  </si>
  <si>
    <t>SH2003-P@-0.028</t>
  </si>
  <si>
    <t>SH2003-P@-0.003</t>
  </si>
  <si>
    <t>SH2003-P@0.021</t>
  </si>
  <si>
    <t>SH2003-P@0.045</t>
  </si>
  <si>
    <t>SH2003-P@0.07</t>
  </si>
  <si>
    <t>SH2006-C@-0.125</t>
  </si>
  <si>
    <t>SH2006-C@-0.101</t>
  </si>
  <si>
    <t>SH2006-C@-0.076</t>
  </si>
  <si>
    <t>SH2006-C@-0.052</t>
  </si>
  <si>
    <t>SH2006-C@-0.028</t>
  </si>
  <si>
    <t>SH2006-C@-0.003</t>
  </si>
  <si>
    <t>SH2006-C@0.021</t>
  </si>
  <si>
    <t>SH2006-C@0.045</t>
  </si>
  <si>
    <t>SH2006-C@0.07</t>
  </si>
  <si>
    <t>SH2006-P@-0.125</t>
  </si>
  <si>
    <t>SH2006-P@-0.101</t>
  </si>
  <si>
    <t>SH2006-P@-0.076</t>
  </si>
  <si>
    <t>SH2006-P@-0.052</t>
  </si>
  <si>
    <t>SH2006-P@-0.028</t>
  </si>
  <si>
    <t>SH2006-P@-0.003</t>
  </si>
  <si>
    <t>SH2006-P@0.021</t>
  </si>
  <si>
    <t>SH2006-P@0.045</t>
  </si>
  <si>
    <t>SH2006-P@0.07</t>
  </si>
  <si>
    <t>510300-202002-认购@4.5</t>
  </si>
  <si>
    <t>510300-202002-认沽@4.5</t>
  </si>
  <si>
    <t>510300-202003-认购@4.5</t>
  </si>
  <si>
    <t>510300-202003-认沽@4.5</t>
  </si>
  <si>
    <t>510300-202006-认购@4.5</t>
  </si>
  <si>
    <t>510300-202006-认沽@4.5</t>
  </si>
  <si>
    <t>510300-202002-认购@4.6</t>
  </si>
  <si>
    <t>SH2002-C@0.118</t>
  </si>
  <si>
    <t>510300-202002-认沽@4.6</t>
  </si>
  <si>
    <t>SH2002-P@0.118</t>
  </si>
  <si>
    <t>510300-202003-认购@4.6</t>
  </si>
  <si>
    <t>SH2003-C@0.118</t>
  </si>
  <si>
    <t>510300-202003-认沽@4.6</t>
  </si>
  <si>
    <t>SH2003-P@0.118</t>
  </si>
  <si>
    <t>510300-202006-认购@4.6</t>
  </si>
  <si>
    <t>SH2006-C@0.118</t>
  </si>
  <si>
    <t>510300-202006-认沽@4.6</t>
  </si>
  <si>
    <t>SH2006-P@0.118</t>
  </si>
  <si>
    <t>510300-202009-认购@3.7</t>
  </si>
  <si>
    <t>SH2009-C</t>
  </si>
  <si>
    <t>SH2009-C@-0.101</t>
  </si>
  <si>
    <t>510300-202009-认购@3.8</t>
  </si>
  <si>
    <t>SH2009-C@-0.076</t>
  </si>
  <si>
    <t>510300-202009-认购@3.9</t>
  </si>
  <si>
    <t>SH2009-C@-0.052</t>
  </si>
  <si>
    <t>510300-202009-认购@4</t>
  </si>
  <si>
    <t>SH2009-C@-0.028</t>
  </si>
  <si>
    <t>510300-202009-认购@4.1</t>
  </si>
  <si>
    <t>SH2009-C@-0.003</t>
  </si>
  <si>
    <t>510300-202009-认购@4.2</t>
  </si>
  <si>
    <t>SH2009-C@0.021</t>
  </si>
  <si>
    <t>510300-202009-认购@4.3</t>
  </si>
  <si>
    <t>SH2009-C@0.045</t>
  </si>
  <si>
    <t>510300-202009-认购@4.4</t>
  </si>
  <si>
    <t>SH2009-C@0.07</t>
  </si>
  <si>
    <t>510300-202009-认购@4.5</t>
  </si>
  <si>
    <t>SH2009-C@0.094</t>
  </si>
  <si>
    <t>510300-202009-认沽@3.7</t>
  </si>
  <si>
    <t>SH2009-P</t>
  </si>
  <si>
    <t>SH2009-P@-0.101</t>
  </si>
  <si>
    <t>510300-202009-认沽@3.8</t>
  </si>
  <si>
    <t>SH2009-P@-0.076</t>
  </si>
  <si>
    <t>510300-202009-认沽@3.9</t>
  </si>
  <si>
    <t>SH2009-P@-0.052</t>
  </si>
  <si>
    <t>510300-202009-认沽@4</t>
  </si>
  <si>
    <t>SH2009-P@-0.028</t>
  </si>
  <si>
    <t>510300-202009-认沽@4.1</t>
  </si>
  <si>
    <t>SH2009-P@-0.003</t>
  </si>
  <si>
    <t>510300-202009-认沽@4.2</t>
  </si>
  <si>
    <t>SH2009-P@0.021</t>
  </si>
  <si>
    <t>510300-202009-认沽@4.3</t>
  </si>
  <si>
    <t>SH2009-P@0.045</t>
  </si>
  <si>
    <t>510300-202009-认沽@4.4</t>
  </si>
  <si>
    <t>SH2009-P@0.07</t>
  </si>
  <si>
    <t>510300-202009-认沽@4.5</t>
  </si>
  <si>
    <t>SH2009-P@0.094</t>
  </si>
  <si>
    <t>510300-202009-认购@3.6</t>
  </si>
  <si>
    <t>SH2009-C@-0.125</t>
  </si>
  <si>
    <t>510300-202009-认沽@3.6</t>
  </si>
  <si>
    <t>SH2009-P@-0.125</t>
  </si>
  <si>
    <t>510300-202002-认购@3.3</t>
  </si>
  <si>
    <t>SH2002-C@-0.198</t>
  </si>
  <si>
    <t>510300-202002-认购@3.4</t>
  </si>
  <si>
    <t>SH2002-C@-0.174</t>
  </si>
  <si>
    <t>510300-202002-认购@3.5</t>
  </si>
  <si>
    <t>SH2002-C@-0.149</t>
  </si>
  <si>
    <t>510300-202002-认沽@3.3</t>
  </si>
  <si>
    <t>SH2002-P@-0.198</t>
  </si>
  <si>
    <t>510300-202002-认沽@3.4</t>
  </si>
  <si>
    <t>SH2002-P@-0.174</t>
  </si>
  <si>
    <t>510300-202002-认沽@3.5</t>
  </si>
  <si>
    <t>SH2002-P@-0.149</t>
  </si>
  <si>
    <t>510300-202003-认购@3.3</t>
  </si>
  <si>
    <t>SH2003-C@-0.198</t>
  </si>
  <si>
    <t>510300-202003-认购@3.4</t>
  </si>
  <si>
    <t>SH2003-C@-0.174</t>
  </si>
  <si>
    <t>510300-202003-认购@3.5</t>
  </si>
  <si>
    <t>SH2003-C@-0.149</t>
  </si>
  <si>
    <t>510300-202003-认沽@3.3</t>
  </si>
  <si>
    <t>SH2003-P@-0.198</t>
  </si>
  <si>
    <t>510300-202003-认沽@3.4</t>
  </si>
  <si>
    <t>SH2003-P@-0.174</t>
  </si>
  <si>
    <t>510300-202003-认沽@3.5</t>
  </si>
  <si>
    <t>SH2003-P@-0.149</t>
  </si>
  <si>
    <t>510300-202006-认购@3.3</t>
  </si>
  <si>
    <t>SH2006-C@-0.198</t>
  </si>
  <si>
    <t>510300-202006-认购@3.4</t>
  </si>
  <si>
    <t>SH2006-C@-0.174</t>
  </si>
  <si>
    <t>510300-202006-认购@3.5</t>
  </si>
  <si>
    <t>SH2006-C@-0.149</t>
  </si>
  <si>
    <t>510300-202006-认沽@3.3</t>
  </si>
  <si>
    <t>SH2006-P@-0.198</t>
  </si>
  <si>
    <t>510300-202006-认沽@3.4</t>
  </si>
  <si>
    <t>SH2006-P@-0.174</t>
  </si>
  <si>
    <t>510300-202006-认沽@3.5</t>
  </si>
  <si>
    <t>SH2006-P@-0.149</t>
  </si>
  <si>
    <t>510300-202009-认购@3.3</t>
  </si>
  <si>
    <t>SH2009-C@-0.198</t>
  </si>
  <si>
    <t>510300-202009-认购@3.4</t>
  </si>
  <si>
    <t>SH2009-C@-0.174</t>
  </si>
  <si>
    <t>510300-202009-认购@3.5</t>
  </si>
  <si>
    <t>SH2009-C@-0.149</t>
  </si>
  <si>
    <t>510300-202009-认沽@3.3</t>
  </si>
  <si>
    <t>SH2009-P@-0.198</t>
  </si>
  <si>
    <t>510300-202009-认沽@3.4</t>
  </si>
  <si>
    <t>SH2009-P@-0.174</t>
  </si>
  <si>
    <t>510300-202009-认沽@3.5</t>
  </si>
  <si>
    <t>SH2009-P@-0.149</t>
  </si>
  <si>
    <t>SZ2002-C@-0.115</t>
  </si>
  <si>
    <t>SZ2002-C@-0.092</t>
  </si>
  <si>
    <t>SZ2002-C@-0.068</t>
  </si>
  <si>
    <t>SZ2002-C@-0.044</t>
  </si>
  <si>
    <t>SZ2002-C@-0.02</t>
  </si>
  <si>
    <t>SZ2002-C@0.004</t>
  </si>
  <si>
    <t>SZ2002-C@0.028</t>
  </si>
  <si>
    <t>SZ2002-C@0.052</t>
  </si>
  <si>
    <t>SZ2002-P@-0.115</t>
  </si>
  <si>
    <t>SZ2002-P@-0.092</t>
  </si>
  <si>
    <t>SZ2002-P@-0.068</t>
  </si>
  <si>
    <t>SZ2002-P@-0.044</t>
  </si>
  <si>
    <t>SZ2002-P@-0.02</t>
  </si>
  <si>
    <t>SZ2002-P@0.004</t>
  </si>
  <si>
    <t>SZ2002-P@0.028</t>
  </si>
  <si>
    <t>SZ2002-P@0.052</t>
  </si>
  <si>
    <t>SZ2003-C@-0.115</t>
  </si>
  <si>
    <t>SZ2003-C@-0.092</t>
  </si>
  <si>
    <t>SZ2003-C@-0.068</t>
  </si>
  <si>
    <t>SZ2003-C@-0.044</t>
  </si>
  <si>
    <t>SZ2003-C@-0.02</t>
  </si>
  <si>
    <t>SZ2003-C@0.004</t>
  </si>
  <si>
    <t>SZ2003-C@0.028</t>
  </si>
  <si>
    <t>SZ2003-C@0.052</t>
  </si>
  <si>
    <t>SZ2003-P@-0.115</t>
  </si>
  <si>
    <t>SZ2003-P@-0.092</t>
  </si>
  <si>
    <t>SZ2003-P@-0.068</t>
  </si>
  <si>
    <t>SZ2003-P@-0.044</t>
  </si>
  <si>
    <t>SZ2003-P@-0.02</t>
  </si>
  <si>
    <t>SZ2003-P@0.004</t>
  </si>
  <si>
    <t>SZ2003-P@0.028</t>
  </si>
  <si>
    <t>SZ2003-P@0.052</t>
  </si>
  <si>
    <t>SZ2006-C@-0.115</t>
  </si>
  <si>
    <t>SZ2006-C@-0.092</t>
  </si>
  <si>
    <t>SZ2006-C@-0.068</t>
  </si>
  <si>
    <t>SZ2006-C@-0.044</t>
  </si>
  <si>
    <t>SZ2006-C@-0.02</t>
  </si>
  <si>
    <t>SZ2006-C@0.004</t>
  </si>
  <si>
    <t>SZ2006-C@0.028</t>
  </si>
  <si>
    <t>SZ2006-C@0.052</t>
  </si>
  <si>
    <t>SZ2006-P@-0.115</t>
  </si>
  <si>
    <t>SZ2006-P@-0.092</t>
  </si>
  <si>
    <t>SZ2006-P@-0.068</t>
  </si>
  <si>
    <t>SZ2006-P@-0.044</t>
  </si>
  <si>
    <t>SZ2006-P@-0.02</t>
  </si>
  <si>
    <t>SZ2006-P@0.004</t>
  </si>
  <si>
    <t>SZ2006-P@0.028</t>
  </si>
  <si>
    <t>SZ2006-P@0.052</t>
  </si>
  <si>
    <t>SZ2002-C@-0.139</t>
  </si>
  <si>
    <t>SZ2002-P@-0.139</t>
  </si>
  <si>
    <t>SZ2003-C@-0.139</t>
  </si>
  <si>
    <t>SZ2003-P@-0.139</t>
  </si>
  <si>
    <t>SZ2006-C@-0.139</t>
  </si>
  <si>
    <t>SZ2006-P@-0.139</t>
  </si>
  <si>
    <t>159919-202002-认购@4.6</t>
  </si>
  <si>
    <t>159919-202002-认沽@4.6</t>
  </si>
  <si>
    <t>159919-202003-认购@4.6</t>
  </si>
  <si>
    <t>159919-202003-认沽@4.6</t>
  </si>
  <si>
    <t>159919-202006-认购@4.6</t>
  </si>
  <si>
    <t>159919-202006-认沽@4.6</t>
  </si>
  <si>
    <t>159919-202002-认购@4.7</t>
  </si>
  <si>
    <t>SZ2002-C@0.124</t>
  </si>
  <si>
    <t>159919-202002-认沽@4.7</t>
  </si>
  <si>
    <t>SZ2002-P@0.124</t>
  </si>
  <si>
    <t>159919-202003-认购@4.7</t>
  </si>
  <si>
    <t>SZ2003-C@0.124</t>
  </si>
  <si>
    <t>159919-202003-认沽@4.7</t>
  </si>
  <si>
    <t>SZ2003-P@0.124</t>
  </si>
  <si>
    <t>159919-202006-认购@4.7</t>
  </si>
  <si>
    <t>SZ2006-C@0.124</t>
  </si>
  <si>
    <t>159919-202006-认沽@4.7</t>
  </si>
  <si>
    <t>SZ2006-P@0.124</t>
  </si>
  <si>
    <t>159919-202009-认购@3.8</t>
  </si>
  <si>
    <t>SZ2009-C</t>
  </si>
  <si>
    <t>SZ2009-C@-0.092</t>
  </si>
  <si>
    <t>159919-202009-认购@3.9</t>
  </si>
  <si>
    <t>SZ2009-C@-0.068</t>
  </si>
  <si>
    <t>159919-202009-认购@4</t>
  </si>
  <si>
    <t>SZ2009-C@-0.044</t>
  </si>
  <si>
    <t>159919-202009-认购@4.1</t>
  </si>
  <si>
    <t>SZ2009-C@-0.02</t>
  </si>
  <si>
    <t>159919-202009-认购@4.2</t>
  </si>
  <si>
    <t>SZ2009-C@0.004</t>
  </si>
  <si>
    <t>159919-202009-认购@4.3</t>
  </si>
  <si>
    <t>SZ2009-C@0.028</t>
  </si>
  <si>
    <t>159919-202009-认购@4.4</t>
  </si>
  <si>
    <t>SZ2009-C@0.052</t>
  </si>
  <si>
    <t>159919-202009-认购@4.5</t>
  </si>
  <si>
    <t>SZ2009-C@0.076</t>
  </si>
  <si>
    <t>159919-202009-认购@4.6</t>
  </si>
  <si>
    <t>SZ2009-C@0.1</t>
  </si>
  <si>
    <t>159919-202009-认沽@3.8</t>
  </si>
  <si>
    <t>SZ2009-P</t>
  </si>
  <si>
    <t>SZ2009-P@-0.092</t>
  </si>
  <si>
    <t>159919-202009-认沽@3.9</t>
  </si>
  <si>
    <t>SZ2009-P@-0.068</t>
  </si>
  <si>
    <t>159919-202009-认沽@4</t>
  </si>
  <si>
    <t>SZ2009-P@-0.044</t>
  </si>
  <si>
    <t>159919-202009-认沽@4.1</t>
  </si>
  <si>
    <t>SZ2009-P@-0.02</t>
  </si>
  <si>
    <t>159919-202009-认沽@4.2</t>
  </si>
  <si>
    <t>SZ2009-P@0.004</t>
  </si>
  <si>
    <t>159919-202009-认沽@4.3</t>
  </si>
  <si>
    <t>SZ2009-P@0.028</t>
  </si>
  <si>
    <t>159919-202009-认沽@4.4</t>
  </si>
  <si>
    <t>SZ2009-P@0.052</t>
  </si>
  <si>
    <t>159919-202009-认沽@4.5</t>
  </si>
  <si>
    <t>SZ2009-P@0.076</t>
  </si>
  <si>
    <t>159919-202009-认沽@4.6</t>
  </si>
  <si>
    <t>SZ2009-P@0.1</t>
  </si>
  <si>
    <t>159919-202009-认购@3.7</t>
  </si>
  <si>
    <t>SZ2009-C@-0.115</t>
  </si>
  <si>
    <t>159919-202009-认沽@3.7</t>
  </si>
  <si>
    <t>SZ2009-P@-0.115</t>
  </si>
  <si>
    <t>159919-202002-认购@3.3</t>
  </si>
  <si>
    <t>SZ2002-C@-0.211</t>
  </si>
  <si>
    <t>159919-202002-认购@3.4</t>
  </si>
  <si>
    <t>SZ2002-C@-0.187</t>
  </si>
  <si>
    <t>159919-202002-认购@3.5</t>
  </si>
  <si>
    <t>SZ2002-C@-0.163</t>
  </si>
  <si>
    <t>159919-202002-认沽@3.3</t>
  </si>
  <si>
    <t>SZ2002-P@-0.211</t>
  </si>
  <si>
    <t>159919-202002-认沽@3.4</t>
  </si>
  <si>
    <t>SZ2002-P@-0.187</t>
  </si>
  <si>
    <t>159919-202002-认沽@3.5</t>
  </si>
  <si>
    <t>SZ2002-P@-0.163</t>
  </si>
  <si>
    <t>159919-202003-认购@3.3</t>
  </si>
  <si>
    <t>SZ2003-C@-0.211</t>
  </si>
  <si>
    <t>159919-202003-认购@3.4</t>
  </si>
  <si>
    <t>SZ2003-C@-0.187</t>
  </si>
  <si>
    <t>159919-202003-认购@3.5</t>
  </si>
  <si>
    <t>SZ2003-C@-0.163</t>
  </si>
  <si>
    <t>159919-202003-认沽@3.3</t>
  </si>
  <si>
    <t>SZ2003-P@-0.211</t>
  </si>
  <si>
    <t>159919-202003-认沽@3.4</t>
  </si>
  <si>
    <t>SZ2003-P@-0.187</t>
  </si>
  <si>
    <t>159919-202003-认沽@3.5</t>
  </si>
  <si>
    <t>SZ2003-P@-0.163</t>
  </si>
  <si>
    <t>159919-202006-认购@3.3</t>
  </si>
  <si>
    <t>SZ2006-C@-0.211</t>
  </si>
  <si>
    <t>159919-202006-认购@3.4</t>
  </si>
  <si>
    <t>SZ2006-C@-0.187</t>
  </si>
  <si>
    <t>159919-202006-认购@3.5</t>
  </si>
  <si>
    <t>SZ2006-C@-0.163</t>
  </si>
  <si>
    <t>159919-202006-认沽@3.3</t>
  </si>
  <si>
    <t>SZ2006-P@-0.211</t>
  </si>
  <si>
    <t>159919-202006-认沽@3.4</t>
  </si>
  <si>
    <t>SZ2006-P@-0.187</t>
  </si>
  <si>
    <t>159919-202006-认沽@3.5</t>
  </si>
  <si>
    <t>SZ2006-P@-0.163</t>
  </si>
  <si>
    <t>159919-202009-认购@3.3</t>
  </si>
  <si>
    <t>SZ2009-C@-0.211</t>
  </si>
  <si>
    <t>159919-202009-认购@3.4</t>
  </si>
  <si>
    <t>SZ2009-C@-0.187</t>
  </si>
  <si>
    <t>159919-202009-认购@3.5</t>
  </si>
  <si>
    <t>SZ2009-C@-0.163</t>
  </si>
  <si>
    <t>159919-202009-认购@3.6</t>
  </si>
  <si>
    <t>SZ2009-C@-0.139</t>
  </si>
  <si>
    <t>159919-202009-认沽@3.3</t>
  </si>
  <si>
    <t>SZ2009-P@-0.211</t>
  </si>
  <si>
    <t>159919-202009-认沽@3.4</t>
  </si>
  <si>
    <t>SZ2009-P@-0.187</t>
  </si>
  <si>
    <t>159919-202009-认沽@3.5</t>
  </si>
  <si>
    <t>SZ2009-P@-0.163</t>
  </si>
  <si>
    <t>159919-202009-认沽@3.6</t>
  </si>
  <si>
    <t>SZ2009-P@-0.139</t>
  </si>
  <si>
    <t>000852.SH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</si>
</sst>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###0.00"/>
    <numFmt numFmtId="167" formatCode="#"/>
    <numFmt numFmtId="168" formatCode="0.0000"/>
    <numFmt numFmtId="169" formatCode="###0.000"/>
    <numFmt numFmtId="170" formatCode="0.00_ "/>
    <numFmt numFmtId="171" formatCode="yyyy/mm/dd;@"/>
    <numFmt numFmtId="172" formatCode="0.0_);[Red]\(0.0\)"/>
    <numFmt numFmtId="173" formatCode="0.000_);[Red]\(0.000\)"/>
    <numFmt numFmtId="174" formatCode="_ * #,##0_ ;_ * \-#,##0_ ;_ * &quot;-&quot;??_ ;_ @_ "/>
    <numFmt numFmtId="175" formatCode="hh:mm:ss"/>
    <numFmt numFmtId="176" formatCode="###0.0"/>
    <numFmt numFmtId="177" formatCode="###0"/>
    <numFmt numFmtId="178" formatCode="0.0%"/>
    <numFmt numFmtId="179" formatCode="[$-F400]h:mm:ss\ AM/PM"/>
    <numFmt numFmtId="180" formatCode="0.000"/>
  </numFmts>
  <fonts count="3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color theme="1"/>
      <name val="Calibri"/>
      <family val="2"/>
      <charset val="134"/>
      <scheme val="minor"/>
    </font>
    <font>
      <sz val="8"/>
      <color theme="1"/>
      <name val="Calibri"/>
      <family val="2"/>
      <charset val="134"/>
      <scheme val="minor"/>
    </font>
    <font>
      <sz val="8"/>
      <color theme="1"/>
      <name val="Calibri"/>
      <family val="3"/>
      <charset val="134"/>
      <scheme val="minor"/>
    </font>
    <font>
      <sz val="10"/>
      <color indexed="8"/>
      <name val="Arial"/>
      <family val="2"/>
    </font>
    <font>
      <sz val="10"/>
      <name val="宋体"/>
      <family val="3"/>
      <charset val="134"/>
    </font>
    <font>
      <sz val="8"/>
      <name val="宋体"/>
      <family val="3"/>
      <charset val="134"/>
    </font>
    <font>
      <b/>
      <sz val="9"/>
      <color theme="1"/>
      <name val="Calibri"/>
      <family val="3"/>
      <charset val="134"/>
      <scheme val="minor"/>
    </font>
    <font>
      <sz val="11"/>
      <color rgb="FFFF0000"/>
      <name val="Calibri"/>
      <family val="2"/>
      <charset val="134"/>
      <scheme val="minor"/>
    </font>
    <font>
      <b/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3"/>
      <charset val="134"/>
      <scheme val="minor"/>
    </font>
    <font>
      <sz val="8"/>
      <color theme="1"/>
      <name val="宋体"/>
      <family val="3"/>
      <charset val="134"/>
    </font>
    <font>
      <sz val="12"/>
      <color theme="1"/>
      <name val="Calibri"/>
      <family val="3"/>
      <charset val="134"/>
      <scheme val="minor"/>
    </font>
    <font>
      <sz val="10"/>
      <color theme="1"/>
      <name val="Calibri"/>
      <family val="2"/>
      <charset val="134"/>
      <scheme val="minor"/>
    </font>
    <font>
      <sz val="6"/>
      <color theme="1"/>
      <name val="Calibri"/>
      <family val="3"/>
      <charset val="134"/>
      <scheme val="minor"/>
    </font>
    <font>
      <sz val="8"/>
      <color theme="0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6"/>
      <color rgb="FFFFFF00"/>
      <name val="Calibri"/>
      <family val="3"/>
      <charset val="134"/>
      <scheme val="minor"/>
    </font>
    <font>
      <sz val="7"/>
      <color theme="1"/>
      <name val="Calibri"/>
      <family val="2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860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  <xf numFmtId="0" fontId="7" fillId="0" borderId="0"/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>
      <alignment vertical="center"/>
    </xf>
    <xf numFmtId="9" fontId="26" fillId="0" borderId="0" applyFont="0" applyFill="0" applyBorder="0" applyAlignment="0" applyProtection="0"/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/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/>
    <xf numFmtId="0" fontId="1" fillId="0" borderId="0"/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/>
    <xf numFmtId="9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/>
    <xf numFmtId="9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/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3" applyNumberFormat="0" applyFont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NumberFormat="1" applyFont="1">
      <alignment vertical="center"/>
    </xf>
    <xf numFmtId="49" fontId="8" fillId="0" borderId="0" xfId="3" quotePrefix="1" applyNumberFormat="1" applyFont="1" applyBorder="1" applyAlignment="1">
      <alignment horizontal="left"/>
    </xf>
    <xf numFmtId="3" fontId="5" fillId="0" borderId="0" xfId="0" applyNumberFormat="1" applyFont="1">
      <alignment vertical="center"/>
    </xf>
    <xf numFmtId="166" fontId="5" fillId="0" borderId="0" xfId="0" applyNumberFormat="1" applyFont="1">
      <alignment vertical="center"/>
    </xf>
    <xf numFmtId="10" fontId="5" fillId="0" borderId="4" xfId="1" applyNumberFormat="1" applyFont="1" applyBorder="1">
      <alignment vertical="center"/>
    </xf>
    <xf numFmtId="167" fontId="5" fillId="0" borderId="0" xfId="0" applyNumberFormat="1" applyFont="1">
      <alignment vertical="center"/>
    </xf>
    <xf numFmtId="49" fontId="8" fillId="0" borderId="2" xfId="3" quotePrefix="1" applyNumberFormat="1" applyFont="1" applyBorder="1" applyAlignment="1">
      <alignment horizontal="left"/>
    </xf>
    <xf numFmtId="167" fontId="5" fillId="0" borderId="2" xfId="0" applyNumberFormat="1" applyFont="1" applyBorder="1">
      <alignment vertical="center"/>
    </xf>
    <xf numFmtId="3" fontId="5" fillId="0" borderId="2" xfId="0" applyNumberFormat="1" applyFont="1" applyBorder="1">
      <alignment vertical="center"/>
    </xf>
    <xf numFmtId="49" fontId="5" fillId="0" borderId="0" xfId="0" applyNumberFormat="1" applyFont="1" applyBorder="1" applyAlignment="1">
      <alignment horizontal="left" vertical="center"/>
    </xf>
    <xf numFmtId="167" fontId="5" fillId="0" borderId="0" xfId="0" applyNumberFormat="1" applyFont="1" applyBorder="1">
      <alignment vertical="center"/>
    </xf>
    <xf numFmtId="166" fontId="5" fillId="0" borderId="0" xfId="0" applyNumberFormat="1" applyFont="1" applyBorder="1">
      <alignment vertical="center"/>
    </xf>
    <xf numFmtId="3" fontId="5" fillId="0" borderId="0" xfId="0" applyNumberFormat="1" applyFont="1" applyBorder="1">
      <alignment vertical="center"/>
    </xf>
    <xf numFmtId="168" fontId="5" fillId="0" borderId="4" xfId="0" applyNumberFormat="1" applyFont="1" applyBorder="1">
      <alignment vertical="center"/>
    </xf>
    <xf numFmtId="0" fontId="8" fillId="2" borderId="3" xfId="3" quotePrefix="1" applyNumberFormat="1" applyFont="1" applyFill="1" applyBorder="1" applyAlignment="1">
      <alignment horizontal="left"/>
    </xf>
    <xf numFmtId="0" fontId="8" fillId="2" borderId="3" xfId="3" quotePrefix="1" applyNumberFormat="1" applyFont="1" applyFill="1" applyBorder="1" applyAlignment="1">
      <alignment horizontal="right"/>
    </xf>
    <xf numFmtId="0" fontId="8" fillId="2" borderId="3" xfId="3" quotePrefix="1" applyNumberFormat="1" applyFont="1" applyFill="1" applyBorder="1" applyAlignment="1">
      <alignment horizontal="center"/>
    </xf>
    <xf numFmtId="0" fontId="8" fillId="2" borderId="1" xfId="3" quotePrefix="1" applyNumberFormat="1" applyFont="1" applyFill="1" applyBorder="1" applyAlignment="1">
      <alignment horizont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166" fontId="5" fillId="0" borderId="2" xfId="0" applyNumberFormat="1" applyFont="1" applyBorder="1">
      <alignment vertical="center"/>
    </xf>
    <xf numFmtId="10" fontId="5" fillId="0" borderId="5" xfId="1" applyNumberFormat="1" applyFont="1" applyBorder="1">
      <alignment vertical="center"/>
    </xf>
    <xf numFmtId="0" fontId="5" fillId="0" borderId="2" xfId="0" applyFont="1" applyBorder="1">
      <alignment vertical="center"/>
    </xf>
    <xf numFmtId="0" fontId="5" fillId="0" borderId="0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0" xfId="0" quotePrefix="1" applyFont="1">
      <alignment vertical="center"/>
    </xf>
    <xf numFmtId="165" fontId="5" fillId="0" borderId="0" xfId="0" applyNumberFormat="1" applyFont="1" applyBorder="1" applyAlignment="1">
      <alignment vertical="center"/>
    </xf>
    <xf numFmtId="169" fontId="5" fillId="0" borderId="0" xfId="0" applyNumberFormat="1" applyFont="1">
      <alignment vertical="center"/>
    </xf>
    <xf numFmtId="169" fontId="5" fillId="0" borderId="2" xfId="0" applyNumberFormat="1" applyFont="1" applyBorder="1">
      <alignment vertical="center"/>
    </xf>
    <xf numFmtId="10" fontId="5" fillId="0" borderId="4" xfId="1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0" fontId="0" fillId="0" borderId="0" xfId="0" applyNumberFormat="1">
      <alignment vertical="center"/>
    </xf>
    <xf numFmtId="0" fontId="0" fillId="0" borderId="0" xfId="0">
      <alignment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8" fillId="0" borderId="0" xfId="3" quotePrefix="1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0" fillId="0" borderId="0" xfId="0">
      <alignment vertical="center"/>
    </xf>
    <xf numFmtId="0" fontId="31" fillId="0" borderId="0" xfId="0" applyFont="1">
      <alignment vertical="center"/>
    </xf>
    <xf numFmtId="10" fontId="3" fillId="0" borderId="0" xfId="1" applyNumberFormat="1" applyFont="1">
      <alignment vertical="center"/>
    </xf>
    <xf numFmtId="172" fontId="8" fillId="2" borderId="3" xfId="3" quotePrefix="1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165" fontId="5" fillId="0" borderId="16" xfId="0" applyNumberFormat="1" applyFont="1" applyBorder="1" applyAlignment="1">
      <alignment vertical="center"/>
    </xf>
    <xf numFmtId="10" fontId="9" fillId="0" borderId="16" xfId="1" applyNumberFormat="1" applyFont="1" applyBorder="1">
      <alignment vertical="center"/>
    </xf>
    <xf numFmtId="10" fontId="9" fillId="0" borderId="17" xfId="1" applyNumberFormat="1" applyFont="1" applyBorder="1">
      <alignment vertical="center"/>
    </xf>
    <xf numFmtId="10" fontId="9" fillId="0" borderId="18" xfId="1" applyNumberFormat="1" applyFont="1" applyBorder="1">
      <alignment vertical="center"/>
    </xf>
    <xf numFmtId="0" fontId="4" fillId="0" borderId="15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vertical="center"/>
    </xf>
    <xf numFmtId="165" fontId="5" fillId="0" borderId="19" xfId="0" applyNumberFormat="1" applyFont="1" applyBorder="1" applyAlignment="1">
      <alignment vertical="center"/>
    </xf>
    <xf numFmtId="0" fontId="4" fillId="0" borderId="20" xfId="0" applyFont="1" applyBorder="1" applyAlignment="1">
      <alignment horizontal="right" vertical="center"/>
    </xf>
    <xf numFmtId="170" fontId="5" fillId="0" borderId="23" xfId="0" applyNumberFormat="1" applyFont="1" applyBorder="1" applyAlignment="1">
      <alignment horizontal="center" vertical="center"/>
    </xf>
    <xf numFmtId="3" fontId="3" fillId="0" borderId="16" xfId="0" applyNumberFormat="1" applyFont="1" applyBorder="1" applyAlignment="1">
      <alignment vertical="center"/>
    </xf>
    <xf numFmtId="165" fontId="5" fillId="0" borderId="27" xfId="0" applyNumberFormat="1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165" fontId="5" fillId="0" borderId="22" xfId="0" applyNumberFormat="1" applyFont="1" applyBorder="1" applyAlignment="1">
      <alignment vertical="center"/>
    </xf>
    <xf numFmtId="165" fontId="5" fillId="0" borderId="24" xfId="0" applyNumberFormat="1" applyFont="1" applyBorder="1" applyAlignment="1">
      <alignment vertical="center"/>
    </xf>
    <xf numFmtId="165" fontId="5" fillId="0" borderId="25" xfId="0" applyNumberFormat="1" applyFont="1" applyBorder="1" applyAlignment="1">
      <alignment vertical="center"/>
    </xf>
    <xf numFmtId="165" fontId="5" fillId="0" borderId="26" xfId="0" applyNumberFormat="1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0" fillId="0" borderId="28" xfId="0" applyBorder="1">
      <alignment vertical="center"/>
    </xf>
    <xf numFmtId="0" fontId="0" fillId="0" borderId="17" xfId="0" applyBorder="1">
      <alignment vertical="center"/>
    </xf>
    <xf numFmtId="169" fontId="5" fillId="0" borderId="0" xfId="0" applyNumberFormat="1" applyFont="1" applyBorder="1">
      <alignment vertical="center"/>
    </xf>
    <xf numFmtId="173" fontId="5" fillId="0" borderId="0" xfId="0" applyNumberFormat="1" applyFont="1">
      <alignment vertical="center"/>
    </xf>
    <xf numFmtId="173" fontId="5" fillId="0" borderId="2" xfId="0" applyNumberFormat="1" applyFont="1" applyBorder="1">
      <alignment vertical="center"/>
    </xf>
    <xf numFmtId="0" fontId="4" fillId="0" borderId="29" xfId="0" applyFont="1" applyBorder="1" applyAlignment="1">
      <alignment horizontal="center" vertical="center"/>
    </xf>
    <xf numFmtId="174" fontId="3" fillId="0" borderId="30" xfId="3859" applyNumberFormat="1" applyFont="1" applyBorder="1" applyAlignment="1">
      <alignment vertical="center"/>
    </xf>
    <xf numFmtId="171" fontId="3" fillId="0" borderId="31" xfId="0" applyNumberFormat="1" applyFont="1" applyBorder="1" applyAlignment="1">
      <alignment vertical="center"/>
    </xf>
    <xf numFmtId="174" fontId="3" fillId="0" borderId="32" xfId="3859" applyNumberFormat="1" applyFont="1" applyBorder="1" applyAlignment="1">
      <alignment vertical="center"/>
    </xf>
    <xf numFmtId="174" fontId="3" fillId="0" borderId="33" xfId="3859" applyNumberFormat="1" applyFont="1" applyBorder="1" applyAlignment="1">
      <alignment vertical="center"/>
    </xf>
    <xf numFmtId="171" fontId="3" fillId="0" borderId="34" xfId="0" applyNumberFormat="1" applyFont="1" applyBorder="1" applyAlignment="1">
      <alignment vertical="center"/>
    </xf>
    <xf numFmtId="174" fontId="3" fillId="0" borderId="35" xfId="3859" applyNumberFormat="1" applyFont="1" applyBorder="1" applyAlignment="1">
      <alignment vertical="center"/>
    </xf>
    <xf numFmtId="174" fontId="3" fillId="0" borderId="36" xfId="3859" applyNumberFormat="1" applyFont="1" applyBorder="1" applyAlignment="1">
      <alignment vertical="center"/>
    </xf>
    <xf numFmtId="0" fontId="27" fillId="0" borderId="0" xfId="0" applyFont="1">
      <alignment vertical="center"/>
    </xf>
    <xf numFmtId="0" fontId="29" fillId="0" borderId="0" xfId="0" applyNumberFormat="1" applyFont="1">
      <alignment vertical="center"/>
    </xf>
    <xf numFmtId="0" fontId="5" fillId="0" borderId="15" xfId="0" applyFont="1" applyBorder="1" applyAlignment="1">
      <alignment horizontal="center" vertical="center"/>
    </xf>
    <xf numFmtId="10" fontId="29" fillId="0" borderId="16" xfId="1" applyNumberFormat="1" applyFont="1" applyBorder="1">
      <alignment vertical="center"/>
    </xf>
    <xf numFmtId="10" fontId="29" fillId="0" borderId="17" xfId="1" applyNumberFormat="1" applyFont="1" applyBorder="1">
      <alignment vertical="center"/>
    </xf>
    <xf numFmtId="10" fontId="29" fillId="0" borderId="18" xfId="1" applyNumberFormat="1" applyFont="1" applyBorder="1">
      <alignment vertical="center"/>
    </xf>
    <xf numFmtId="0" fontId="8" fillId="0" borderId="4" xfId="3" quotePrefix="1" applyNumberFormat="1" applyFont="1" applyFill="1" applyBorder="1" applyAlignment="1">
      <alignment horizontal="center"/>
    </xf>
    <xf numFmtId="0" fontId="32" fillId="0" borderId="0" xfId="0" applyFont="1">
      <alignment vertical="center"/>
    </xf>
    <xf numFmtId="3" fontId="32" fillId="0" borderId="0" xfId="0" applyNumberFormat="1" applyFont="1">
      <alignment vertical="center"/>
    </xf>
    <xf numFmtId="0" fontId="0" fillId="0" borderId="0" xfId="0" applyNumberFormat="1">
      <alignment vertical="center"/>
    </xf>
    <xf numFmtId="3" fontId="32" fillId="0" borderId="2" xfId="0" applyNumberFormat="1" applyFont="1" applyBorder="1">
      <alignment vertical="center"/>
    </xf>
    <xf numFmtId="3" fontId="32" fillId="0" borderId="3" xfId="0" applyNumberFormat="1" applyFont="1" applyBorder="1">
      <alignment vertical="center"/>
    </xf>
    <xf numFmtId="0" fontId="3" fillId="0" borderId="3" xfId="0" applyFont="1" applyBorder="1" applyAlignment="1">
      <alignment vertical="center"/>
    </xf>
    <xf numFmtId="172" fontId="5" fillId="0" borderId="2" xfId="0" applyNumberFormat="1" applyFont="1" applyBorder="1" applyAlignment="1">
      <alignment horizontal="center" vertical="center"/>
    </xf>
    <xf numFmtId="10" fontId="0" fillId="0" borderId="0" xfId="1" applyNumberFormat="1" applyFont="1">
      <alignment vertical="center"/>
    </xf>
    <xf numFmtId="49" fontId="0" fillId="0" borderId="1" xfId="0" applyNumberFormat="1" applyBorder="1" applyAlignment="1">
      <alignment vertical="top"/>
    </xf>
    <xf numFmtId="0" fontId="4" fillId="0" borderId="18" xfId="0" applyFont="1" applyBorder="1" applyAlignment="1">
      <alignment vertical="center"/>
    </xf>
    <xf numFmtId="171" fontId="3" fillId="0" borderId="37" xfId="0" applyNumberFormat="1" applyFont="1" applyBorder="1" applyAlignment="1">
      <alignment vertical="center"/>
    </xf>
    <xf numFmtId="0" fontId="32" fillId="0" borderId="38" xfId="0" applyFont="1" applyBorder="1">
      <alignment vertical="center"/>
    </xf>
    <xf numFmtId="3" fontId="32" fillId="0" borderId="27" xfId="0" applyNumberFormat="1" applyFont="1" applyBorder="1">
      <alignment vertical="center"/>
    </xf>
    <xf numFmtId="3" fontId="32" fillId="0" borderId="39" xfId="0" applyNumberFormat="1" applyFont="1" applyBorder="1">
      <alignment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41" xfId="0" applyBorder="1">
      <alignment vertical="center"/>
    </xf>
    <xf numFmtId="0" fontId="3" fillId="0" borderId="42" xfId="0" applyFont="1" applyBorder="1" applyAlignment="1">
      <alignment vertical="center"/>
    </xf>
    <xf numFmtId="3" fontId="32" fillId="0" borderId="43" xfId="0" applyNumberFormat="1" applyFont="1" applyBorder="1">
      <alignment vertical="center"/>
    </xf>
    <xf numFmtId="0" fontId="3" fillId="0" borderId="40" xfId="0" applyFont="1" applyBorder="1" applyAlignment="1">
      <alignment vertical="center"/>
    </xf>
    <xf numFmtId="3" fontId="32" fillId="0" borderId="0" xfId="0" applyNumberFormat="1" applyFont="1" applyBorder="1">
      <alignment vertical="center"/>
    </xf>
    <xf numFmtId="3" fontId="32" fillId="0" borderId="41" xfId="0" applyNumberFormat="1" applyFont="1" applyBorder="1">
      <alignment vertical="center"/>
    </xf>
    <xf numFmtId="9" fontId="0" fillId="0" borderId="41" xfId="1" applyFont="1" applyBorder="1">
      <alignment vertical="center"/>
    </xf>
    <xf numFmtId="0" fontId="3" fillId="0" borderId="28" xfId="0" applyFont="1" applyBorder="1" applyAlignment="1">
      <alignment vertical="center"/>
    </xf>
    <xf numFmtId="9" fontId="0" fillId="0" borderId="44" xfId="1" applyFont="1" applyBorder="1">
      <alignment vertical="center"/>
    </xf>
    <xf numFmtId="0" fontId="3" fillId="0" borderId="40" xfId="0" applyFont="1" applyBorder="1">
      <alignment vertical="center"/>
    </xf>
    <xf numFmtId="3" fontId="32" fillId="0" borderId="44" xfId="0" applyNumberFormat="1" applyFont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0" borderId="43" xfId="0" applyFont="1" applyBorder="1" applyAlignment="1">
      <alignment vertical="center"/>
    </xf>
    <xf numFmtId="0" fontId="0" fillId="0" borderId="44" xfId="0" applyBorder="1">
      <alignment vertical="center"/>
    </xf>
    <xf numFmtId="165" fontId="3" fillId="0" borderId="0" xfId="0" applyNumberFormat="1" applyFont="1">
      <alignment vertical="center"/>
    </xf>
    <xf numFmtId="14" fontId="33" fillId="0" borderId="0" xfId="0" applyNumberFormat="1" applyFont="1" applyBorder="1" applyAlignment="1">
      <alignment horizontal="center" vertical="center"/>
    </xf>
    <xf numFmtId="166" fontId="5" fillId="0" borderId="3" xfId="0" applyNumberFormat="1" applyFont="1" applyBorder="1">
      <alignment vertical="center"/>
    </xf>
    <xf numFmtId="22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0" fontId="0" fillId="0" borderId="0" xfId="0" quotePrefix="1" applyNumberFormat="1" applyAlignment="1">
      <alignment horizontal="center" vertical="center"/>
    </xf>
    <xf numFmtId="0" fontId="0" fillId="0" borderId="41" xfId="0" applyFill="1" applyBorder="1">
      <alignment vertical="center"/>
    </xf>
    <xf numFmtId="14" fontId="3" fillId="0" borderId="2" xfId="0" applyNumberFormat="1" applyFont="1" applyBorder="1" applyAlignment="1">
      <alignment horizontal="center" vertical="center"/>
    </xf>
    <xf numFmtId="169" fontId="34" fillId="34" borderId="0" xfId="0" applyNumberFormat="1" applyFont="1" applyFill="1">
      <alignment vertical="center"/>
    </xf>
    <xf numFmtId="165" fontId="34" fillId="34" borderId="0" xfId="0" applyNumberFormat="1" applyFont="1" applyFill="1">
      <alignment vertical="center"/>
    </xf>
    <xf numFmtId="0" fontId="35" fillId="0" borderId="0" xfId="0" applyFont="1">
      <alignment vertical="center"/>
    </xf>
    <xf numFmtId="10" fontId="0" fillId="0" borderId="0" xfId="0" applyNumberFormat="1">
      <alignment vertical="center"/>
    </xf>
    <xf numFmtId="176" fontId="36" fillId="35" borderId="0" xfId="0" applyNumberFormat="1" applyFont="1" applyFill="1">
      <alignment vertical="center"/>
    </xf>
    <xf numFmtId="165" fontId="36" fillId="35" borderId="16" xfId="0" applyNumberFormat="1" applyFont="1" applyFill="1" applyBorder="1" applyAlignment="1">
      <alignment vertical="center"/>
    </xf>
    <xf numFmtId="175" fontId="37" fillId="0" borderId="0" xfId="0" applyNumberFormat="1" applyFont="1">
      <alignment vertical="center"/>
    </xf>
    <xf numFmtId="14" fontId="4" fillId="0" borderId="0" xfId="1" applyNumberFormat="1" applyFont="1">
      <alignment vertical="center"/>
    </xf>
    <xf numFmtId="166" fontId="8" fillId="2" borderId="3" xfId="3" quotePrefix="1" applyNumberFormat="1" applyFont="1" applyFill="1" applyBorder="1" applyAlignment="1">
      <alignment horizontal="left"/>
    </xf>
    <xf numFmtId="169" fontId="8" fillId="2" borderId="3" xfId="3" quotePrefix="1" applyNumberFormat="1" applyFont="1" applyFill="1" applyBorder="1" applyAlignment="1">
      <alignment horizontal="left"/>
    </xf>
    <xf numFmtId="169" fontId="5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7" fontId="5" fillId="0" borderId="0" xfId="0" applyNumberFormat="1" applyFont="1">
      <alignment vertical="center"/>
    </xf>
    <xf numFmtId="177" fontId="5" fillId="0" borderId="2" xfId="0" applyNumberFormat="1" applyFont="1" applyBorder="1">
      <alignment vertical="center"/>
    </xf>
    <xf numFmtId="178" fontId="0" fillId="0" borderId="0" xfId="1" applyNumberFormat="1" applyFont="1">
      <alignment vertical="center"/>
    </xf>
    <xf numFmtId="0" fontId="0" fillId="0" borderId="0" xfId="1" applyNumberFormat="1" applyFont="1">
      <alignment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36" borderId="0" xfId="0" applyFont="1" applyFill="1">
      <alignment vertical="center"/>
    </xf>
    <xf numFmtId="168" fontId="0" fillId="0" borderId="0" xfId="0" applyNumberFormat="1" applyAlignment="1">
      <alignment horizontal="center" vertical="center"/>
    </xf>
    <xf numFmtId="180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1" fontId="3" fillId="0" borderId="45" xfId="0" applyNumberFormat="1" applyFont="1" applyBorder="1" applyAlignment="1">
      <alignment vertical="center"/>
    </xf>
    <xf numFmtId="49" fontId="0" fillId="0" borderId="0" xfId="0" applyNumberFormat="1" applyAlignment="1">
      <alignment horizontal="right" vertical="center"/>
    </xf>
  </cellXfs>
  <cellStyles count="3860">
    <cellStyle name="20% - 强调文字颜色 1" xfId="21" builtinId="30" customBuiltin="1"/>
    <cellStyle name="20% - 强调文字颜色 1 2" xfId="263"/>
    <cellStyle name="20% - 强调文字颜色 1 2 2" xfId="452"/>
    <cellStyle name="20% - 强调文字颜色 1 2 2 2" xfId="824"/>
    <cellStyle name="20% - 强调文字颜色 1 2 2 2 2" xfId="1774"/>
    <cellStyle name="20% - 强调文字颜色 1 2 2 2 2 2" xfId="3564"/>
    <cellStyle name="20% - 强调文字颜色 1 2 2 2 3" xfId="2625"/>
    <cellStyle name="20% - 强调文字颜色 1 2 2 3" xfId="1405"/>
    <cellStyle name="20% - 强调文字颜色 1 2 2 3 2" xfId="3195"/>
    <cellStyle name="20% - 强调文字颜色 1 2 2 4" xfId="2256"/>
    <cellStyle name="20% - 强调文字颜色 1 2 3" xfId="641"/>
    <cellStyle name="20% - 强调文字颜色 1 2 3 2" xfId="1591"/>
    <cellStyle name="20% - 强调文字颜色 1 2 3 2 2" xfId="3381"/>
    <cellStyle name="20% - 强调文字颜色 1 2 3 3" xfId="2442"/>
    <cellStyle name="20% - 强调文字颜色 1 2 4" xfId="1223"/>
    <cellStyle name="20% - 强调文字颜色 1 2 4 2" xfId="3012"/>
    <cellStyle name="20% - 强调文字颜色 1 2 5" xfId="2074"/>
    <cellStyle name="20% - 强调文字颜色 1 3" xfId="358"/>
    <cellStyle name="20% - 强调文字颜色 1 3 2" xfId="733"/>
    <cellStyle name="20% - 强调文字颜色 1 3 2 2" xfId="1683"/>
    <cellStyle name="20% - 强调文字颜色 1 3 2 2 2" xfId="3473"/>
    <cellStyle name="20% - 强调文字颜色 1 3 2 3" xfId="2534"/>
    <cellStyle name="20% - 强调文字颜色 1 3 3" xfId="1314"/>
    <cellStyle name="20% - 强调文字颜色 1 3 3 2" xfId="3104"/>
    <cellStyle name="20% - 强调文字颜色 1 3 4" xfId="2165"/>
    <cellStyle name="20% - 强调文字颜色 1 4" xfId="547"/>
    <cellStyle name="20% - 强调文字颜色 1 4 2" xfId="1500"/>
    <cellStyle name="20% - 强调文字颜色 1 4 2 2" xfId="3290"/>
    <cellStyle name="20% - 强调文字颜色 1 4 3" xfId="2351"/>
    <cellStyle name="20% - 强调文字颜色 1 5" xfId="924"/>
    <cellStyle name="20% - 强调文字颜色 1 5 2" xfId="1874"/>
    <cellStyle name="20% - 强调文字颜色 1 5 2 2" xfId="3663"/>
    <cellStyle name="20% - 强调文字颜色 1 5 3" xfId="2724"/>
    <cellStyle name="20% - 强调文字颜色 1 6" xfId="1058"/>
    <cellStyle name="20% - 强调文字颜色 1 6 2" xfId="2004"/>
    <cellStyle name="20% - 强调文字颜色 1 6 2 2" xfId="3794"/>
    <cellStyle name="20% - 强调文字颜色 1 6 3" xfId="2855"/>
    <cellStyle name="20% - 强调文字颜色 1 7" xfId="1156"/>
    <cellStyle name="20% - 强调文字颜色 1 7 2" xfId="2921"/>
    <cellStyle name="20% - 强调文字颜色 1 8" xfId="170"/>
    <cellStyle name="20% - 强调文字颜色 2" xfId="25" builtinId="34" customBuiltin="1"/>
    <cellStyle name="20% - 强调文字颜色 2 2" xfId="265"/>
    <cellStyle name="20% - 强调文字颜色 2 2 2" xfId="454"/>
    <cellStyle name="20% - 强调文字颜色 2 2 2 2" xfId="826"/>
    <cellStyle name="20% - 强调文字颜色 2 2 2 2 2" xfId="1776"/>
    <cellStyle name="20% - 强调文字颜色 2 2 2 2 2 2" xfId="3566"/>
    <cellStyle name="20% - 强调文字颜色 2 2 2 2 3" xfId="2627"/>
    <cellStyle name="20% - 强调文字颜色 2 2 2 3" xfId="1407"/>
    <cellStyle name="20% - 强调文字颜色 2 2 2 3 2" xfId="3197"/>
    <cellStyle name="20% - 强调文字颜色 2 2 2 4" xfId="2258"/>
    <cellStyle name="20% - 强调文字颜色 2 2 3" xfId="643"/>
    <cellStyle name="20% - 强调文字颜色 2 2 3 2" xfId="1593"/>
    <cellStyle name="20% - 强调文字颜色 2 2 3 2 2" xfId="3383"/>
    <cellStyle name="20% - 强调文字颜色 2 2 3 3" xfId="2444"/>
    <cellStyle name="20% - 强调文字颜色 2 2 4" xfId="1225"/>
    <cellStyle name="20% - 强调文字颜色 2 2 4 2" xfId="3014"/>
    <cellStyle name="20% - 强调文字颜色 2 2 5" xfId="2076"/>
    <cellStyle name="20% - 强调文字颜色 2 3" xfId="360"/>
    <cellStyle name="20% - 强调文字颜色 2 3 2" xfId="735"/>
    <cellStyle name="20% - 强调文字颜色 2 3 2 2" xfId="1685"/>
    <cellStyle name="20% - 强调文字颜色 2 3 2 2 2" xfId="3475"/>
    <cellStyle name="20% - 强调文字颜色 2 3 2 3" xfId="2536"/>
    <cellStyle name="20% - 强调文字颜色 2 3 3" xfId="1316"/>
    <cellStyle name="20% - 强调文字颜色 2 3 3 2" xfId="3106"/>
    <cellStyle name="20% - 强调文字颜色 2 3 4" xfId="2167"/>
    <cellStyle name="20% - 强调文字颜色 2 4" xfId="549"/>
    <cellStyle name="20% - 强调文字颜色 2 4 2" xfId="1502"/>
    <cellStyle name="20% - 强调文字颜色 2 4 2 2" xfId="3292"/>
    <cellStyle name="20% - 强调文字颜色 2 4 3" xfId="2353"/>
    <cellStyle name="20% - 强调文字颜色 2 5" xfId="926"/>
    <cellStyle name="20% - 强调文字颜色 2 5 2" xfId="1876"/>
    <cellStyle name="20% - 强调文字颜色 2 5 2 2" xfId="3665"/>
    <cellStyle name="20% - 强调文字颜色 2 5 3" xfId="2726"/>
    <cellStyle name="20% - 强调文字颜色 2 6" xfId="1060"/>
    <cellStyle name="20% - 强调文字颜色 2 6 2" xfId="2006"/>
    <cellStyle name="20% - 强调文字颜色 2 6 2 2" xfId="3796"/>
    <cellStyle name="20% - 强调文字颜色 2 6 3" xfId="2857"/>
    <cellStyle name="20% - 强调文字颜色 2 7" xfId="1158"/>
    <cellStyle name="20% - 强调文字颜色 2 7 2" xfId="2923"/>
    <cellStyle name="20% - 强调文字颜色 2 8" xfId="172"/>
    <cellStyle name="20% - 强调文字颜色 3" xfId="29" builtinId="38" customBuiltin="1"/>
    <cellStyle name="20% - 强调文字颜色 3 2" xfId="267"/>
    <cellStyle name="20% - 强调文字颜色 3 2 2" xfId="456"/>
    <cellStyle name="20% - 强调文字颜色 3 2 2 2" xfId="828"/>
    <cellStyle name="20% - 强调文字颜色 3 2 2 2 2" xfId="1778"/>
    <cellStyle name="20% - 强调文字颜色 3 2 2 2 2 2" xfId="3568"/>
    <cellStyle name="20% - 强调文字颜色 3 2 2 2 3" xfId="2629"/>
    <cellStyle name="20% - 强调文字颜色 3 2 2 3" xfId="1409"/>
    <cellStyle name="20% - 强调文字颜色 3 2 2 3 2" xfId="3199"/>
    <cellStyle name="20% - 强调文字颜色 3 2 2 4" xfId="2260"/>
    <cellStyle name="20% - 强调文字颜色 3 2 3" xfId="645"/>
    <cellStyle name="20% - 强调文字颜色 3 2 3 2" xfId="1595"/>
    <cellStyle name="20% - 强调文字颜色 3 2 3 2 2" xfId="3385"/>
    <cellStyle name="20% - 强调文字颜色 3 2 3 3" xfId="2446"/>
    <cellStyle name="20% - 强调文字颜色 3 2 4" xfId="1227"/>
    <cellStyle name="20% - 强调文字颜色 3 2 4 2" xfId="3016"/>
    <cellStyle name="20% - 强调文字颜色 3 2 5" xfId="2078"/>
    <cellStyle name="20% - 强调文字颜色 3 3" xfId="362"/>
    <cellStyle name="20% - 强调文字颜色 3 3 2" xfId="737"/>
    <cellStyle name="20% - 强调文字颜色 3 3 2 2" xfId="1687"/>
    <cellStyle name="20% - 强调文字颜色 3 3 2 2 2" xfId="3477"/>
    <cellStyle name="20% - 强调文字颜色 3 3 2 3" xfId="2538"/>
    <cellStyle name="20% - 强调文字颜色 3 3 3" xfId="1318"/>
    <cellStyle name="20% - 强调文字颜色 3 3 3 2" xfId="3108"/>
    <cellStyle name="20% - 强调文字颜色 3 3 4" xfId="2169"/>
    <cellStyle name="20% - 强调文字颜色 3 4" xfId="551"/>
    <cellStyle name="20% - 强调文字颜色 3 4 2" xfId="1504"/>
    <cellStyle name="20% - 强调文字颜色 3 4 2 2" xfId="3294"/>
    <cellStyle name="20% - 强调文字颜色 3 4 3" xfId="2355"/>
    <cellStyle name="20% - 强调文字颜色 3 5" xfId="928"/>
    <cellStyle name="20% - 强调文字颜色 3 5 2" xfId="1878"/>
    <cellStyle name="20% - 强调文字颜色 3 5 2 2" xfId="3667"/>
    <cellStyle name="20% - 强调文字颜色 3 5 3" xfId="2728"/>
    <cellStyle name="20% - 强调文字颜色 3 6" xfId="1062"/>
    <cellStyle name="20% - 强调文字颜色 3 6 2" xfId="2008"/>
    <cellStyle name="20% - 强调文字颜色 3 6 2 2" xfId="3798"/>
    <cellStyle name="20% - 强调文字颜色 3 6 3" xfId="2859"/>
    <cellStyle name="20% - 强调文字颜色 3 7" xfId="1160"/>
    <cellStyle name="20% - 强调文字颜色 3 7 2" xfId="2925"/>
    <cellStyle name="20% - 强调文字颜色 3 8" xfId="174"/>
    <cellStyle name="20% - 强调文字颜色 4" xfId="33" builtinId="42" customBuiltin="1"/>
    <cellStyle name="20% - 强调文字颜色 4 2" xfId="269"/>
    <cellStyle name="20% - 强调文字颜色 4 2 2" xfId="458"/>
    <cellStyle name="20% - 强调文字颜色 4 2 2 2" xfId="830"/>
    <cellStyle name="20% - 强调文字颜色 4 2 2 2 2" xfId="1780"/>
    <cellStyle name="20% - 强调文字颜色 4 2 2 2 2 2" xfId="3570"/>
    <cellStyle name="20% - 强调文字颜色 4 2 2 2 3" xfId="2631"/>
    <cellStyle name="20% - 强调文字颜色 4 2 2 3" xfId="1411"/>
    <cellStyle name="20% - 强调文字颜色 4 2 2 3 2" xfId="3201"/>
    <cellStyle name="20% - 强调文字颜色 4 2 2 4" xfId="2262"/>
    <cellStyle name="20% - 强调文字颜色 4 2 3" xfId="647"/>
    <cellStyle name="20% - 强调文字颜色 4 2 3 2" xfId="1597"/>
    <cellStyle name="20% - 强调文字颜色 4 2 3 2 2" xfId="3387"/>
    <cellStyle name="20% - 强调文字颜色 4 2 3 3" xfId="2448"/>
    <cellStyle name="20% - 强调文字颜色 4 2 4" xfId="1229"/>
    <cellStyle name="20% - 强调文字颜色 4 2 4 2" xfId="3018"/>
    <cellStyle name="20% - 强调文字颜色 4 2 5" xfId="2080"/>
    <cellStyle name="20% - 强调文字颜色 4 3" xfId="364"/>
    <cellStyle name="20% - 强调文字颜色 4 3 2" xfId="739"/>
    <cellStyle name="20% - 强调文字颜色 4 3 2 2" xfId="1689"/>
    <cellStyle name="20% - 强调文字颜色 4 3 2 2 2" xfId="3479"/>
    <cellStyle name="20% - 强调文字颜色 4 3 2 3" xfId="2540"/>
    <cellStyle name="20% - 强调文字颜色 4 3 3" xfId="1320"/>
    <cellStyle name="20% - 强调文字颜色 4 3 3 2" xfId="3110"/>
    <cellStyle name="20% - 强调文字颜色 4 3 4" xfId="2171"/>
    <cellStyle name="20% - 强调文字颜色 4 4" xfId="553"/>
    <cellStyle name="20% - 强调文字颜色 4 4 2" xfId="1506"/>
    <cellStyle name="20% - 强调文字颜色 4 4 2 2" xfId="3296"/>
    <cellStyle name="20% - 强调文字颜色 4 4 3" xfId="2357"/>
    <cellStyle name="20% - 强调文字颜色 4 5" xfId="930"/>
    <cellStyle name="20% - 强调文字颜色 4 5 2" xfId="1880"/>
    <cellStyle name="20% - 强调文字颜色 4 5 2 2" xfId="3669"/>
    <cellStyle name="20% - 强调文字颜色 4 5 3" xfId="2730"/>
    <cellStyle name="20% - 强调文字颜色 4 6" xfId="1064"/>
    <cellStyle name="20% - 强调文字颜色 4 6 2" xfId="2010"/>
    <cellStyle name="20% - 强调文字颜色 4 6 2 2" xfId="3800"/>
    <cellStyle name="20% - 强调文字颜色 4 6 3" xfId="2861"/>
    <cellStyle name="20% - 强调文字颜色 4 7" xfId="1162"/>
    <cellStyle name="20% - 强调文字颜色 4 7 2" xfId="2927"/>
    <cellStyle name="20% - 强调文字颜色 4 8" xfId="176"/>
    <cellStyle name="20% - 强调文字颜色 5" xfId="37" builtinId="46" customBuiltin="1"/>
    <cellStyle name="20% - 强调文字颜色 5 2" xfId="271"/>
    <cellStyle name="20% - 强调文字颜色 5 2 2" xfId="460"/>
    <cellStyle name="20% - 强调文字颜色 5 2 2 2" xfId="832"/>
    <cellStyle name="20% - 强调文字颜色 5 2 2 2 2" xfId="1782"/>
    <cellStyle name="20% - 强调文字颜色 5 2 2 2 2 2" xfId="3572"/>
    <cellStyle name="20% - 强调文字颜色 5 2 2 2 3" xfId="2633"/>
    <cellStyle name="20% - 强调文字颜色 5 2 2 3" xfId="1413"/>
    <cellStyle name="20% - 强调文字颜色 5 2 2 3 2" xfId="3203"/>
    <cellStyle name="20% - 强调文字颜色 5 2 2 4" xfId="2264"/>
    <cellStyle name="20% - 强调文字颜色 5 2 3" xfId="649"/>
    <cellStyle name="20% - 强调文字颜色 5 2 3 2" xfId="1599"/>
    <cellStyle name="20% - 强调文字颜色 5 2 3 2 2" xfId="3389"/>
    <cellStyle name="20% - 强调文字颜色 5 2 3 3" xfId="2450"/>
    <cellStyle name="20% - 强调文字颜色 5 2 4" xfId="1231"/>
    <cellStyle name="20% - 强调文字颜色 5 2 4 2" xfId="3020"/>
    <cellStyle name="20% - 强调文字颜色 5 2 5" xfId="2082"/>
    <cellStyle name="20% - 强调文字颜色 5 3" xfId="366"/>
    <cellStyle name="20% - 强调文字颜色 5 3 2" xfId="741"/>
    <cellStyle name="20% - 强调文字颜色 5 3 2 2" xfId="1691"/>
    <cellStyle name="20% - 强调文字颜色 5 3 2 2 2" xfId="3481"/>
    <cellStyle name="20% - 强调文字颜色 5 3 2 3" xfId="2542"/>
    <cellStyle name="20% - 强调文字颜色 5 3 3" xfId="1322"/>
    <cellStyle name="20% - 强调文字颜色 5 3 3 2" xfId="3112"/>
    <cellStyle name="20% - 强调文字颜色 5 3 4" xfId="2173"/>
    <cellStyle name="20% - 强调文字颜色 5 4" xfId="555"/>
    <cellStyle name="20% - 强调文字颜色 5 4 2" xfId="1508"/>
    <cellStyle name="20% - 强调文字颜色 5 4 2 2" xfId="3298"/>
    <cellStyle name="20% - 强调文字颜色 5 4 3" xfId="2359"/>
    <cellStyle name="20% - 强调文字颜色 5 5" xfId="932"/>
    <cellStyle name="20% - 强调文字颜色 5 5 2" xfId="1882"/>
    <cellStyle name="20% - 强调文字颜色 5 5 2 2" xfId="3671"/>
    <cellStyle name="20% - 强调文字颜色 5 5 3" xfId="2732"/>
    <cellStyle name="20% - 强调文字颜色 5 6" xfId="1066"/>
    <cellStyle name="20% - 强调文字颜色 5 6 2" xfId="2012"/>
    <cellStyle name="20% - 强调文字颜色 5 6 2 2" xfId="3802"/>
    <cellStyle name="20% - 强调文字颜色 5 6 3" xfId="2863"/>
    <cellStyle name="20% - 强调文字颜色 5 7" xfId="1164"/>
    <cellStyle name="20% - 强调文字颜色 5 7 2" xfId="2929"/>
    <cellStyle name="20% - 强调文字颜色 5 8" xfId="178"/>
    <cellStyle name="20% - 强调文字颜色 6" xfId="41" builtinId="50" customBuiltin="1"/>
    <cellStyle name="20% - 强调文字颜色 6 2" xfId="273"/>
    <cellStyle name="20% - 强调文字颜色 6 2 2" xfId="462"/>
    <cellStyle name="20% - 强调文字颜色 6 2 2 2" xfId="834"/>
    <cellStyle name="20% - 强调文字颜色 6 2 2 2 2" xfId="1784"/>
    <cellStyle name="20% - 强调文字颜色 6 2 2 2 2 2" xfId="3574"/>
    <cellStyle name="20% - 强调文字颜色 6 2 2 2 3" xfId="2635"/>
    <cellStyle name="20% - 强调文字颜色 6 2 2 3" xfId="1415"/>
    <cellStyle name="20% - 强调文字颜色 6 2 2 3 2" xfId="3205"/>
    <cellStyle name="20% - 强调文字颜色 6 2 2 4" xfId="2266"/>
    <cellStyle name="20% - 强调文字颜色 6 2 3" xfId="651"/>
    <cellStyle name="20% - 强调文字颜色 6 2 3 2" xfId="1601"/>
    <cellStyle name="20% - 强调文字颜色 6 2 3 2 2" xfId="3391"/>
    <cellStyle name="20% - 强调文字颜色 6 2 3 3" xfId="2452"/>
    <cellStyle name="20% - 强调文字颜色 6 2 4" xfId="1233"/>
    <cellStyle name="20% - 强调文字颜色 6 2 4 2" xfId="3022"/>
    <cellStyle name="20% - 强调文字颜色 6 2 5" xfId="2084"/>
    <cellStyle name="20% - 强调文字颜色 6 3" xfId="368"/>
    <cellStyle name="20% - 强调文字颜色 6 3 2" xfId="743"/>
    <cellStyle name="20% - 强调文字颜色 6 3 2 2" xfId="1693"/>
    <cellStyle name="20% - 强调文字颜色 6 3 2 2 2" xfId="3483"/>
    <cellStyle name="20% - 强调文字颜色 6 3 2 3" xfId="2544"/>
    <cellStyle name="20% - 强调文字颜色 6 3 3" xfId="1324"/>
    <cellStyle name="20% - 强调文字颜色 6 3 3 2" xfId="3114"/>
    <cellStyle name="20% - 强调文字颜色 6 3 4" xfId="2175"/>
    <cellStyle name="20% - 强调文字颜色 6 4" xfId="557"/>
    <cellStyle name="20% - 强调文字颜色 6 4 2" xfId="1510"/>
    <cellStyle name="20% - 强调文字颜色 6 4 2 2" xfId="3300"/>
    <cellStyle name="20% - 强调文字颜色 6 4 3" xfId="2361"/>
    <cellStyle name="20% - 强调文字颜色 6 5" xfId="934"/>
    <cellStyle name="20% - 强调文字颜色 6 5 2" xfId="1884"/>
    <cellStyle name="20% - 强调文字颜色 6 5 2 2" xfId="3673"/>
    <cellStyle name="20% - 强调文字颜色 6 5 3" xfId="2734"/>
    <cellStyle name="20% - 强调文字颜色 6 6" xfId="1068"/>
    <cellStyle name="20% - 强调文字颜色 6 6 2" xfId="2014"/>
    <cellStyle name="20% - 强调文字颜色 6 6 2 2" xfId="3804"/>
    <cellStyle name="20% - 强调文字颜色 6 6 3" xfId="2865"/>
    <cellStyle name="20% - 强调文字颜色 6 7" xfId="1166"/>
    <cellStyle name="20% - 强调文字颜色 6 7 2" xfId="2931"/>
    <cellStyle name="20% - 强调文字颜色 6 8" xfId="180"/>
    <cellStyle name="40% - 强调文字颜色 1" xfId="22" builtinId="31" customBuiltin="1"/>
    <cellStyle name="40% - 强调文字颜色 1 2" xfId="264"/>
    <cellStyle name="40% - 强调文字颜色 1 2 2" xfId="453"/>
    <cellStyle name="40% - 强调文字颜色 1 2 2 2" xfId="825"/>
    <cellStyle name="40% - 强调文字颜色 1 2 2 2 2" xfId="1775"/>
    <cellStyle name="40% - 强调文字颜色 1 2 2 2 2 2" xfId="3565"/>
    <cellStyle name="40% - 强调文字颜色 1 2 2 2 3" xfId="2626"/>
    <cellStyle name="40% - 强调文字颜色 1 2 2 3" xfId="1406"/>
    <cellStyle name="40% - 强调文字颜色 1 2 2 3 2" xfId="3196"/>
    <cellStyle name="40% - 强调文字颜色 1 2 2 4" xfId="2257"/>
    <cellStyle name="40% - 强调文字颜色 1 2 3" xfId="642"/>
    <cellStyle name="40% - 强调文字颜色 1 2 3 2" xfId="1592"/>
    <cellStyle name="40% - 强调文字颜色 1 2 3 2 2" xfId="3382"/>
    <cellStyle name="40% - 强调文字颜色 1 2 3 3" xfId="2443"/>
    <cellStyle name="40% - 强调文字颜色 1 2 4" xfId="1224"/>
    <cellStyle name="40% - 强调文字颜色 1 2 4 2" xfId="3013"/>
    <cellStyle name="40% - 强调文字颜色 1 2 5" xfId="2075"/>
    <cellStyle name="40% - 强调文字颜色 1 3" xfId="359"/>
    <cellStyle name="40% - 强调文字颜色 1 3 2" xfId="734"/>
    <cellStyle name="40% - 强调文字颜色 1 3 2 2" xfId="1684"/>
    <cellStyle name="40% - 强调文字颜色 1 3 2 2 2" xfId="3474"/>
    <cellStyle name="40% - 强调文字颜色 1 3 2 3" xfId="2535"/>
    <cellStyle name="40% - 强调文字颜色 1 3 3" xfId="1315"/>
    <cellStyle name="40% - 强调文字颜色 1 3 3 2" xfId="3105"/>
    <cellStyle name="40% - 强调文字颜色 1 3 4" xfId="2166"/>
    <cellStyle name="40% - 强调文字颜色 1 4" xfId="548"/>
    <cellStyle name="40% - 强调文字颜色 1 4 2" xfId="1501"/>
    <cellStyle name="40% - 强调文字颜色 1 4 2 2" xfId="3291"/>
    <cellStyle name="40% - 强调文字颜色 1 4 3" xfId="2352"/>
    <cellStyle name="40% - 强调文字颜色 1 5" xfId="925"/>
    <cellStyle name="40% - 强调文字颜色 1 5 2" xfId="1875"/>
    <cellStyle name="40% - 强调文字颜色 1 5 2 2" xfId="3664"/>
    <cellStyle name="40% - 强调文字颜色 1 5 3" xfId="2725"/>
    <cellStyle name="40% - 强调文字颜色 1 6" xfId="1059"/>
    <cellStyle name="40% - 强调文字颜色 1 6 2" xfId="2005"/>
    <cellStyle name="40% - 强调文字颜色 1 6 2 2" xfId="3795"/>
    <cellStyle name="40% - 强调文字颜色 1 6 3" xfId="2856"/>
    <cellStyle name="40% - 强调文字颜色 1 7" xfId="1157"/>
    <cellStyle name="40% - 强调文字颜色 1 7 2" xfId="2922"/>
    <cellStyle name="40% - 强调文字颜色 1 8" xfId="171"/>
    <cellStyle name="40% - 强调文字颜色 2" xfId="26" builtinId="35" customBuiltin="1"/>
    <cellStyle name="40% - 强调文字颜色 2 2" xfId="266"/>
    <cellStyle name="40% - 强调文字颜色 2 2 2" xfId="455"/>
    <cellStyle name="40% - 强调文字颜色 2 2 2 2" xfId="827"/>
    <cellStyle name="40% - 强调文字颜色 2 2 2 2 2" xfId="1777"/>
    <cellStyle name="40% - 强调文字颜色 2 2 2 2 2 2" xfId="3567"/>
    <cellStyle name="40% - 强调文字颜色 2 2 2 2 3" xfId="2628"/>
    <cellStyle name="40% - 强调文字颜色 2 2 2 3" xfId="1408"/>
    <cellStyle name="40% - 强调文字颜色 2 2 2 3 2" xfId="3198"/>
    <cellStyle name="40% - 强调文字颜色 2 2 2 4" xfId="2259"/>
    <cellStyle name="40% - 强调文字颜色 2 2 3" xfId="644"/>
    <cellStyle name="40% - 强调文字颜色 2 2 3 2" xfId="1594"/>
    <cellStyle name="40% - 强调文字颜色 2 2 3 2 2" xfId="3384"/>
    <cellStyle name="40% - 强调文字颜色 2 2 3 3" xfId="2445"/>
    <cellStyle name="40% - 强调文字颜色 2 2 4" xfId="1226"/>
    <cellStyle name="40% - 强调文字颜色 2 2 4 2" xfId="3015"/>
    <cellStyle name="40% - 强调文字颜色 2 2 5" xfId="2077"/>
    <cellStyle name="40% - 强调文字颜色 2 3" xfId="361"/>
    <cellStyle name="40% - 强调文字颜色 2 3 2" xfId="736"/>
    <cellStyle name="40% - 强调文字颜色 2 3 2 2" xfId="1686"/>
    <cellStyle name="40% - 强调文字颜色 2 3 2 2 2" xfId="3476"/>
    <cellStyle name="40% - 强调文字颜色 2 3 2 3" xfId="2537"/>
    <cellStyle name="40% - 强调文字颜色 2 3 3" xfId="1317"/>
    <cellStyle name="40% - 强调文字颜色 2 3 3 2" xfId="3107"/>
    <cellStyle name="40% - 强调文字颜色 2 3 4" xfId="2168"/>
    <cellStyle name="40% - 强调文字颜色 2 4" xfId="550"/>
    <cellStyle name="40% - 强调文字颜色 2 4 2" xfId="1503"/>
    <cellStyle name="40% - 强调文字颜色 2 4 2 2" xfId="3293"/>
    <cellStyle name="40% - 强调文字颜色 2 4 3" xfId="2354"/>
    <cellStyle name="40% - 强调文字颜色 2 5" xfId="927"/>
    <cellStyle name="40% - 强调文字颜色 2 5 2" xfId="1877"/>
    <cellStyle name="40% - 强调文字颜色 2 5 2 2" xfId="3666"/>
    <cellStyle name="40% - 强调文字颜色 2 5 3" xfId="2727"/>
    <cellStyle name="40% - 强调文字颜色 2 6" xfId="1061"/>
    <cellStyle name="40% - 强调文字颜色 2 6 2" xfId="2007"/>
    <cellStyle name="40% - 强调文字颜色 2 6 2 2" xfId="3797"/>
    <cellStyle name="40% - 强调文字颜色 2 6 3" xfId="2858"/>
    <cellStyle name="40% - 强调文字颜色 2 7" xfId="1159"/>
    <cellStyle name="40% - 强调文字颜色 2 7 2" xfId="2924"/>
    <cellStyle name="40% - 强调文字颜色 2 8" xfId="173"/>
    <cellStyle name="40% - 强调文字颜色 3" xfId="30" builtinId="39" customBuiltin="1"/>
    <cellStyle name="40% - 强调文字颜色 3 2" xfId="268"/>
    <cellStyle name="40% - 强调文字颜色 3 2 2" xfId="457"/>
    <cellStyle name="40% - 强调文字颜色 3 2 2 2" xfId="829"/>
    <cellStyle name="40% - 强调文字颜色 3 2 2 2 2" xfId="1779"/>
    <cellStyle name="40% - 强调文字颜色 3 2 2 2 2 2" xfId="3569"/>
    <cellStyle name="40% - 强调文字颜色 3 2 2 2 3" xfId="2630"/>
    <cellStyle name="40% - 强调文字颜色 3 2 2 3" xfId="1410"/>
    <cellStyle name="40% - 强调文字颜色 3 2 2 3 2" xfId="3200"/>
    <cellStyle name="40% - 强调文字颜色 3 2 2 4" xfId="2261"/>
    <cellStyle name="40% - 强调文字颜色 3 2 3" xfId="646"/>
    <cellStyle name="40% - 强调文字颜色 3 2 3 2" xfId="1596"/>
    <cellStyle name="40% - 强调文字颜色 3 2 3 2 2" xfId="3386"/>
    <cellStyle name="40% - 强调文字颜色 3 2 3 3" xfId="2447"/>
    <cellStyle name="40% - 强调文字颜色 3 2 4" xfId="1228"/>
    <cellStyle name="40% - 强调文字颜色 3 2 4 2" xfId="3017"/>
    <cellStyle name="40% - 强调文字颜色 3 2 5" xfId="2079"/>
    <cellStyle name="40% - 强调文字颜色 3 3" xfId="363"/>
    <cellStyle name="40% - 强调文字颜色 3 3 2" xfId="738"/>
    <cellStyle name="40% - 强调文字颜色 3 3 2 2" xfId="1688"/>
    <cellStyle name="40% - 强调文字颜色 3 3 2 2 2" xfId="3478"/>
    <cellStyle name="40% - 强调文字颜色 3 3 2 3" xfId="2539"/>
    <cellStyle name="40% - 强调文字颜色 3 3 3" xfId="1319"/>
    <cellStyle name="40% - 强调文字颜色 3 3 3 2" xfId="3109"/>
    <cellStyle name="40% - 强调文字颜色 3 3 4" xfId="2170"/>
    <cellStyle name="40% - 强调文字颜色 3 4" xfId="552"/>
    <cellStyle name="40% - 强调文字颜色 3 4 2" xfId="1505"/>
    <cellStyle name="40% - 强调文字颜色 3 4 2 2" xfId="3295"/>
    <cellStyle name="40% - 强调文字颜色 3 4 3" xfId="2356"/>
    <cellStyle name="40% - 强调文字颜色 3 5" xfId="929"/>
    <cellStyle name="40% - 强调文字颜色 3 5 2" xfId="1879"/>
    <cellStyle name="40% - 强调文字颜色 3 5 2 2" xfId="3668"/>
    <cellStyle name="40% - 强调文字颜色 3 5 3" xfId="2729"/>
    <cellStyle name="40% - 强调文字颜色 3 6" xfId="1063"/>
    <cellStyle name="40% - 强调文字颜色 3 6 2" xfId="2009"/>
    <cellStyle name="40% - 强调文字颜色 3 6 2 2" xfId="3799"/>
    <cellStyle name="40% - 强调文字颜色 3 6 3" xfId="2860"/>
    <cellStyle name="40% - 强调文字颜色 3 7" xfId="1161"/>
    <cellStyle name="40% - 强调文字颜色 3 7 2" xfId="2926"/>
    <cellStyle name="40% - 强调文字颜色 3 8" xfId="175"/>
    <cellStyle name="40% - 强调文字颜色 4" xfId="34" builtinId="43" customBuiltin="1"/>
    <cellStyle name="40% - 强调文字颜色 4 2" xfId="270"/>
    <cellStyle name="40% - 强调文字颜色 4 2 2" xfId="459"/>
    <cellStyle name="40% - 强调文字颜色 4 2 2 2" xfId="831"/>
    <cellStyle name="40% - 强调文字颜色 4 2 2 2 2" xfId="1781"/>
    <cellStyle name="40% - 强调文字颜色 4 2 2 2 2 2" xfId="3571"/>
    <cellStyle name="40% - 强调文字颜色 4 2 2 2 3" xfId="2632"/>
    <cellStyle name="40% - 强调文字颜色 4 2 2 3" xfId="1412"/>
    <cellStyle name="40% - 强调文字颜色 4 2 2 3 2" xfId="3202"/>
    <cellStyle name="40% - 强调文字颜色 4 2 2 4" xfId="2263"/>
    <cellStyle name="40% - 强调文字颜色 4 2 3" xfId="648"/>
    <cellStyle name="40% - 强调文字颜色 4 2 3 2" xfId="1598"/>
    <cellStyle name="40% - 强调文字颜色 4 2 3 2 2" xfId="3388"/>
    <cellStyle name="40% - 强调文字颜色 4 2 3 3" xfId="2449"/>
    <cellStyle name="40% - 强调文字颜色 4 2 4" xfId="1230"/>
    <cellStyle name="40% - 强调文字颜色 4 2 4 2" xfId="3019"/>
    <cellStyle name="40% - 强调文字颜色 4 2 5" xfId="2081"/>
    <cellStyle name="40% - 强调文字颜色 4 3" xfId="365"/>
    <cellStyle name="40% - 强调文字颜色 4 3 2" xfId="740"/>
    <cellStyle name="40% - 强调文字颜色 4 3 2 2" xfId="1690"/>
    <cellStyle name="40% - 强调文字颜色 4 3 2 2 2" xfId="3480"/>
    <cellStyle name="40% - 强调文字颜色 4 3 2 3" xfId="2541"/>
    <cellStyle name="40% - 强调文字颜色 4 3 3" xfId="1321"/>
    <cellStyle name="40% - 强调文字颜色 4 3 3 2" xfId="3111"/>
    <cellStyle name="40% - 强调文字颜色 4 3 4" xfId="2172"/>
    <cellStyle name="40% - 强调文字颜色 4 4" xfId="554"/>
    <cellStyle name="40% - 强调文字颜色 4 4 2" xfId="1507"/>
    <cellStyle name="40% - 强调文字颜色 4 4 2 2" xfId="3297"/>
    <cellStyle name="40% - 强调文字颜色 4 4 3" xfId="2358"/>
    <cellStyle name="40% - 强调文字颜色 4 5" xfId="931"/>
    <cellStyle name="40% - 强调文字颜色 4 5 2" xfId="1881"/>
    <cellStyle name="40% - 强调文字颜色 4 5 2 2" xfId="3670"/>
    <cellStyle name="40% - 强调文字颜色 4 5 3" xfId="2731"/>
    <cellStyle name="40% - 强调文字颜色 4 6" xfId="1065"/>
    <cellStyle name="40% - 强调文字颜色 4 6 2" xfId="2011"/>
    <cellStyle name="40% - 强调文字颜色 4 6 2 2" xfId="3801"/>
    <cellStyle name="40% - 强调文字颜色 4 6 3" xfId="2862"/>
    <cellStyle name="40% - 强调文字颜色 4 7" xfId="1163"/>
    <cellStyle name="40% - 强调文字颜色 4 7 2" xfId="2928"/>
    <cellStyle name="40% - 强调文字颜色 4 8" xfId="177"/>
    <cellStyle name="40% - 强调文字颜色 5" xfId="38" builtinId="47" customBuiltin="1"/>
    <cellStyle name="40% - 强调文字颜色 5 2" xfId="272"/>
    <cellStyle name="40% - 强调文字颜色 5 2 2" xfId="461"/>
    <cellStyle name="40% - 强调文字颜色 5 2 2 2" xfId="833"/>
    <cellStyle name="40% - 强调文字颜色 5 2 2 2 2" xfId="1783"/>
    <cellStyle name="40% - 强调文字颜色 5 2 2 2 2 2" xfId="3573"/>
    <cellStyle name="40% - 强调文字颜色 5 2 2 2 3" xfId="2634"/>
    <cellStyle name="40% - 强调文字颜色 5 2 2 3" xfId="1414"/>
    <cellStyle name="40% - 强调文字颜色 5 2 2 3 2" xfId="3204"/>
    <cellStyle name="40% - 强调文字颜色 5 2 2 4" xfId="2265"/>
    <cellStyle name="40% - 强调文字颜色 5 2 3" xfId="650"/>
    <cellStyle name="40% - 强调文字颜色 5 2 3 2" xfId="1600"/>
    <cellStyle name="40% - 强调文字颜色 5 2 3 2 2" xfId="3390"/>
    <cellStyle name="40% - 强调文字颜色 5 2 3 3" xfId="2451"/>
    <cellStyle name="40% - 强调文字颜色 5 2 4" xfId="1232"/>
    <cellStyle name="40% - 强调文字颜色 5 2 4 2" xfId="3021"/>
    <cellStyle name="40% - 强调文字颜色 5 2 5" xfId="2083"/>
    <cellStyle name="40% - 强调文字颜色 5 3" xfId="367"/>
    <cellStyle name="40% - 强调文字颜色 5 3 2" xfId="742"/>
    <cellStyle name="40% - 强调文字颜色 5 3 2 2" xfId="1692"/>
    <cellStyle name="40% - 强调文字颜色 5 3 2 2 2" xfId="3482"/>
    <cellStyle name="40% - 强调文字颜色 5 3 2 3" xfId="2543"/>
    <cellStyle name="40% - 强调文字颜色 5 3 3" xfId="1323"/>
    <cellStyle name="40% - 强调文字颜色 5 3 3 2" xfId="3113"/>
    <cellStyle name="40% - 强调文字颜色 5 3 4" xfId="2174"/>
    <cellStyle name="40% - 强调文字颜色 5 4" xfId="556"/>
    <cellStyle name="40% - 强调文字颜色 5 4 2" xfId="1509"/>
    <cellStyle name="40% - 强调文字颜色 5 4 2 2" xfId="3299"/>
    <cellStyle name="40% - 强调文字颜色 5 4 3" xfId="2360"/>
    <cellStyle name="40% - 强调文字颜色 5 5" xfId="933"/>
    <cellStyle name="40% - 强调文字颜色 5 5 2" xfId="1883"/>
    <cellStyle name="40% - 强调文字颜色 5 5 2 2" xfId="3672"/>
    <cellStyle name="40% - 强调文字颜色 5 5 3" xfId="2733"/>
    <cellStyle name="40% - 强调文字颜色 5 6" xfId="1067"/>
    <cellStyle name="40% - 强调文字颜色 5 6 2" xfId="2013"/>
    <cellStyle name="40% - 强调文字颜色 5 6 2 2" xfId="3803"/>
    <cellStyle name="40% - 强调文字颜色 5 6 3" xfId="2864"/>
    <cellStyle name="40% - 强调文字颜色 5 7" xfId="1165"/>
    <cellStyle name="40% - 强调文字颜色 5 7 2" xfId="2930"/>
    <cellStyle name="40% - 强调文字颜色 5 8" xfId="179"/>
    <cellStyle name="40% - 强调文字颜色 6" xfId="42" builtinId="51" customBuiltin="1"/>
    <cellStyle name="40% - 强调文字颜色 6 2" xfId="274"/>
    <cellStyle name="40% - 强调文字颜色 6 2 2" xfId="463"/>
    <cellStyle name="40% - 强调文字颜色 6 2 2 2" xfId="835"/>
    <cellStyle name="40% - 强调文字颜色 6 2 2 2 2" xfId="1785"/>
    <cellStyle name="40% - 强调文字颜色 6 2 2 2 2 2" xfId="3575"/>
    <cellStyle name="40% - 强调文字颜色 6 2 2 2 3" xfId="2636"/>
    <cellStyle name="40% - 强调文字颜色 6 2 2 3" xfId="1416"/>
    <cellStyle name="40% - 强调文字颜色 6 2 2 3 2" xfId="3206"/>
    <cellStyle name="40% - 强调文字颜色 6 2 2 4" xfId="2267"/>
    <cellStyle name="40% - 强调文字颜色 6 2 3" xfId="652"/>
    <cellStyle name="40% - 强调文字颜色 6 2 3 2" xfId="1602"/>
    <cellStyle name="40% - 强调文字颜色 6 2 3 2 2" xfId="3392"/>
    <cellStyle name="40% - 强调文字颜色 6 2 3 3" xfId="2453"/>
    <cellStyle name="40% - 强调文字颜色 6 2 4" xfId="1234"/>
    <cellStyle name="40% - 强调文字颜色 6 2 4 2" xfId="3023"/>
    <cellStyle name="40% - 强调文字颜色 6 2 5" xfId="2085"/>
    <cellStyle name="40% - 强调文字颜色 6 3" xfId="369"/>
    <cellStyle name="40% - 强调文字颜色 6 3 2" xfId="744"/>
    <cellStyle name="40% - 强调文字颜色 6 3 2 2" xfId="1694"/>
    <cellStyle name="40% - 强调文字颜色 6 3 2 2 2" xfId="3484"/>
    <cellStyle name="40% - 强调文字颜色 6 3 2 3" xfId="2545"/>
    <cellStyle name="40% - 强调文字颜色 6 3 3" xfId="1325"/>
    <cellStyle name="40% - 强调文字颜色 6 3 3 2" xfId="3115"/>
    <cellStyle name="40% - 强调文字颜色 6 3 4" xfId="2176"/>
    <cellStyle name="40% - 强调文字颜色 6 4" xfId="558"/>
    <cellStyle name="40% - 强调文字颜色 6 4 2" xfId="1511"/>
    <cellStyle name="40% - 强调文字颜色 6 4 2 2" xfId="3301"/>
    <cellStyle name="40% - 强调文字颜色 6 4 3" xfId="2362"/>
    <cellStyle name="40% - 强调文字颜色 6 5" xfId="935"/>
    <cellStyle name="40% - 强调文字颜色 6 5 2" xfId="1885"/>
    <cellStyle name="40% - 强调文字颜色 6 5 2 2" xfId="3674"/>
    <cellStyle name="40% - 强调文字颜色 6 5 3" xfId="2735"/>
    <cellStyle name="40% - 强调文字颜色 6 6" xfId="1069"/>
    <cellStyle name="40% - 强调文字颜色 6 6 2" xfId="2015"/>
    <cellStyle name="40% - 强调文字颜色 6 6 2 2" xfId="3805"/>
    <cellStyle name="40% - 强调文字颜色 6 6 3" xfId="2866"/>
    <cellStyle name="40% - 强调文字颜色 6 7" xfId="1167"/>
    <cellStyle name="40% - 强调文字颜色 6 7 2" xfId="2932"/>
    <cellStyle name="40% - 强调文字颜色 6 8" xfId="181"/>
    <cellStyle name="60% - 强调文字颜色 1" xfId="23" builtinId="32" customBuiltin="1"/>
    <cellStyle name="60% - 强调文字颜色 2" xfId="27" builtinId="36" customBuiltin="1"/>
    <cellStyle name="60% - 强调文字颜色 3" xfId="31" builtinId="40" customBuiltin="1"/>
    <cellStyle name="60% - 强调文字颜色 4" xfId="35" builtinId="44" customBuiltin="1"/>
    <cellStyle name="60% - 强调文字颜色 5" xfId="39" builtinId="48" customBuiltin="1"/>
    <cellStyle name="60% - 强调文字颜色 6" xfId="43" builtinId="52" customBuiltin="1"/>
    <cellStyle name="百分比" xfId="1" builtinId="5"/>
    <cellStyle name="百分比 10" xfId="1119"/>
    <cellStyle name="百分比 10 2" xfId="1222"/>
    <cellStyle name="百分比 11" xfId="189"/>
    <cellStyle name="百分比 12" xfId="169"/>
    <cellStyle name="百分比 2" xfId="69"/>
    <cellStyle name="百分比 2 2" xfId="76"/>
    <cellStyle name="百分比 2 3" xfId="126"/>
    <cellStyle name="百分比 2 3 2" xfId="327"/>
    <cellStyle name="百分比 2 3 2 2" xfId="513"/>
    <cellStyle name="百分比 2 3 2 2 2" xfId="885"/>
    <cellStyle name="百分比 2 3 2 2 2 2" xfId="1835"/>
    <cellStyle name="百分比 2 3 2 2 2 2 2" xfId="3625"/>
    <cellStyle name="百分比 2 3 2 2 2 3" xfId="2686"/>
    <cellStyle name="百分比 2 3 2 2 3" xfId="1466"/>
    <cellStyle name="百分比 2 3 2 2 3 2" xfId="3256"/>
    <cellStyle name="百分比 2 3 2 2 4" xfId="2317"/>
    <cellStyle name="百分比 2 3 2 3" xfId="702"/>
    <cellStyle name="百分比 2 3 2 3 2" xfId="1652"/>
    <cellStyle name="百分比 2 3 2 3 2 2" xfId="3442"/>
    <cellStyle name="百分比 2 3 2 3 3" xfId="2503"/>
    <cellStyle name="百分比 2 3 2 4" xfId="1284"/>
    <cellStyle name="百分比 2 3 2 4 2" xfId="3073"/>
    <cellStyle name="百分比 2 3 2 5" xfId="2135"/>
    <cellStyle name="百分比 2 3 3" xfId="422"/>
    <cellStyle name="百分比 2 3 3 2" xfId="794"/>
    <cellStyle name="百分比 2 3 3 2 2" xfId="1744"/>
    <cellStyle name="百分比 2 3 3 2 2 2" xfId="3534"/>
    <cellStyle name="百分比 2 3 3 2 3" xfId="2595"/>
    <cellStyle name="百分比 2 3 3 3" xfId="1375"/>
    <cellStyle name="百分比 2 3 3 3 2" xfId="3165"/>
    <cellStyle name="百分比 2 3 3 4" xfId="2226"/>
    <cellStyle name="百分比 2 3 4" xfId="611"/>
    <cellStyle name="百分比 2 3 4 2" xfId="1561"/>
    <cellStyle name="百分比 2 3 4 2 2" xfId="3351"/>
    <cellStyle name="百分比 2 3 4 3" xfId="2412"/>
    <cellStyle name="百分比 2 3 5" xfId="987"/>
    <cellStyle name="百分比 2 3 5 2" xfId="1937"/>
    <cellStyle name="百分比 2 3 5 2 2" xfId="3726"/>
    <cellStyle name="百分比 2 3 5 3" xfId="2787"/>
    <cellStyle name="百分比 2 3 6" xfId="1085"/>
    <cellStyle name="百分比 2 3 6 2" xfId="2031"/>
    <cellStyle name="百分比 2 3 6 2 2" xfId="3821"/>
    <cellStyle name="百分比 2 3 6 3" xfId="2882"/>
    <cellStyle name="百分比 2 3 7" xfId="1183"/>
    <cellStyle name="百分比 2 3 7 2" xfId="2982"/>
    <cellStyle name="百分比 2 3 8" xfId="233"/>
    <cellStyle name="百分比 2 4" xfId="947"/>
    <cellStyle name="百分比 2 4 2" xfId="1897"/>
    <cellStyle name="百分比 2 4 2 2" xfId="3686"/>
    <cellStyle name="百分比 2 4 3" xfId="2747"/>
    <cellStyle name="百分比 2 5" xfId="1033"/>
    <cellStyle name="百分比 2 5 2" xfId="1979"/>
    <cellStyle name="百分比 2 5 2 2" xfId="3769"/>
    <cellStyle name="百分比 2 5 3" xfId="2830"/>
    <cellStyle name="百分比 2 6" xfId="1131"/>
    <cellStyle name="百分比 3" xfId="82"/>
    <cellStyle name="百分比 3 2" xfId="101"/>
    <cellStyle name="百分比 4" xfId="92"/>
    <cellStyle name="百分比 5" xfId="74"/>
    <cellStyle name="百分比 6" xfId="158"/>
    <cellStyle name="百分比 6 2" xfId="1018"/>
    <cellStyle name="百分比 6 2 2" xfId="1965"/>
    <cellStyle name="百分比 6 2 2 2" xfId="3754"/>
    <cellStyle name="百分比 6 2 3" xfId="2815"/>
    <cellStyle name="百分比 6 3" xfId="1114"/>
    <cellStyle name="百分比 6 3 2" xfId="2059"/>
    <cellStyle name="百分比 6 3 2 2" xfId="3850"/>
    <cellStyle name="百分比 6 3 3" xfId="2911"/>
    <cellStyle name="百分比 6 4" xfId="1212"/>
    <cellStyle name="百分比 6 5" xfId="282"/>
    <cellStyle name="百分比 7" xfId="155"/>
    <cellStyle name="百分比 7 2" xfId="1015"/>
    <cellStyle name="百分比 7 3" xfId="377"/>
    <cellStyle name="百分比 8" xfId="162"/>
    <cellStyle name="百分比 8 2" xfId="1215"/>
    <cellStyle name="百分比 8 3" xfId="566"/>
    <cellStyle name="百分比 9" xfId="165"/>
    <cellStyle name="百分比 9 2" xfId="1021"/>
    <cellStyle name="百分比 9 2 2" xfId="3757"/>
    <cellStyle name="百分比 9 3" xfId="2818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/>
    <cellStyle name="常规 10" xfId="66"/>
    <cellStyle name="常规 10 10" xfId="1128"/>
    <cellStyle name="常规 10 10 2" xfId="2938"/>
    <cellStyle name="常规 10 11" xfId="188"/>
    <cellStyle name="常规 10 2" xfId="81"/>
    <cellStyle name="常规 10 2 10" xfId="196"/>
    <cellStyle name="常规 10 2 2" xfId="100"/>
    <cellStyle name="常规 10 2 2 2" xfId="144"/>
    <cellStyle name="常规 10 2 2 2 2" xfId="347"/>
    <cellStyle name="常规 10 2 2 2 2 2" xfId="533"/>
    <cellStyle name="常规 10 2 2 2 2 2 2" xfId="905"/>
    <cellStyle name="常规 10 2 2 2 2 2 2 2" xfId="1855"/>
    <cellStyle name="常规 10 2 2 2 2 2 2 2 2" xfId="3645"/>
    <cellStyle name="常规 10 2 2 2 2 2 2 3" xfId="2706"/>
    <cellStyle name="常规 10 2 2 2 2 2 3" xfId="1486"/>
    <cellStyle name="常规 10 2 2 2 2 2 3 2" xfId="3276"/>
    <cellStyle name="常规 10 2 2 2 2 2 4" xfId="2337"/>
    <cellStyle name="常规 10 2 2 2 2 3" xfId="722"/>
    <cellStyle name="常规 10 2 2 2 2 3 2" xfId="1672"/>
    <cellStyle name="常规 10 2 2 2 2 3 2 2" xfId="3462"/>
    <cellStyle name="常规 10 2 2 2 2 3 3" xfId="2523"/>
    <cellStyle name="常规 10 2 2 2 2 4" xfId="1304"/>
    <cellStyle name="常规 10 2 2 2 2 4 2" xfId="3093"/>
    <cellStyle name="常规 10 2 2 2 2 5" xfId="2155"/>
    <cellStyle name="常规 10 2 2 2 3" xfId="442"/>
    <cellStyle name="常规 10 2 2 2 3 2" xfId="814"/>
    <cellStyle name="常规 10 2 2 2 3 2 2" xfId="1764"/>
    <cellStyle name="常规 10 2 2 2 3 2 2 2" xfId="3554"/>
    <cellStyle name="常规 10 2 2 2 3 2 3" xfId="2615"/>
    <cellStyle name="常规 10 2 2 2 3 3" xfId="1395"/>
    <cellStyle name="常规 10 2 2 2 3 3 2" xfId="3185"/>
    <cellStyle name="常规 10 2 2 2 3 4" xfId="2246"/>
    <cellStyle name="常规 10 2 2 2 4" xfId="631"/>
    <cellStyle name="常规 10 2 2 2 4 2" xfId="1581"/>
    <cellStyle name="常规 10 2 2 2 4 2 2" xfId="3371"/>
    <cellStyle name="常规 10 2 2 2 4 3" xfId="2432"/>
    <cellStyle name="常规 10 2 2 2 5" xfId="1005"/>
    <cellStyle name="常规 10 2 2 2 5 2" xfId="1955"/>
    <cellStyle name="常规 10 2 2 2 5 2 2" xfId="3744"/>
    <cellStyle name="常规 10 2 2 2 5 3" xfId="2805"/>
    <cellStyle name="常规 10 2 2 2 6" xfId="1103"/>
    <cellStyle name="常规 10 2 2 2 6 2" xfId="2049"/>
    <cellStyle name="常规 10 2 2 2 6 2 2" xfId="3839"/>
    <cellStyle name="常规 10 2 2 2 6 3" xfId="2900"/>
    <cellStyle name="常规 10 2 2 2 7" xfId="1201"/>
    <cellStyle name="常规 10 2 2 2 7 2" xfId="3002"/>
    <cellStyle name="常规 10 2 2 2 8" xfId="253"/>
    <cellStyle name="常规 10 2 2 3" xfId="306"/>
    <cellStyle name="常规 10 2 2 3 2" xfId="493"/>
    <cellStyle name="常规 10 2 2 3 2 2" xfId="865"/>
    <cellStyle name="常规 10 2 2 3 2 2 2" xfId="1815"/>
    <cellStyle name="常规 10 2 2 3 2 2 2 2" xfId="3605"/>
    <cellStyle name="常规 10 2 2 3 2 2 3" xfId="2666"/>
    <cellStyle name="常规 10 2 2 3 2 3" xfId="1446"/>
    <cellStyle name="常规 10 2 2 3 2 3 2" xfId="3236"/>
    <cellStyle name="常规 10 2 2 3 2 4" xfId="2297"/>
    <cellStyle name="常规 10 2 2 3 3" xfId="682"/>
    <cellStyle name="常规 10 2 2 3 3 2" xfId="1632"/>
    <cellStyle name="常规 10 2 2 3 3 2 2" xfId="3422"/>
    <cellStyle name="常规 10 2 2 3 3 3" xfId="2483"/>
    <cellStyle name="常规 10 2 2 3 4" xfId="1264"/>
    <cellStyle name="常规 10 2 2 3 4 2" xfId="3053"/>
    <cellStyle name="常规 10 2 2 3 5" xfId="2115"/>
    <cellStyle name="常规 10 2 2 4" xfId="401"/>
    <cellStyle name="常规 10 2 2 4 2" xfId="774"/>
    <cellStyle name="常规 10 2 2 4 2 2" xfId="1724"/>
    <cellStyle name="常规 10 2 2 4 2 2 2" xfId="3514"/>
    <cellStyle name="常规 10 2 2 4 2 3" xfId="2575"/>
    <cellStyle name="常规 10 2 2 4 3" xfId="1355"/>
    <cellStyle name="常规 10 2 2 4 3 2" xfId="3145"/>
    <cellStyle name="常规 10 2 2 4 4" xfId="2206"/>
    <cellStyle name="常规 10 2 2 5" xfId="590"/>
    <cellStyle name="常规 10 2 2 5 2" xfId="1541"/>
    <cellStyle name="常规 10 2 2 5 2 2" xfId="3331"/>
    <cellStyle name="常规 10 2 2 5 3" xfId="2392"/>
    <cellStyle name="常规 10 2 2 6" xfId="967"/>
    <cellStyle name="常规 10 2 2 6 2" xfId="1917"/>
    <cellStyle name="常规 10 2 2 6 2 2" xfId="3706"/>
    <cellStyle name="常规 10 2 2 6 3" xfId="2767"/>
    <cellStyle name="常规 10 2 2 7" xfId="1053"/>
    <cellStyle name="常规 10 2 2 7 2" xfId="1999"/>
    <cellStyle name="常规 10 2 2 7 2 2" xfId="3789"/>
    <cellStyle name="常规 10 2 2 7 3" xfId="2850"/>
    <cellStyle name="常规 10 2 2 8" xfId="1151"/>
    <cellStyle name="常规 10 2 2 8 2" xfId="2962"/>
    <cellStyle name="常规 10 2 2 9" xfId="213"/>
    <cellStyle name="常规 10 2 3" xfId="129"/>
    <cellStyle name="常规 10 2 3 2" xfId="332"/>
    <cellStyle name="常规 10 2 3 2 2" xfId="518"/>
    <cellStyle name="常规 10 2 3 2 2 2" xfId="890"/>
    <cellStyle name="常规 10 2 3 2 2 2 2" xfId="1840"/>
    <cellStyle name="常规 10 2 3 2 2 2 2 2" xfId="3630"/>
    <cellStyle name="常规 10 2 3 2 2 2 3" xfId="2691"/>
    <cellStyle name="常规 10 2 3 2 2 3" xfId="1471"/>
    <cellStyle name="常规 10 2 3 2 2 3 2" xfId="3261"/>
    <cellStyle name="常规 10 2 3 2 2 4" xfId="2322"/>
    <cellStyle name="常规 10 2 3 2 3" xfId="707"/>
    <cellStyle name="常规 10 2 3 2 3 2" xfId="1657"/>
    <cellStyle name="常规 10 2 3 2 3 2 2" xfId="3447"/>
    <cellStyle name="常规 10 2 3 2 3 3" xfId="2508"/>
    <cellStyle name="常规 10 2 3 2 4" xfId="1289"/>
    <cellStyle name="常规 10 2 3 2 4 2" xfId="3078"/>
    <cellStyle name="常规 10 2 3 2 5" xfId="2140"/>
    <cellStyle name="常规 10 2 3 3" xfId="427"/>
    <cellStyle name="常规 10 2 3 3 2" xfId="799"/>
    <cellStyle name="常规 10 2 3 3 2 2" xfId="1749"/>
    <cellStyle name="常规 10 2 3 3 2 2 2" xfId="3539"/>
    <cellStyle name="常规 10 2 3 3 2 3" xfId="2600"/>
    <cellStyle name="常规 10 2 3 3 3" xfId="1380"/>
    <cellStyle name="常规 10 2 3 3 3 2" xfId="3170"/>
    <cellStyle name="常规 10 2 3 3 4" xfId="2231"/>
    <cellStyle name="常规 10 2 3 4" xfId="616"/>
    <cellStyle name="常规 10 2 3 4 2" xfId="1566"/>
    <cellStyle name="常规 10 2 3 4 2 2" xfId="3356"/>
    <cellStyle name="常规 10 2 3 4 3" xfId="2417"/>
    <cellStyle name="常规 10 2 3 5" xfId="990"/>
    <cellStyle name="常规 10 2 3 5 2" xfId="1940"/>
    <cellStyle name="常规 10 2 3 5 2 2" xfId="3729"/>
    <cellStyle name="常规 10 2 3 5 3" xfId="2790"/>
    <cellStyle name="常规 10 2 3 6" xfId="1088"/>
    <cellStyle name="常规 10 2 3 6 2" xfId="2034"/>
    <cellStyle name="常规 10 2 3 6 2 2" xfId="3824"/>
    <cellStyle name="常规 10 2 3 6 3" xfId="2885"/>
    <cellStyle name="常规 10 2 3 7" xfId="1186"/>
    <cellStyle name="常规 10 2 3 7 2" xfId="2987"/>
    <cellStyle name="常规 10 2 3 8" xfId="238"/>
    <cellStyle name="常规 10 2 4" xfId="289"/>
    <cellStyle name="常规 10 2 4 2" xfId="476"/>
    <cellStyle name="常规 10 2 4 2 2" xfId="848"/>
    <cellStyle name="常规 10 2 4 2 2 2" xfId="1798"/>
    <cellStyle name="常规 10 2 4 2 2 2 2" xfId="3588"/>
    <cellStyle name="常规 10 2 4 2 2 3" xfId="2649"/>
    <cellStyle name="常规 10 2 4 2 3" xfId="1429"/>
    <cellStyle name="常规 10 2 4 2 3 2" xfId="3219"/>
    <cellStyle name="常规 10 2 4 2 4" xfId="2280"/>
    <cellStyle name="常规 10 2 4 3" xfId="665"/>
    <cellStyle name="常规 10 2 4 3 2" xfId="1615"/>
    <cellStyle name="常规 10 2 4 3 2 2" xfId="3405"/>
    <cellStyle name="常规 10 2 4 3 3" xfId="2466"/>
    <cellStyle name="常规 10 2 4 4" xfId="1247"/>
    <cellStyle name="常规 10 2 4 4 2" xfId="3036"/>
    <cellStyle name="常规 10 2 4 5" xfId="2098"/>
    <cellStyle name="常规 10 2 5" xfId="384"/>
    <cellStyle name="常规 10 2 5 2" xfId="757"/>
    <cellStyle name="常规 10 2 5 2 2" xfId="1707"/>
    <cellStyle name="常规 10 2 5 2 2 2" xfId="3497"/>
    <cellStyle name="常规 10 2 5 2 3" xfId="2558"/>
    <cellStyle name="常规 10 2 5 3" xfId="1338"/>
    <cellStyle name="常规 10 2 5 3 2" xfId="3128"/>
    <cellStyle name="常规 10 2 5 4" xfId="2189"/>
    <cellStyle name="常规 10 2 6" xfId="573"/>
    <cellStyle name="常规 10 2 6 2" xfId="1524"/>
    <cellStyle name="常规 10 2 6 2 2" xfId="3314"/>
    <cellStyle name="常规 10 2 6 3" xfId="2375"/>
    <cellStyle name="常规 10 2 7" xfId="952"/>
    <cellStyle name="常规 10 2 7 2" xfId="1902"/>
    <cellStyle name="常规 10 2 7 2 2" xfId="3691"/>
    <cellStyle name="常规 10 2 7 3" xfId="2752"/>
    <cellStyle name="常规 10 2 8" xfId="1038"/>
    <cellStyle name="常规 10 2 8 2" xfId="1984"/>
    <cellStyle name="常规 10 2 8 2 2" xfId="3774"/>
    <cellStyle name="常规 10 2 8 3" xfId="2835"/>
    <cellStyle name="常规 10 2 9" xfId="1136"/>
    <cellStyle name="常规 10 2 9 2" xfId="2945"/>
    <cellStyle name="常规 10 3" xfId="91"/>
    <cellStyle name="常规 10 3 2" xfId="137"/>
    <cellStyle name="常规 10 3 2 2" xfId="340"/>
    <cellStyle name="常规 10 3 2 2 2" xfId="526"/>
    <cellStyle name="常规 10 3 2 2 2 2" xfId="898"/>
    <cellStyle name="常规 10 3 2 2 2 2 2" xfId="1848"/>
    <cellStyle name="常规 10 3 2 2 2 2 2 2" xfId="3638"/>
    <cellStyle name="常规 10 3 2 2 2 2 3" xfId="2699"/>
    <cellStyle name="常规 10 3 2 2 2 3" xfId="1479"/>
    <cellStyle name="常规 10 3 2 2 2 3 2" xfId="3269"/>
    <cellStyle name="常规 10 3 2 2 2 4" xfId="2330"/>
    <cellStyle name="常规 10 3 2 2 3" xfId="715"/>
    <cellStyle name="常规 10 3 2 2 3 2" xfId="1665"/>
    <cellStyle name="常规 10 3 2 2 3 2 2" xfId="3455"/>
    <cellStyle name="常规 10 3 2 2 3 3" xfId="2516"/>
    <cellStyle name="常规 10 3 2 2 4" xfId="1297"/>
    <cellStyle name="常规 10 3 2 2 4 2" xfId="3086"/>
    <cellStyle name="常规 10 3 2 2 5" xfId="2148"/>
    <cellStyle name="常规 10 3 2 3" xfId="435"/>
    <cellStyle name="常规 10 3 2 3 2" xfId="807"/>
    <cellStyle name="常规 10 3 2 3 2 2" xfId="1757"/>
    <cellStyle name="常规 10 3 2 3 2 2 2" xfId="3547"/>
    <cellStyle name="常规 10 3 2 3 2 3" xfId="2608"/>
    <cellStyle name="常规 10 3 2 3 3" xfId="1388"/>
    <cellStyle name="常规 10 3 2 3 3 2" xfId="3178"/>
    <cellStyle name="常规 10 3 2 3 4" xfId="2239"/>
    <cellStyle name="常规 10 3 2 4" xfId="624"/>
    <cellStyle name="常规 10 3 2 4 2" xfId="1574"/>
    <cellStyle name="常规 10 3 2 4 2 2" xfId="3364"/>
    <cellStyle name="常规 10 3 2 4 3" xfId="2425"/>
    <cellStyle name="常规 10 3 2 5" xfId="998"/>
    <cellStyle name="常规 10 3 2 5 2" xfId="1948"/>
    <cellStyle name="常规 10 3 2 5 2 2" xfId="3737"/>
    <cellStyle name="常规 10 3 2 5 3" xfId="2798"/>
    <cellStyle name="常规 10 3 2 6" xfId="1096"/>
    <cellStyle name="常规 10 3 2 6 2" xfId="2042"/>
    <cellStyle name="常规 10 3 2 6 2 2" xfId="3832"/>
    <cellStyle name="常规 10 3 2 6 3" xfId="2893"/>
    <cellStyle name="常规 10 3 2 7" xfId="1194"/>
    <cellStyle name="常规 10 3 2 7 2" xfId="2995"/>
    <cellStyle name="常规 10 3 2 8" xfId="246"/>
    <cellStyle name="常规 10 3 3" xfId="299"/>
    <cellStyle name="常规 10 3 3 2" xfId="486"/>
    <cellStyle name="常规 10 3 3 2 2" xfId="858"/>
    <cellStyle name="常规 10 3 3 2 2 2" xfId="1808"/>
    <cellStyle name="常规 10 3 3 2 2 2 2" xfId="3598"/>
    <cellStyle name="常规 10 3 3 2 2 3" xfId="2659"/>
    <cellStyle name="常规 10 3 3 2 3" xfId="1439"/>
    <cellStyle name="常规 10 3 3 2 3 2" xfId="3229"/>
    <cellStyle name="常规 10 3 3 2 4" xfId="2290"/>
    <cellStyle name="常规 10 3 3 3" xfId="675"/>
    <cellStyle name="常规 10 3 3 3 2" xfId="1625"/>
    <cellStyle name="常规 10 3 3 3 2 2" xfId="3415"/>
    <cellStyle name="常规 10 3 3 3 3" xfId="2476"/>
    <cellStyle name="常规 10 3 3 4" xfId="1257"/>
    <cellStyle name="常规 10 3 3 4 2" xfId="3046"/>
    <cellStyle name="常规 10 3 3 5" xfId="2108"/>
    <cellStyle name="常规 10 3 4" xfId="394"/>
    <cellStyle name="常规 10 3 4 2" xfId="767"/>
    <cellStyle name="常规 10 3 4 2 2" xfId="1717"/>
    <cellStyle name="常规 10 3 4 2 2 2" xfId="3507"/>
    <cellStyle name="常规 10 3 4 2 3" xfId="2568"/>
    <cellStyle name="常规 10 3 4 3" xfId="1348"/>
    <cellStyle name="常规 10 3 4 3 2" xfId="3138"/>
    <cellStyle name="常规 10 3 4 4" xfId="2199"/>
    <cellStyle name="常规 10 3 5" xfId="583"/>
    <cellStyle name="常规 10 3 5 2" xfId="1534"/>
    <cellStyle name="常规 10 3 5 2 2" xfId="3324"/>
    <cellStyle name="常规 10 3 5 3" xfId="2385"/>
    <cellStyle name="常规 10 3 6" xfId="960"/>
    <cellStyle name="常规 10 3 6 2" xfId="1910"/>
    <cellStyle name="常规 10 3 6 2 2" xfId="3699"/>
    <cellStyle name="常规 10 3 6 3" xfId="2760"/>
    <cellStyle name="常规 10 3 7" xfId="1046"/>
    <cellStyle name="常规 10 3 7 2" xfId="1992"/>
    <cellStyle name="常规 10 3 7 2 2" xfId="3782"/>
    <cellStyle name="常规 10 3 7 3" xfId="2843"/>
    <cellStyle name="常规 10 3 8" xfId="1144"/>
    <cellStyle name="常规 10 3 8 2" xfId="2955"/>
    <cellStyle name="常规 10 3 9" xfId="206"/>
    <cellStyle name="常规 10 4" xfId="123"/>
    <cellStyle name="常规 10 4 2" xfId="324"/>
    <cellStyle name="常规 10 4 2 2" xfId="510"/>
    <cellStyle name="常规 10 4 2 2 2" xfId="882"/>
    <cellStyle name="常规 10 4 2 2 2 2" xfId="1832"/>
    <cellStyle name="常规 10 4 2 2 2 2 2" xfId="3622"/>
    <cellStyle name="常规 10 4 2 2 2 3" xfId="2683"/>
    <cellStyle name="常规 10 4 2 2 3" xfId="1463"/>
    <cellStyle name="常规 10 4 2 2 3 2" xfId="3253"/>
    <cellStyle name="常规 10 4 2 2 4" xfId="2314"/>
    <cellStyle name="常规 10 4 2 3" xfId="699"/>
    <cellStyle name="常规 10 4 2 3 2" xfId="1649"/>
    <cellStyle name="常规 10 4 2 3 2 2" xfId="3439"/>
    <cellStyle name="常规 10 4 2 3 3" xfId="2500"/>
    <cellStyle name="常规 10 4 2 4" xfId="1281"/>
    <cellStyle name="常规 10 4 2 4 2" xfId="3070"/>
    <cellStyle name="常规 10 4 2 5" xfId="2132"/>
    <cellStyle name="常规 10 4 3" xfId="419"/>
    <cellStyle name="常规 10 4 3 2" xfId="791"/>
    <cellStyle name="常规 10 4 3 2 2" xfId="1741"/>
    <cellStyle name="常规 10 4 3 2 2 2" xfId="3531"/>
    <cellStyle name="常规 10 4 3 2 3" xfId="2592"/>
    <cellStyle name="常规 10 4 3 3" xfId="1372"/>
    <cellStyle name="常规 10 4 3 3 2" xfId="3162"/>
    <cellStyle name="常规 10 4 3 4" xfId="2223"/>
    <cellStyle name="常规 10 4 4" xfId="608"/>
    <cellStyle name="常规 10 4 4 2" xfId="1558"/>
    <cellStyle name="常规 10 4 4 2 2" xfId="3348"/>
    <cellStyle name="常规 10 4 4 3" xfId="2409"/>
    <cellStyle name="常规 10 4 5" xfId="984"/>
    <cellStyle name="常规 10 4 5 2" xfId="1934"/>
    <cellStyle name="常规 10 4 5 2 2" xfId="3723"/>
    <cellStyle name="常规 10 4 5 3" xfId="2784"/>
    <cellStyle name="常规 10 4 6" xfId="1082"/>
    <cellStyle name="常规 10 4 6 2" xfId="2028"/>
    <cellStyle name="常规 10 4 6 2 2" xfId="3818"/>
    <cellStyle name="常规 10 4 6 3" xfId="2879"/>
    <cellStyle name="常规 10 4 7" xfId="1180"/>
    <cellStyle name="常规 10 4 7 2" xfId="2979"/>
    <cellStyle name="常规 10 4 8" xfId="230"/>
    <cellStyle name="常规 10 5" xfId="281"/>
    <cellStyle name="常规 10 5 2" xfId="469"/>
    <cellStyle name="常规 10 5 2 2" xfId="841"/>
    <cellStyle name="常规 10 5 2 2 2" xfId="1791"/>
    <cellStyle name="常规 10 5 2 2 2 2" xfId="3581"/>
    <cellStyle name="常规 10 5 2 2 3" xfId="2642"/>
    <cellStyle name="常规 10 5 2 3" xfId="1422"/>
    <cellStyle name="常规 10 5 2 3 2" xfId="3212"/>
    <cellStyle name="常规 10 5 2 4" xfId="2273"/>
    <cellStyle name="常规 10 5 3" xfId="658"/>
    <cellStyle name="常规 10 5 3 2" xfId="1608"/>
    <cellStyle name="常规 10 5 3 2 2" xfId="3398"/>
    <cellStyle name="常规 10 5 3 3" xfId="2459"/>
    <cellStyle name="常规 10 5 4" xfId="1240"/>
    <cellStyle name="常规 10 5 4 2" xfId="3029"/>
    <cellStyle name="常规 10 5 5" xfId="2091"/>
    <cellStyle name="常规 10 6" xfId="376"/>
    <cellStyle name="常规 10 6 2" xfId="750"/>
    <cellStyle name="常规 10 6 2 2" xfId="1700"/>
    <cellStyle name="常规 10 6 2 2 2" xfId="3490"/>
    <cellStyle name="常规 10 6 2 3" xfId="2551"/>
    <cellStyle name="常规 10 6 3" xfId="1331"/>
    <cellStyle name="常规 10 6 3 2" xfId="3121"/>
    <cellStyle name="常规 10 6 4" xfId="2182"/>
    <cellStyle name="常规 10 7" xfId="565"/>
    <cellStyle name="常规 10 7 2" xfId="1517"/>
    <cellStyle name="常规 10 7 2 2" xfId="3307"/>
    <cellStyle name="常规 10 7 3" xfId="2368"/>
    <cellStyle name="常规 10 8" xfId="944"/>
    <cellStyle name="常规 10 8 2" xfId="1894"/>
    <cellStyle name="常规 10 8 2 2" xfId="3683"/>
    <cellStyle name="常规 10 8 3" xfId="2744"/>
    <cellStyle name="常规 10 9" xfId="1030"/>
    <cellStyle name="常规 10 9 2" xfId="1976"/>
    <cellStyle name="常规 10 9 2 2" xfId="3766"/>
    <cellStyle name="常规 10 9 3" xfId="2827"/>
    <cellStyle name="常规 11" xfId="67"/>
    <cellStyle name="常规 11 2" xfId="75"/>
    <cellStyle name="常规 11 3" xfId="124"/>
    <cellStyle name="常规 11 3 2" xfId="325"/>
    <cellStyle name="常规 11 3 2 2" xfId="511"/>
    <cellStyle name="常规 11 3 2 2 2" xfId="883"/>
    <cellStyle name="常规 11 3 2 2 2 2" xfId="1833"/>
    <cellStyle name="常规 11 3 2 2 2 2 2" xfId="3623"/>
    <cellStyle name="常规 11 3 2 2 2 3" xfId="2684"/>
    <cellStyle name="常规 11 3 2 2 3" xfId="1464"/>
    <cellStyle name="常规 11 3 2 2 3 2" xfId="3254"/>
    <cellStyle name="常规 11 3 2 2 4" xfId="2315"/>
    <cellStyle name="常规 11 3 2 3" xfId="700"/>
    <cellStyle name="常规 11 3 2 3 2" xfId="1650"/>
    <cellStyle name="常规 11 3 2 3 2 2" xfId="3440"/>
    <cellStyle name="常规 11 3 2 3 3" xfId="2501"/>
    <cellStyle name="常规 11 3 2 4" xfId="1282"/>
    <cellStyle name="常规 11 3 2 4 2" xfId="3071"/>
    <cellStyle name="常规 11 3 2 5" xfId="2133"/>
    <cellStyle name="常规 11 3 3" xfId="420"/>
    <cellStyle name="常规 11 3 3 2" xfId="792"/>
    <cellStyle name="常规 11 3 3 2 2" xfId="1742"/>
    <cellStyle name="常规 11 3 3 2 2 2" xfId="3532"/>
    <cellStyle name="常规 11 3 3 2 3" xfId="2593"/>
    <cellStyle name="常规 11 3 3 3" xfId="1373"/>
    <cellStyle name="常规 11 3 3 3 2" xfId="3163"/>
    <cellStyle name="常规 11 3 3 4" xfId="2224"/>
    <cellStyle name="常规 11 3 4" xfId="609"/>
    <cellStyle name="常规 11 3 4 2" xfId="1559"/>
    <cellStyle name="常规 11 3 4 2 2" xfId="3349"/>
    <cellStyle name="常规 11 3 4 3" xfId="2410"/>
    <cellStyle name="常规 11 3 5" xfId="985"/>
    <cellStyle name="常规 11 3 5 2" xfId="1935"/>
    <cellStyle name="常规 11 3 5 2 2" xfId="3724"/>
    <cellStyle name="常规 11 3 5 3" xfId="2785"/>
    <cellStyle name="常规 11 3 6" xfId="1083"/>
    <cellStyle name="常规 11 3 6 2" xfId="2029"/>
    <cellStyle name="常规 11 3 6 2 2" xfId="3819"/>
    <cellStyle name="常规 11 3 6 3" xfId="2880"/>
    <cellStyle name="常规 11 3 7" xfId="1181"/>
    <cellStyle name="常规 11 3 7 2" xfId="2980"/>
    <cellStyle name="常规 11 3 8" xfId="231"/>
    <cellStyle name="常规 11 4" xfId="945"/>
    <cellStyle name="常规 11 4 2" xfId="1895"/>
    <cellStyle name="常规 11 4 2 2" xfId="3684"/>
    <cellStyle name="常规 11 4 3" xfId="2745"/>
    <cellStyle name="常规 11 5" xfId="1031"/>
    <cellStyle name="常规 11 5 2" xfId="1977"/>
    <cellStyle name="常规 11 5 2 2" xfId="3767"/>
    <cellStyle name="常规 11 5 3" xfId="2828"/>
    <cellStyle name="常规 11 6" xfId="1129"/>
    <cellStyle name="常规 12" xfId="68"/>
    <cellStyle name="常规 12 2" xfId="94"/>
    <cellStyle name="常规 12 3" xfId="78"/>
    <cellStyle name="常规 12 4" xfId="125"/>
    <cellStyle name="常规 12 4 2" xfId="326"/>
    <cellStyle name="常规 12 4 2 2" xfId="512"/>
    <cellStyle name="常规 12 4 2 2 2" xfId="884"/>
    <cellStyle name="常规 12 4 2 2 2 2" xfId="1834"/>
    <cellStyle name="常规 12 4 2 2 2 2 2" xfId="3624"/>
    <cellStyle name="常规 12 4 2 2 2 3" xfId="2685"/>
    <cellStyle name="常规 12 4 2 2 3" xfId="1465"/>
    <cellStyle name="常规 12 4 2 2 3 2" xfId="3255"/>
    <cellStyle name="常规 12 4 2 2 4" xfId="2316"/>
    <cellStyle name="常规 12 4 2 3" xfId="701"/>
    <cellStyle name="常规 12 4 2 3 2" xfId="1651"/>
    <cellStyle name="常规 12 4 2 3 2 2" xfId="3441"/>
    <cellStyle name="常规 12 4 2 3 3" xfId="2502"/>
    <cellStyle name="常规 12 4 2 4" xfId="1283"/>
    <cellStyle name="常规 12 4 2 4 2" xfId="3072"/>
    <cellStyle name="常规 12 4 2 5" xfId="2134"/>
    <cellStyle name="常规 12 4 3" xfId="421"/>
    <cellStyle name="常规 12 4 3 2" xfId="793"/>
    <cellStyle name="常规 12 4 3 2 2" xfId="1743"/>
    <cellStyle name="常规 12 4 3 2 2 2" xfId="3533"/>
    <cellStyle name="常规 12 4 3 2 3" xfId="2594"/>
    <cellStyle name="常规 12 4 3 3" xfId="1374"/>
    <cellStyle name="常规 12 4 3 3 2" xfId="3164"/>
    <cellStyle name="常规 12 4 3 4" xfId="2225"/>
    <cellStyle name="常规 12 4 4" xfId="610"/>
    <cellStyle name="常规 12 4 4 2" xfId="1560"/>
    <cellStyle name="常规 12 4 4 2 2" xfId="3350"/>
    <cellStyle name="常规 12 4 4 3" xfId="2411"/>
    <cellStyle name="常规 12 4 5" xfId="986"/>
    <cellStyle name="常规 12 4 5 2" xfId="1936"/>
    <cellStyle name="常规 12 4 5 2 2" xfId="3725"/>
    <cellStyle name="常规 12 4 5 3" xfId="2786"/>
    <cellStyle name="常规 12 4 6" xfId="1084"/>
    <cellStyle name="常规 12 4 6 2" xfId="2030"/>
    <cellStyle name="常规 12 4 6 2 2" xfId="3820"/>
    <cellStyle name="常规 12 4 6 3" xfId="2881"/>
    <cellStyle name="常规 12 4 7" xfId="1182"/>
    <cellStyle name="常规 12 4 7 2" xfId="2981"/>
    <cellStyle name="常规 12 4 8" xfId="232"/>
    <cellStyle name="常规 12 5" xfId="946"/>
    <cellStyle name="常规 12 5 2" xfId="1896"/>
    <cellStyle name="常规 12 5 2 2" xfId="3685"/>
    <cellStyle name="常规 12 5 3" xfId="2746"/>
    <cellStyle name="常规 12 6" xfId="1032"/>
    <cellStyle name="常规 12 6 2" xfId="1978"/>
    <cellStyle name="常规 12 6 2 2" xfId="3768"/>
    <cellStyle name="常规 12 6 3" xfId="2829"/>
    <cellStyle name="常规 12 7" xfId="1130"/>
    <cellStyle name="常规 13" xfId="52"/>
    <cellStyle name="常规 13 2" xfId="93"/>
    <cellStyle name="常规 13 2 2" xfId="138"/>
    <cellStyle name="常规 13 2 2 2" xfId="341"/>
    <cellStyle name="常规 13 2 2 2 2" xfId="527"/>
    <cellStyle name="常规 13 2 2 2 2 2" xfId="899"/>
    <cellStyle name="常规 13 2 2 2 2 2 2" xfId="1849"/>
    <cellStyle name="常规 13 2 2 2 2 2 2 2" xfId="3639"/>
    <cellStyle name="常规 13 2 2 2 2 2 3" xfId="2700"/>
    <cellStyle name="常规 13 2 2 2 2 3" xfId="1480"/>
    <cellStyle name="常规 13 2 2 2 2 3 2" xfId="3270"/>
    <cellStyle name="常规 13 2 2 2 2 4" xfId="2331"/>
    <cellStyle name="常规 13 2 2 2 3" xfId="716"/>
    <cellStyle name="常规 13 2 2 2 3 2" xfId="1666"/>
    <cellStyle name="常规 13 2 2 2 3 2 2" xfId="3456"/>
    <cellStyle name="常规 13 2 2 2 3 3" xfId="2517"/>
    <cellStyle name="常规 13 2 2 2 4" xfId="1298"/>
    <cellStyle name="常规 13 2 2 2 4 2" xfId="3087"/>
    <cellStyle name="常规 13 2 2 2 5" xfId="2149"/>
    <cellStyle name="常规 13 2 2 3" xfId="436"/>
    <cellStyle name="常规 13 2 2 3 2" xfId="808"/>
    <cellStyle name="常规 13 2 2 3 2 2" xfId="1758"/>
    <cellStyle name="常规 13 2 2 3 2 2 2" xfId="3548"/>
    <cellStyle name="常规 13 2 2 3 2 3" xfId="2609"/>
    <cellStyle name="常规 13 2 2 3 3" xfId="1389"/>
    <cellStyle name="常规 13 2 2 3 3 2" xfId="3179"/>
    <cellStyle name="常规 13 2 2 3 4" xfId="2240"/>
    <cellStyle name="常规 13 2 2 4" xfId="625"/>
    <cellStyle name="常规 13 2 2 4 2" xfId="1575"/>
    <cellStyle name="常规 13 2 2 4 2 2" xfId="3365"/>
    <cellStyle name="常规 13 2 2 4 3" xfId="2426"/>
    <cellStyle name="常规 13 2 2 5" xfId="999"/>
    <cellStyle name="常规 13 2 2 5 2" xfId="1949"/>
    <cellStyle name="常规 13 2 2 5 2 2" xfId="3738"/>
    <cellStyle name="常规 13 2 2 5 3" xfId="2799"/>
    <cellStyle name="常规 13 2 2 6" xfId="1097"/>
    <cellStyle name="常规 13 2 2 6 2" xfId="2043"/>
    <cellStyle name="常规 13 2 2 6 2 2" xfId="3833"/>
    <cellStyle name="常规 13 2 2 6 3" xfId="2894"/>
    <cellStyle name="常规 13 2 2 7" xfId="1195"/>
    <cellStyle name="常规 13 2 2 7 2" xfId="2996"/>
    <cellStyle name="常规 13 2 2 8" xfId="247"/>
    <cellStyle name="常规 13 2 3" xfId="300"/>
    <cellStyle name="常规 13 2 3 2" xfId="487"/>
    <cellStyle name="常规 13 2 3 2 2" xfId="859"/>
    <cellStyle name="常规 13 2 3 2 2 2" xfId="1809"/>
    <cellStyle name="常规 13 2 3 2 2 2 2" xfId="3599"/>
    <cellStyle name="常规 13 2 3 2 2 3" xfId="2660"/>
    <cellStyle name="常规 13 2 3 2 3" xfId="1440"/>
    <cellStyle name="常规 13 2 3 2 3 2" xfId="3230"/>
    <cellStyle name="常规 13 2 3 2 4" xfId="2291"/>
    <cellStyle name="常规 13 2 3 3" xfId="676"/>
    <cellStyle name="常规 13 2 3 3 2" xfId="1626"/>
    <cellStyle name="常规 13 2 3 3 2 2" xfId="3416"/>
    <cellStyle name="常规 13 2 3 3 3" xfId="2477"/>
    <cellStyle name="常规 13 2 3 4" xfId="1258"/>
    <cellStyle name="常规 13 2 3 4 2" xfId="3047"/>
    <cellStyle name="常规 13 2 3 5" xfId="2109"/>
    <cellStyle name="常规 13 2 4" xfId="395"/>
    <cellStyle name="常规 13 2 4 2" xfId="768"/>
    <cellStyle name="常规 13 2 4 2 2" xfId="1718"/>
    <cellStyle name="常规 13 2 4 2 2 2" xfId="3508"/>
    <cellStyle name="常规 13 2 4 2 3" xfId="2569"/>
    <cellStyle name="常规 13 2 4 3" xfId="1349"/>
    <cellStyle name="常规 13 2 4 3 2" xfId="3139"/>
    <cellStyle name="常规 13 2 4 4" xfId="2200"/>
    <cellStyle name="常规 13 2 5" xfId="584"/>
    <cellStyle name="常规 13 2 5 2" xfId="1535"/>
    <cellStyle name="常规 13 2 5 2 2" xfId="3325"/>
    <cellStyle name="常规 13 2 5 3" xfId="2386"/>
    <cellStyle name="常规 13 2 6" xfId="961"/>
    <cellStyle name="常规 13 2 6 2" xfId="1911"/>
    <cellStyle name="常规 13 2 6 2 2" xfId="3700"/>
    <cellStyle name="常规 13 2 6 3" xfId="2761"/>
    <cellStyle name="常规 13 2 7" xfId="1047"/>
    <cellStyle name="常规 13 2 7 2" xfId="1993"/>
    <cellStyle name="常规 13 2 7 2 2" xfId="3783"/>
    <cellStyle name="常规 13 2 7 3" xfId="2844"/>
    <cellStyle name="常规 13 2 8" xfId="1145"/>
    <cellStyle name="常规 13 2 8 2" xfId="2956"/>
    <cellStyle name="常规 13 2 9" xfId="207"/>
    <cellStyle name="常规 13 3" xfId="77"/>
    <cellStyle name="常规 13 3 2" xfId="329"/>
    <cellStyle name="常规 13 3 2 2" xfId="515"/>
    <cellStyle name="常规 13 3 2 2 2" xfId="887"/>
    <cellStyle name="常规 13 3 2 2 2 2" xfId="1837"/>
    <cellStyle name="常规 13 3 2 2 2 2 2" xfId="3627"/>
    <cellStyle name="常规 13 3 2 2 2 3" xfId="2688"/>
    <cellStyle name="常规 13 3 2 2 3" xfId="1468"/>
    <cellStyle name="常规 13 3 2 2 3 2" xfId="3258"/>
    <cellStyle name="常规 13 3 2 2 4" xfId="2319"/>
    <cellStyle name="常规 13 3 2 3" xfId="704"/>
    <cellStyle name="常规 13 3 2 3 2" xfId="1654"/>
    <cellStyle name="常规 13 3 2 3 2 2" xfId="3444"/>
    <cellStyle name="常规 13 3 2 3 3" xfId="2505"/>
    <cellStyle name="常规 13 3 2 4" xfId="1286"/>
    <cellStyle name="常规 13 3 2 4 2" xfId="3075"/>
    <cellStyle name="常规 13 3 2 5" xfId="2137"/>
    <cellStyle name="常规 13 3 3" xfId="424"/>
    <cellStyle name="常规 13 3 3 2" xfId="796"/>
    <cellStyle name="常规 13 3 3 2 2" xfId="1746"/>
    <cellStyle name="常规 13 3 3 2 2 2" xfId="3536"/>
    <cellStyle name="常规 13 3 3 2 3" xfId="2597"/>
    <cellStyle name="常规 13 3 3 3" xfId="1377"/>
    <cellStyle name="常规 13 3 3 3 2" xfId="3167"/>
    <cellStyle name="常规 13 3 3 4" xfId="2228"/>
    <cellStyle name="常规 13 3 4" xfId="613"/>
    <cellStyle name="常规 13 3 4 2" xfId="1563"/>
    <cellStyle name="常规 13 3 4 2 2" xfId="3353"/>
    <cellStyle name="常规 13 3 4 3" xfId="2414"/>
    <cellStyle name="常规 13 3 5" xfId="949"/>
    <cellStyle name="常规 13 3 5 2" xfId="1899"/>
    <cellStyle name="常规 13 3 5 2 2" xfId="3688"/>
    <cellStyle name="常规 13 3 5 3" xfId="2749"/>
    <cellStyle name="常规 13 3 6" xfId="1035"/>
    <cellStyle name="常规 13 3 6 2" xfId="1981"/>
    <cellStyle name="常规 13 3 6 2 2" xfId="3771"/>
    <cellStyle name="常规 13 3 6 3" xfId="2832"/>
    <cellStyle name="常规 13 3 7" xfId="1133"/>
    <cellStyle name="常规 13 3 7 2" xfId="2984"/>
    <cellStyle name="常规 13 3 8" xfId="235"/>
    <cellStyle name="常规 13 4" xfId="115"/>
    <cellStyle name="常规 13 5" xfId="283"/>
    <cellStyle name="常规 13 5 2" xfId="470"/>
    <cellStyle name="常规 13 5 2 2" xfId="842"/>
    <cellStyle name="常规 13 5 2 2 2" xfId="1792"/>
    <cellStyle name="常规 13 5 2 2 2 2" xfId="3582"/>
    <cellStyle name="常规 13 5 2 2 3" xfId="2643"/>
    <cellStyle name="常规 13 5 2 3" xfId="1423"/>
    <cellStyle name="常规 13 5 2 3 2" xfId="3213"/>
    <cellStyle name="常规 13 5 2 4" xfId="2274"/>
    <cellStyle name="常规 13 5 3" xfId="659"/>
    <cellStyle name="常规 13 5 3 2" xfId="1609"/>
    <cellStyle name="常规 13 5 3 2 2" xfId="3399"/>
    <cellStyle name="常规 13 5 3 3" xfId="2460"/>
    <cellStyle name="常规 13 5 4" xfId="1241"/>
    <cellStyle name="常规 13 5 4 2" xfId="3030"/>
    <cellStyle name="常规 13 5 5" xfId="2092"/>
    <cellStyle name="常规 13 6" xfId="378"/>
    <cellStyle name="常规 13 6 2" xfId="751"/>
    <cellStyle name="常规 13 6 2 2" xfId="1701"/>
    <cellStyle name="常规 13 6 2 2 2" xfId="3491"/>
    <cellStyle name="常规 13 6 2 3" xfId="2552"/>
    <cellStyle name="常规 13 6 3" xfId="1332"/>
    <cellStyle name="常规 13 6 3 2" xfId="3122"/>
    <cellStyle name="常规 13 6 4" xfId="2183"/>
    <cellStyle name="常规 13 7" xfId="567"/>
    <cellStyle name="常规 13 7 2" xfId="1518"/>
    <cellStyle name="常规 13 7 2 2" xfId="3308"/>
    <cellStyle name="常规 13 7 3" xfId="2369"/>
    <cellStyle name="常规 13 8" xfId="190"/>
    <cellStyle name="常规 13 8 2" xfId="2939"/>
    <cellStyle name="常规 13 9" xfId="2072"/>
    <cellStyle name="常规 14" xfId="83"/>
    <cellStyle name="常规 14 10" xfId="197"/>
    <cellStyle name="常规 14 2" xfId="102"/>
    <cellStyle name="常规 14 2 2" xfId="145"/>
    <cellStyle name="常规 14 2 2 2" xfId="348"/>
    <cellStyle name="常规 14 2 2 2 2" xfId="534"/>
    <cellStyle name="常规 14 2 2 2 2 2" xfId="906"/>
    <cellStyle name="常规 14 2 2 2 2 2 2" xfId="1856"/>
    <cellStyle name="常规 14 2 2 2 2 2 2 2" xfId="3646"/>
    <cellStyle name="常规 14 2 2 2 2 2 3" xfId="2707"/>
    <cellStyle name="常规 14 2 2 2 2 3" xfId="1487"/>
    <cellStyle name="常规 14 2 2 2 2 3 2" xfId="3277"/>
    <cellStyle name="常规 14 2 2 2 2 4" xfId="2338"/>
    <cellStyle name="常规 14 2 2 2 3" xfId="723"/>
    <cellStyle name="常规 14 2 2 2 3 2" xfId="1673"/>
    <cellStyle name="常规 14 2 2 2 3 2 2" xfId="3463"/>
    <cellStyle name="常规 14 2 2 2 3 3" xfId="2524"/>
    <cellStyle name="常规 14 2 2 2 4" xfId="1305"/>
    <cellStyle name="常规 14 2 2 2 4 2" xfId="3094"/>
    <cellStyle name="常规 14 2 2 2 5" xfId="2156"/>
    <cellStyle name="常规 14 2 2 3" xfId="443"/>
    <cellStyle name="常规 14 2 2 3 2" xfId="815"/>
    <cellStyle name="常规 14 2 2 3 2 2" xfId="1765"/>
    <cellStyle name="常规 14 2 2 3 2 2 2" xfId="3555"/>
    <cellStyle name="常规 14 2 2 3 2 3" xfId="2616"/>
    <cellStyle name="常规 14 2 2 3 3" xfId="1396"/>
    <cellStyle name="常规 14 2 2 3 3 2" xfId="3186"/>
    <cellStyle name="常规 14 2 2 3 4" xfId="2247"/>
    <cellStyle name="常规 14 2 2 4" xfId="632"/>
    <cellStyle name="常规 14 2 2 4 2" xfId="1582"/>
    <cellStyle name="常规 14 2 2 4 2 2" xfId="3372"/>
    <cellStyle name="常规 14 2 2 4 3" xfId="2433"/>
    <cellStyle name="常规 14 2 2 5" xfId="1006"/>
    <cellStyle name="常规 14 2 2 5 2" xfId="1956"/>
    <cellStyle name="常规 14 2 2 5 2 2" xfId="3745"/>
    <cellStyle name="常规 14 2 2 5 3" xfId="2806"/>
    <cellStyle name="常规 14 2 2 6" xfId="1104"/>
    <cellStyle name="常规 14 2 2 6 2" xfId="2050"/>
    <cellStyle name="常规 14 2 2 6 2 2" xfId="3840"/>
    <cellStyle name="常规 14 2 2 6 3" xfId="2901"/>
    <cellStyle name="常规 14 2 2 7" xfId="1202"/>
    <cellStyle name="常规 14 2 2 7 2" xfId="3003"/>
    <cellStyle name="常规 14 2 2 8" xfId="254"/>
    <cellStyle name="常规 14 2 3" xfId="307"/>
    <cellStyle name="常规 14 2 3 2" xfId="494"/>
    <cellStyle name="常规 14 2 3 2 2" xfId="866"/>
    <cellStyle name="常规 14 2 3 2 2 2" xfId="1816"/>
    <cellStyle name="常规 14 2 3 2 2 2 2" xfId="3606"/>
    <cellStyle name="常规 14 2 3 2 2 3" xfId="2667"/>
    <cellStyle name="常规 14 2 3 2 3" xfId="1447"/>
    <cellStyle name="常规 14 2 3 2 3 2" xfId="3237"/>
    <cellStyle name="常规 14 2 3 2 4" xfId="2298"/>
    <cellStyle name="常规 14 2 3 3" xfId="683"/>
    <cellStyle name="常规 14 2 3 3 2" xfId="1633"/>
    <cellStyle name="常规 14 2 3 3 2 2" xfId="3423"/>
    <cellStyle name="常规 14 2 3 3 3" xfId="2484"/>
    <cellStyle name="常规 14 2 3 4" xfId="1265"/>
    <cellStyle name="常规 14 2 3 4 2" xfId="3054"/>
    <cellStyle name="常规 14 2 3 5" xfId="2116"/>
    <cellStyle name="常规 14 2 4" xfId="402"/>
    <cellStyle name="常规 14 2 4 2" xfId="775"/>
    <cellStyle name="常规 14 2 4 2 2" xfId="1725"/>
    <cellStyle name="常规 14 2 4 2 2 2" xfId="3515"/>
    <cellStyle name="常规 14 2 4 2 3" xfId="2576"/>
    <cellStyle name="常规 14 2 4 3" xfId="1356"/>
    <cellStyle name="常规 14 2 4 3 2" xfId="3146"/>
    <cellStyle name="常规 14 2 4 4" xfId="2207"/>
    <cellStyle name="常规 14 2 5" xfId="591"/>
    <cellStyle name="常规 14 2 5 2" xfId="1542"/>
    <cellStyle name="常规 14 2 5 2 2" xfId="3332"/>
    <cellStyle name="常规 14 2 5 3" xfId="2393"/>
    <cellStyle name="常规 14 2 6" xfId="968"/>
    <cellStyle name="常规 14 2 6 2" xfId="1918"/>
    <cellStyle name="常规 14 2 6 2 2" xfId="3707"/>
    <cellStyle name="常规 14 2 6 3" xfId="2768"/>
    <cellStyle name="常规 14 2 7" xfId="1054"/>
    <cellStyle name="常规 14 2 7 2" xfId="2000"/>
    <cellStyle name="常规 14 2 7 2 2" xfId="3790"/>
    <cellStyle name="常规 14 2 7 3" xfId="2851"/>
    <cellStyle name="常规 14 2 8" xfId="1152"/>
    <cellStyle name="常规 14 2 8 2" xfId="2963"/>
    <cellStyle name="常规 14 2 9" xfId="214"/>
    <cellStyle name="常规 14 3" xfId="130"/>
    <cellStyle name="常规 14 3 2" xfId="333"/>
    <cellStyle name="常规 14 3 2 2" xfId="519"/>
    <cellStyle name="常规 14 3 2 2 2" xfId="891"/>
    <cellStyle name="常规 14 3 2 2 2 2" xfId="1841"/>
    <cellStyle name="常规 14 3 2 2 2 2 2" xfId="3631"/>
    <cellStyle name="常规 14 3 2 2 2 3" xfId="2692"/>
    <cellStyle name="常规 14 3 2 2 3" xfId="1472"/>
    <cellStyle name="常规 14 3 2 2 3 2" xfId="3262"/>
    <cellStyle name="常规 14 3 2 2 4" xfId="2323"/>
    <cellStyle name="常规 14 3 2 3" xfId="708"/>
    <cellStyle name="常规 14 3 2 3 2" xfId="1658"/>
    <cellStyle name="常规 14 3 2 3 2 2" xfId="3448"/>
    <cellStyle name="常规 14 3 2 3 3" xfId="2509"/>
    <cellStyle name="常规 14 3 2 4" xfId="1290"/>
    <cellStyle name="常规 14 3 2 4 2" xfId="3079"/>
    <cellStyle name="常规 14 3 2 5" xfId="2141"/>
    <cellStyle name="常规 14 3 3" xfId="428"/>
    <cellStyle name="常规 14 3 3 2" xfId="800"/>
    <cellStyle name="常规 14 3 3 2 2" xfId="1750"/>
    <cellStyle name="常规 14 3 3 2 2 2" xfId="3540"/>
    <cellStyle name="常规 14 3 3 2 3" xfId="2601"/>
    <cellStyle name="常规 14 3 3 3" xfId="1381"/>
    <cellStyle name="常规 14 3 3 3 2" xfId="3171"/>
    <cellStyle name="常规 14 3 3 4" xfId="2232"/>
    <cellStyle name="常规 14 3 4" xfId="617"/>
    <cellStyle name="常规 14 3 4 2" xfId="1567"/>
    <cellStyle name="常规 14 3 4 2 2" xfId="3357"/>
    <cellStyle name="常规 14 3 4 3" xfId="2418"/>
    <cellStyle name="常规 14 3 5" xfId="991"/>
    <cellStyle name="常规 14 3 5 2" xfId="1941"/>
    <cellStyle name="常规 14 3 5 2 2" xfId="3730"/>
    <cellStyle name="常规 14 3 5 3" xfId="2791"/>
    <cellStyle name="常规 14 3 6" xfId="1089"/>
    <cellStyle name="常规 14 3 6 2" xfId="2035"/>
    <cellStyle name="常规 14 3 6 2 2" xfId="3825"/>
    <cellStyle name="常规 14 3 6 3" xfId="2886"/>
    <cellStyle name="常规 14 3 7" xfId="1187"/>
    <cellStyle name="常规 14 3 7 2" xfId="2988"/>
    <cellStyle name="常规 14 3 8" xfId="239"/>
    <cellStyle name="常规 14 4" xfId="290"/>
    <cellStyle name="常规 14 4 2" xfId="477"/>
    <cellStyle name="常规 14 4 2 2" xfId="849"/>
    <cellStyle name="常规 14 4 2 2 2" xfId="1799"/>
    <cellStyle name="常规 14 4 2 2 2 2" xfId="3589"/>
    <cellStyle name="常规 14 4 2 2 3" xfId="2650"/>
    <cellStyle name="常规 14 4 2 3" xfId="1430"/>
    <cellStyle name="常规 14 4 2 3 2" xfId="3220"/>
    <cellStyle name="常规 14 4 2 4" xfId="2281"/>
    <cellStyle name="常规 14 4 3" xfId="666"/>
    <cellStyle name="常规 14 4 3 2" xfId="1616"/>
    <cellStyle name="常规 14 4 3 2 2" xfId="3406"/>
    <cellStyle name="常规 14 4 3 3" xfId="2467"/>
    <cellStyle name="常规 14 4 4" xfId="1248"/>
    <cellStyle name="常规 14 4 4 2" xfId="3037"/>
    <cellStyle name="常规 14 4 5" xfId="2099"/>
    <cellStyle name="常规 14 5" xfId="385"/>
    <cellStyle name="常规 14 5 2" xfId="758"/>
    <cellStyle name="常规 14 5 2 2" xfId="1708"/>
    <cellStyle name="常规 14 5 2 2 2" xfId="3498"/>
    <cellStyle name="常规 14 5 2 3" xfId="2559"/>
    <cellStyle name="常规 14 5 3" xfId="1339"/>
    <cellStyle name="常规 14 5 3 2" xfId="3129"/>
    <cellStyle name="常规 14 5 4" xfId="2190"/>
    <cellStyle name="常规 14 6" xfId="574"/>
    <cellStyle name="常规 14 6 2" xfId="1525"/>
    <cellStyle name="常规 14 6 2 2" xfId="3315"/>
    <cellStyle name="常规 14 6 3" xfId="2376"/>
    <cellStyle name="常规 14 7" xfId="953"/>
    <cellStyle name="常规 14 7 2" xfId="1903"/>
    <cellStyle name="常规 14 7 2 2" xfId="3692"/>
    <cellStyle name="常规 14 7 3" xfId="2753"/>
    <cellStyle name="常规 14 8" xfId="1039"/>
    <cellStyle name="常规 14 8 2" xfId="1985"/>
    <cellStyle name="常规 14 8 2 2" xfId="3775"/>
    <cellStyle name="常规 14 8 3" xfId="2836"/>
    <cellStyle name="常规 14 9" xfId="1137"/>
    <cellStyle name="常规 14 9 2" xfId="2946"/>
    <cellStyle name="常规 15" xfId="84"/>
    <cellStyle name="常规 15 10" xfId="198"/>
    <cellStyle name="常规 15 2" xfId="103"/>
    <cellStyle name="常规 15 2 2" xfId="146"/>
    <cellStyle name="常规 15 2 2 2" xfId="349"/>
    <cellStyle name="常规 15 2 2 2 2" xfId="535"/>
    <cellStyle name="常规 15 2 2 2 2 2" xfId="907"/>
    <cellStyle name="常规 15 2 2 2 2 2 2" xfId="1857"/>
    <cellStyle name="常规 15 2 2 2 2 2 2 2" xfId="3647"/>
    <cellStyle name="常规 15 2 2 2 2 2 3" xfId="2708"/>
    <cellStyle name="常规 15 2 2 2 2 3" xfId="1488"/>
    <cellStyle name="常规 15 2 2 2 2 3 2" xfId="3278"/>
    <cellStyle name="常规 15 2 2 2 2 4" xfId="2339"/>
    <cellStyle name="常规 15 2 2 2 3" xfId="724"/>
    <cellStyle name="常规 15 2 2 2 3 2" xfId="1674"/>
    <cellStyle name="常规 15 2 2 2 3 2 2" xfId="3464"/>
    <cellStyle name="常规 15 2 2 2 3 3" xfId="2525"/>
    <cellStyle name="常规 15 2 2 2 4" xfId="1306"/>
    <cellStyle name="常规 15 2 2 2 4 2" xfId="3095"/>
    <cellStyle name="常规 15 2 2 2 5" xfId="2157"/>
    <cellStyle name="常规 15 2 2 3" xfId="444"/>
    <cellStyle name="常规 15 2 2 3 2" xfId="816"/>
    <cellStyle name="常规 15 2 2 3 2 2" xfId="1766"/>
    <cellStyle name="常规 15 2 2 3 2 2 2" xfId="3556"/>
    <cellStyle name="常规 15 2 2 3 2 3" xfId="2617"/>
    <cellStyle name="常规 15 2 2 3 3" xfId="1397"/>
    <cellStyle name="常规 15 2 2 3 3 2" xfId="3187"/>
    <cellStyle name="常规 15 2 2 3 4" xfId="2248"/>
    <cellStyle name="常规 15 2 2 4" xfId="633"/>
    <cellStyle name="常规 15 2 2 4 2" xfId="1583"/>
    <cellStyle name="常规 15 2 2 4 2 2" xfId="3373"/>
    <cellStyle name="常规 15 2 2 4 3" xfId="2434"/>
    <cellStyle name="常规 15 2 2 5" xfId="1007"/>
    <cellStyle name="常规 15 2 2 5 2" xfId="1957"/>
    <cellStyle name="常规 15 2 2 5 2 2" xfId="3746"/>
    <cellStyle name="常规 15 2 2 5 3" xfId="2807"/>
    <cellStyle name="常规 15 2 2 6" xfId="1105"/>
    <cellStyle name="常规 15 2 2 6 2" xfId="2051"/>
    <cellStyle name="常规 15 2 2 6 2 2" xfId="3841"/>
    <cellStyle name="常规 15 2 2 6 3" xfId="2902"/>
    <cellStyle name="常规 15 2 2 7" xfId="1203"/>
    <cellStyle name="常规 15 2 2 7 2" xfId="3004"/>
    <cellStyle name="常规 15 2 2 8" xfId="255"/>
    <cellStyle name="常规 15 2 3" xfId="308"/>
    <cellStyle name="常规 15 2 3 2" xfId="495"/>
    <cellStyle name="常规 15 2 3 2 2" xfId="867"/>
    <cellStyle name="常规 15 2 3 2 2 2" xfId="1817"/>
    <cellStyle name="常规 15 2 3 2 2 2 2" xfId="3607"/>
    <cellStyle name="常规 15 2 3 2 2 3" xfId="2668"/>
    <cellStyle name="常规 15 2 3 2 3" xfId="1448"/>
    <cellStyle name="常规 15 2 3 2 3 2" xfId="3238"/>
    <cellStyle name="常规 15 2 3 2 4" xfId="2299"/>
    <cellStyle name="常规 15 2 3 3" xfId="684"/>
    <cellStyle name="常规 15 2 3 3 2" xfId="1634"/>
    <cellStyle name="常规 15 2 3 3 2 2" xfId="3424"/>
    <cellStyle name="常规 15 2 3 3 3" xfId="2485"/>
    <cellStyle name="常规 15 2 3 4" xfId="1266"/>
    <cellStyle name="常规 15 2 3 4 2" xfId="3055"/>
    <cellStyle name="常规 15 2 3 5" xfId="2117"/>
    <cellStyle name="常规 15 2 4" xfId="403"/>
    <cellStyle name="常规 15 2 4 2" xfId="776"/>
    <cellStyle name="常规 15 2 4 2 2" xfId="1726"/>
    <cellStyle name="常规 15 2 4 2 2 2" xfId="3516"/>
    <cellStyle name="常规 15 2 4 2 3" xfId="2577"/>
    <cellStyle name="常规 15 2 4 3" xfId="1357"/>
    <cellStyle name="常规 15 2 4 3 2" xfId="3147"/>
    <cellStyle name="常规 15 2 4 4" xfId="2208"/>
    <cellStyle name="常规 15 2 5" xfId="592"/>
    <cellStyle name="常规 15 2 5 2" xfId="1543"/>
    <cellStyle name="常规 15 2 5 2 2" xfId="3333"/>
    <cellStyle name="常规 15 2 5 3" xfId="2394"/>
    <cellStyle name="常规 15 2 6" xfId="969"/>
    <cellStyle name="常规 15 2 6 2" xfId="1919"/>
    <cellStyle name="常规 15 2 6 2 2" xfId="3708"/>
    <cellStyle name="常规 15 2 6 3" xfId="2769"/>
    <cellStyle name="常规 15 2 7" xfId="1055"/>
    <cellStyle name="常规 15 2 7 2" xfId="2001"/>
    <cellStyle name="常规 15 2 7 2 2" xfId="3791"/>
    <cellStyle name="常规 15 2 7 3" xfId="2852"/>
    <cellStyle name="常规 15 2 8" xfId="1153"/>
    <cellStyle name="常规 15 2 8 2" xfId="2964"/>
    <cellStyle name="常规 15 2 9" xfId="215"/>
    <cellStyle name="常规 15 3" xfId="131"/>
    <cellStyle name="常规 15 3 2" xfId="334"/>
    <cellStyle name="常规 15 3 2 2" xfId="520"/>
    <cellStyle name="常规 15 3 2 2 2" xfId="892"/>
    <cellStyle name="常规 15 3 2 2 2 2" xfId="1842"/>
    <cellStyle name="常规 15 3 2 2 2 2 2" xfId="3632"/>
    <cellStyle name="常规 15 3 2 2 2 3" xfId="2693"/>
    <cellStyle name="常规 15 3 2 2 3" xfId="1473"/>
    <cellStyle name="常规 15 3 2 2 3 2" xfId="3263"/>
    <cellStyle name="常规 15 3 2 2 4" xfId="2324"/>
    <cellStyle name="常规 15 3 2 3" xfId="709"/>
    <cellStyle name="常规 15 3 2 3 2" xfId="1659"/>
    <cellStyle name="常规 15 3 2 3 2 2" xfId="3449"/>
    <cellStyle name="常规 15 3 2 3 3" xfId="2510"/>
    <cellStyle name="常规 15 3 2 4" xfId="1291"/>
    <cellStyle name="常规 15 3 2 4 2" xfId="3080"/>
    <cellStyle name="常规 15 3 2 5" xfId="2142"/>
    <cellStyle name="常规 15 3 3" xfId="429"/>
    <cellStyle name="常规 15 3 3 2" xfId="801"/>
    <cellStyle name="常规 15 3 3 2 2" xfId="1751"/>
    <cellStyle name="常规 15 3 3 2 2 2" xfId="3541"/>
    <cellStyle name="常规 15 3 3 2 3" xfId="2602"/>
    <cellStyle name="常规 15 3 3 3" xfId="1382"/>
    <cellStyle name="常规 15 3 3 3 2" xfId="3172"/>
    <cellStyle name="常规 15 3 3 4" xfId="2233"/>
    <cellStyle name="常规 15 3 4" xfId="618"/>
    <cellStyle name="常规 15 3 4 2" xfId="1568"/>
    <cellStyle name="常规 15 3 4 2 2" xfId="3358"/>
    <cellStyle name="常规 15 3 4 3" xfId="2419"/>
    <cellStyle name="常规 15 3 5" xfId="992"/>
    <cellStyle name="常规 15 3 5 2" xfId="1942"/>
    <cellStyle name="常规 15 3 5 2 2" xfId="3731"/>
    <cellStyle name="常规 15 3 5 3" xfId="2792"/>
    <cellStyle name="常规 15 3 6" xfId="1090"/>
    <cellStyle name="常规 15 3 6 2" xfId="2036"/>
    <cellStyle name="常规 15 3 6 2 2" xfId="3826"/>
    <cellStyle name="常规 15 3 6 3" xfId="2887"/>
    <cellStyle name="常规 15 3 7" xfId="1188"/>
    <cellStyle name="常规 15 3 7 2" xfId="2989"/>
    <cellStyle name="常规 15 3 8" xfId="240"/>
    <cellStyle name="常规 15 4" xfId="291"/>
    <cellStyle name="常规 15 4 2" xfId="478"/>
    <cellStyle name="常规 15 4 2 2" xfId="850"/>
    <cellStyle name="常规 15 4 2 2 2" xfId="1800"/>
    <cellStyle name="常规 15 4 2 2 2 2" xfId="3590"/>
    <cellStyle name="常规 15 4 2 2 3" xfId="2651"/>
    <cellStyle name="常规 15 4 2 3" xfId="1431"/>
    <cellStyle name="常规 15 4 2 3 2" xfId="3221"/>
    <cellStyle name="常规 15 4 2 4" xfId="2282"/>
    <cellStyle name="常规 15 4 3" xfId="667"/>
    <cellStyle name="常规 15 4 3 2" xfId="1617"/>
    <cellStyle name="常规 15 4 3 2 2" xfId="3407"/>
    <cellStyle name="常规 15 4 3 3" xfId="2468"/>
    <cellStyle name="常规 15 4 4" xfId="1249"/>
    <cellStyle name="常规 15 4 4 2" xfId="3038"/>
    <cellStyle name="常规 15 4 5" xfId="2100"/>
    <cellStyle name="常规 15 5" xfId="386"/>
    <cellStyle name="常规 15 5 2" xfId="759"/>
    <cellStyle name="常规 15 5 2 2" xfId="1709"/>
    <cellStyle name="常规 15 5 2 2 2" xfId="3499"/>
    <cellStyle name="常规 15 5 2 3" xfId="2560"/>
    <cellStyle name="常规 15 5 3" xfId="1340"/>
    <cellStyle name="常规 15 5 3 2" xfId="3130"/>
    <cellStyle name="常规 15 5 4" xfId="2191"/>
    <cellStyle name="常规 15 6" xfId="575"/>
    <cellStyle name="常规 15 6 2" xfId="1526"/>
    <cellStyle name="常规 15 6 2 2" xfId="3316"/>
    <cellStyle name="常规 15 6 3" xfId="2377"/>
    <cellStyle name="常规 15 7" xfId="954"/>
    <cellStyle name="常规 15 7 2" xfId="1904"/>
    <cellStyle name="常规 15 7 2 2" xfId="3693"/>
    <cellStyle name="常规 15 7 3" xfId="2754"/>
    <cellStyle name="常规 15 8" xfId="1040"/>
    <cellStyle name="常规 15 8 2" xfId="1986"/>
    <cellStyle name="常规 15 8 2 2" xfId="3776"/>
    <cellStyle name="常规 15 8 3" xfId="2837"/>
    <cellStyle name="常规 15 9" xfId="1138"/>
    <cellStyle name="常规 15 9 2" xfId="2947"/>
    <cellStyle name="常规 16" xfId="87"/>
    <cellStyle name="常规 17" xfId="85"/>
    <cellStyle name="常规 17 2" xfId="132"/>
    <cellStyle name="常规 17 2 2" xfId="335"/>
    <cellStyle name="常规 17 2 2 2" xfId="521"/>
    <cellStyle name="常规 17 2 2 2 2" xfId="893"/>
    <cellStyle name="常规 17 2 2 2 2 2" xfId="1843"/>
    <cellStyle name="常规 17 2 2 2 2 2 2" xfId="3633"/>
    <cellStyle name="常规 17 2 2 2 2 3" xfId="2694"/>
    <cellStyle name="常规 17 2 2 2 3" xfId="1474"/>
    <cellStyle name="常规 17 2 2 2 3 2" xfId="3264"/>
    <cellStyle name="常规 17 2 2 2 4" xfId="2325"/>
    <cellStyle name="常规 17 2 2 3" xfId="710"/>
    <cellStyle name="常规 17 2 2 3 2" xfId="1660"/>
    <cellStyle name="常规 17 2 2 3 2 2" xfId="3450"/>
    <cellStyle name="常规 17 2 2 3 3" xfId="2511"/>
    <cellStyle name="常规 17 2 2 4" xfId="1292"/>
    <cellStyle name="常规 17 2 2 4 2" xfId="3081"/>
    <cellStyle name="常规 17 2 2 5" xfId="2143"/>
    <cellStyle name="常规 17 2 3" xfId="430"/>
    <cellStyle name="常规 17 2 3 2" xfId="802"/>
    <cellStyle name="常规 17 2 3 2 2" xfId="1752"/>
    <cellStyle name="常规 17 2 3 2 2 2" xfId="3542"/>
    <cellStyle name="常规 17 2 3 2 3" xfId="2603"/>
    <cellStyle name="常规 17 2 3 3" xfId="1383"/>
    <cellStyle name="常规 17 2 3 3 2" xfId="3173"/>
    <cellStyle name="常规 17 2 3 4" xfId="2234"/>
    <cellStyle name="常规 17 2 4" xfId="619"/>
    <cellStyle name="常规 17 2 4 2" xfId="1569"/>
    <cellStyle name="常规 17 2 4 2 2" xfId="3359"/>
    <cellStyle name="常规 17 2 4 3" xfId="2420"/>
    <cellStyle name="常规 17 2 5" xfId="993"/>
    <cellStyle name="常规 17 2 5 2" xfId="1943"/>
    <cellStyle name="常规 17 2 5 2 2" xfId="3732"/>
    <cellStyle name="常规 17 2 5 3" xfId="2793"/>
    <cellStyle name="常规 17 2 6" xfId="1091"/>
    <cellStyle name="常规 17 2 6 2" xfId="2037"/>
    <cellStyle name="常规 17 2 6 2 2" xfId="3827"/>
    <cellStyle name="常规 17 2 6 3" xfId="2888"/>
    <cellStyle name="常规 17 2 7" xfId="1189"/>
    <cellStyle name="常规 17 2 7 2" xfId="2990"/>
    <cellStyle name="常规 17 2 8" xfId="241"/>
    <cellStyle name="常规 17 3" xfId="292"/>
    <cellStyle name="常规 17 3 2" xfId="479"/>
    <cellStyle name="常规 17 3 2 2" xfId="851"/>
    <cellStyle name="常规 17 3 2 2 2" xfId="1801"/>
    <cellStyle name="常规 17 3 2 2 2 2" xfId="3591"/>
    <cellStyle name="常规 17 3 2 2 3" xfId="2652"/>
    <cellStyle name="常规 17 3 2 3" xfId="1432"/>
    <cellStyle name="常规 17 3 2 3 2" xfId="3222"/>
    <cellStyle name="常规 17 3 2 4" xfId="2283"/>
    <cellStyle name="常规 17 3 3" xfId="668"/>
    <cellStyle name="常规 17 3 3 2" xfId="1618"/>
    <cellStyle name="常规 17 3 3 2 2" xfId="3408"/>
    <cellStyle name="常规 17 3 3 3" xfId="2469"/>
    <cellStyle name="常规 17 3 4" xfId="1250"/>
    <cellStyle name="常规 17 3 4 2" xfId="3039"/>
    <cellStyle name="常规 17 3 5" xfId="2101"/>
    <cellStyle name="常规 17 4" xfId="387"/>
    <cellStyle name="常规 17 4 2" xfId="760"/>
    <cellStyle name="常规 17 4 2 2" xfId="1710"/>
    <cellStyle name="常规 17 4 2 2 2" xfId="3500"/>
    <cellStyle name="常规 17 4 2 3" xfId="2561"/>
    <cellStyle name="常规 17 4 3" xfId="1341"/>
    <cellStyle name="常规 17 4 3 2" xfId="3131"/>
    <cellStyle name="常规 17 4 4" xfId="2192"/>
    <cellStyle name="常规 17 5" xfId="576"/>
    <cellStyle name="常规 17 5 2" xfId="1527"/>
    <cellStyle name="常规 17 5 2 2" xfId="3317"/>
    <cellStyle name="常规 17 5 3" xfId="2378"/>
    <cellStyle name="常规 17 6" xfId="955"/>
    <cellStyle name="常规 17 6 2" xfId="1905"/>
    <cellStyle name="常规 17 6 2 2" xfId="3694"/>
    <cellStyle name="常规 17 6 3" xfId="2755"/>
    <cellStyle name="常规 17 7" xfId="1041"/>
    <cellStyle name="常规 17 7 2" xfId="1987"/>
    <cellStyle name="常规 17 7 2 2" xfId="3777"/>
    <cellStyle name="常规 17 7 3" xfId="2838"/>
    <cellStyle name="常规 17 8" xfId="1139"/>
    <cellStyle name="常规 17 8 2" xfId="2948"/>
    <cellStyle name="常规 17 9" xfId="199"/>
    <cellStyle name="常规 18" xfId="104"/>
    <cellStyle name="常规 18 2" xfId="147"/>
    <cellStyle name="常规 18 2 2" xfId="350"/>
    <cellStyle name="常规 18 2 2 2" xfId="536"/>
    <cellStyle name="常规 18 2 2 2 2" xfId="908"/>
    <cellStyle name="常规 18 2 2 2 2 2" xfId="1858"/>
    <cellStyle name="常规 18 2 2 2 2 2 2" xfId="3648"/>
    <cellStyle name="常规 18 2 2 2 2 3" xfId="2709"/>
    <cellStyle name="常规 18 2 2 2 3" xfId="1489"/>
    <cellStyle name="常规 18 2 2 2 3 2" xfId="3279"/>
    <cellStyle name="常规 18 2 2 2 4" xfId="2340"/>
    <cellStyle name="常规 18 2 2 3" xfId="725"/>
    <cellStyle name="常规 18 2 2 3 2" xfId="1675"/>
    <cellStyle name="常规 18 2 2 3 2 2" xfId="3465"/>
    <cellStyle name="常规 18 2 2 3 3" xfId="2526"/>
    <cellStyle name="常规 18 2 2 4" xfId="1307"/>
    <cellStyle name="常规 18 2 2 4 2" xfId="3096"/>
    <cellStyle name="常规 18 2 2 5" xfId="2158"/>
    <cellStyle name="常规 18 2 3" xfId="445"/>
    <cellStyle name="常规 18 2 3 2" xfId="817"/>
    <cellStyle name="常规 18 2 3 2 2" xfId="1767"/>
    <cellStyle name="常规 18 2 3 2 2 2" xfId="3557"/>
    <cellStyle name="常规 18 2 3 2 3" xfId="2618"/>
    <cellStyle name="常规 18 2 3 3" xfId="1398"/>
    <cellStyle name="常规 18 2 3 3 2" xfId="3188"/>
    <cellStyle name="常规 18 2 3 4" xfId="2249"/>
    <cellStyle name="常规 18 2 4" xfId="634"/>
    <cellStyle name="常规 18 2 4 2" xfId="1584"/>
    <cellStyle name="常规 18 2 4 2 2" xfId="3374"/>
    <cellStyle name="常规 18 2 4 3" xfId="2435"/>
    <cellStyle name="常规 18 2 5" xfId="1008"/>
    <cellStyle name="常规 18 2 5 2" xfId="1958"/>
    <cellStyle name="常规 18 2 5 2 2" xfId="3747"/>
    <cellStyle name="常规 18 2 5 3" xfId="2808"/>
    <cellStyle name="常规 18 2 6" xfId="1106"/>
    <cellStyle name="常规 18 2 6 2" xfId="2052"/>
    <cellStyle name="常规 18 2 6 2 2" xfId="3842"/>
    <cellStyle name="常规 18 2 6 3" xfId="2903"/>
    <cellStyle name="常规 18 2 7" xfId="1204"/>
    <cellStyle name="常规 18 2 7 2" xfId="3005"/>
    <cellStyle name="常规 18 2 8" xfId="256"/>
    <cellStyle name="常规 18 3" xfId="309"/>
    <cellStyle name="常规 18 3 2" xfId="496"/>
    <cellStyle name="常规 18 3 2 2" xfId="868"/>
    <cellStyle name="常规 18 3 2 2 2" xfId="1818"/>
    <cellStyle name="常规 18 3 2 2 2 2" xfId="3608"/>
    <cellStyle name="常规 18 3 2 2 3" xfId="2669"/>
    <cellStyle name="常规 18 3 2 3" xfId="1449"/>
    <cellStyle name="常规 18 3 2 3 2" xfId="3239"/>
    <cellStyle name="常规 18 3 2 4" xfId="2300"/>
    <cellStyle name="常规 18 3 3" xfId="685"/>
    <cellStyle name="常规 18 3 3 2" xfId="1635"/>
    <cellStyle name="常规 18 3 3 2 2" xfId="3425"/>
    <cellStyle name="常规 18 3 3 3" xfId="2486"/>
    <cellStyle name="常规 18 3 4" xfId="1267"/>
    <cellStyle name="常规 18 3 4 2" xfId="3056"/>
    <cellStyle name="常规 18 3 5" xfId="2118"/>
    <cellStyle name="常规 18 4" xfId="404"/>
    <cellStyle name="常规 18 4 2" xfId="777"/>
    <cellStyle name="常规 18 4 2 2" xfId="1727"/>
    <cellStyle name="常规 18 4 2 2 2" xfId="3517"/>
    <cellStyle name="常规 18 4 2 3" xfId="2578"/>
    <cellStyle name="常规 18 4 3" xfId="1358"/>
    <cellStyle name="常规 18 4 3 2" xfId="3148"/>
    <cellStyle name="常规 18 4 4" xfId="2209"/>
    <cellStyle name="常规 18 5" xfId="593"/>
    <cellStyle name="常规 18 5 2" xfId="1544"/>
    <cellStyle name="常规 18 5 2 2" xfId="3334"/>
    <cellStyle name="常规 18 5 3" xfId="2395"/>
    <cellStyle name="常规 18 6" xfId="970"/>
    <cellStyle name="常规 18 6 2" xfId="1920"/>
    <cellStyle name="常规 18 6 2 2" xfId="3709"/>
    <cellStyle name="常规 18 6 3" xfId="2770"/>
    <cellStyle name="常规 18 7" xfId="1056"/>
    <cellStyle name="常规 18 7 2" xfId="2002"/>
    <cellStyle name="常规 18 7 2 2" xfId="3792"/>
    <cellStyle name="常规 18 7 3" xfId="2853"/>
    <cellStyle name="常规 18 8" xfId="1154"/>
    <cellStyle name="常规 18 8 2" xfId="2965"/>
    <cellStyle name="常规 18 9" xfId="216"/>
    <cellStyle name="常规 19" xfId="106"/>
    <cellStyle name="常规 19 2" xfId="148"/>
    <cellStyle name="常规 19 2 2" xfId="351"/>
    <cellStyle name="常规 19 2 2 2" xfId="537"/>
    <cellStyle name="常规 19 2 2 2 2" xfId="909"/>
    <cellStyle name="常规 19 2 2 2 2 2" xfId="1859"/>
    <cellStyle name="常规 19 2 2 2 2 2 2" xfId="3649"/>
    <cellStyle name="常规 19 2 2 2 2 3" xfId="2710"/>
    <cellStyle name="常规 19 2 2 2 3" xfId="1490"/>
    <cellStyle name="常规 19 2 2 2 3 2" xfId="3280"/>
    <cellStyle name="常规 19 2 2 2 4" xfId="2341"/>
    <cellStyle name="常规 19 2 2 3" xfId="726"/>
    <cellStyle name="常规 19 2 2 3 2" xfId="1676"/>
    <cellStyle name="常规 19 2 2 3 2 2" xfId="3466"/>
    <cellStyle name="常规 19 2 2 3 3" xfId="2527"/>
    <cellStyle name="常规 19 2 2 4" xfId="1308"/>
    <cellStyle name="常规 19 2 2 4 2" xfId="3097"/>
    <cellStyle name="常规 19 2 2 5" xfId="2159"/>
    <cellStyle name="常规 19 2 3" xfId="446"/>
    <cellStyle name="常规 19 2 3 2" xfId="818"/>
    <cellStyle name="常规 19 2 3 2 2" xfId="1768"/>
    <cellStyle name="常规 19 2 3 2 2 2" xfId="3558"/>
    <cellStyle name="常规 19 2 3 2 3" xfId="2619"/>
    <cellStyle name="常规 19 2 3 3" xfId="1399"/>
    <cellStyle name="常规 19 2 3 3 2" xfId="3189"/>
    <cellStyle name="常规 19 2 3 4" xfId="2250"/>
    <cellStyle name="常规 19 2 4" xfId="635"/>
    <cellStyle name="常规 19 2 4 2" xfId="1585"/>
    <cellStyle name="常规 19 2 4 2 2" xfId="3375"/>
    <cellStyle name="常规 19 2 4 3" xfId="2436"/>
    <cellStyle name="常规 19 2 5" xfId="1009"/>
    <cellStyle name="常规 19 2 5 2" xfId="1959"/>
    <cellStyle name="常规 19 2 5 2 2" xfId="3748"/>
    <cellStyle name="常规 19 2 5 3" xfId="2809"/>
    <cellStyle name="常规 19 2 6" xfId="1107"/>
    <cellStyle name="常规 19 2 6 2" xfId="2053"/>
    <cellStyle name="常规 19 2 6 2 2" xfId="3843"/>
    <cellStyle name="常规 19 2 6 3" xfId="2904"/>
    <cellStyle name="常规 19 2 7" xfId="1205"/>
    <cellStyle name="常规 19 2 7 2" xfId="3006"/>
    <cellStyle name="常规 19 2 8" xfId="257"/>
    <cellStyle name="常规 19 3" xfId="311"/>
    <cellStyle name="常规 19 3 2" xfId="497"/>
    <cellStyle name="常规 19 3 2 2" xfId="869"/>
    <cellStyle name="常规 19 3 2 2 2" xfId="1819"/>
    <cellStyle name="常规 19 3 2 2 2 2" xfId="3609"/>
    <cellStyle name="常规 19 3 2 2 3" xfId="2670"/>
    <cellStyle name="常规 19 3 2 3" xfId="1450"/>
    <cellStyle name="常规 19 3 2 3 2" xfId="3240"/>
    <cellStyle name="常规 19 3 2 4" xfId="2301"/>
    <cellStyle name="常规 19 3 3" xfId="686"/>
    <cellStyle name="常规 19 3 3 2" xfId="1636"/>
    <cellStyle name="常规 19 3 3 2 2" xfId="3426"/>
    <cellStyle name="常规 19 3 3 3" xfId="2487"/>
    <cellStyle name="常规 19 3 4" xfId="1268"/>
    <cellStyle name="常规 19 3 4 2" xfId="3057"/>
    <cellStyle name="常规 19 3 5" xfId="2119"/>
    <cellStyle name="常规 19 4" xfId="406"/>
    <cellStyle name="常规 19 4 2" xfId="778"/>
    <cellStyle name="常规 19 4 2 2" xfId="1728"/>
    <cellStyle name="常规 19 4 2 2 2" xfId="3518"/>
    <cellStyle name="常规 19 4 2 3" xfId="2579"/>
    <cellStyle name="常规 19 4 3" xfId="1359"/>
    <cellStyle name="常规 19 4 3 2" xfId="3149"/>
    <cellStyle name="常规 19 4 4" xfId="2210"/>
    <cellStyle name="常规 19 5" xfId="595"/>
    <cellStyle name="常规 19 5 2" xfId="1545"/>
    <cellStyle name="常规 19 5 2 2" xfId="3335"/>
    <cellStyle name="常规 19 5 3" xfId="2396"/>
    <cellStyle name="常规 19 6" xfId="971"/>
    <cellStyle name="常规 19 6 2" xfId="1921"/>
    <cellStyle name="常规 19 6 2 2" xfId="3710"/>
    <cellStyle name="常规 19 6 3" xfId="2771"/>
    <cellStyle name="常规 19 7" xfId="1057"/>
    <cellStyle name="常规 19 7 2" xfId="2003"/>
    <cellStyle name="常规 19 7 2 2" xfId="3793"/>
    <cellStyle name="常规 19 7 3" xfId="2854"/>
    <cellStyle name="常规 19 8" xfId="1155"/>
    <cellStyle name="常规 19 8 2" xfId="2966"/>
    <cellStyle name="常规 19 9" xfId="217"/>
    <cellStyle name="常规 2" xfId="2"/>
    <cellStyle name="常规 2 2" xfId="48"/>
    <cellStyle name="常规 2 3" xfId="45"/>
    <cellStyle name="常规 2 4" xfId="70"/>
    <cellStyle name="常规 2 5" xfId="53"/>
    <cellStyle name="常规 2 6" xfId="111"/>
    <cellStyle name="常规 2 7" xfId="159"/>
    <cellStyle name="常规 20" xfId="107"/>
    <cellStyle name="常规 20 2" xfId="312"/>
    <cellStyle name="常规 20 2 2" xfId="498"/>
    <cellStyle name="常规 20 2 2 2" xfId="870"/>
    <cellStyle name="常规 20 2 2 2 2" xfId="1820"/>
    <cellStyle name="常规 20 2 2 2 2 2" xfId="3610"/>
    <cellStyle name="常规 20 2 2 2 3" xfId="2671"/>
    <cellStyle name="常规 20 2 2 3" xfId="1451"/>
    <cellStyle name="常规 20 2 2 3 2" xfId="3241"/>
    <cellStyle name="常规 20 2 2 4" xfId="2302"/>
    <cellStyle name="常规 20 2 3" xfId="687"/>
    <cellStyle name="常规 20 2 3 2" xfId="1637"/>
    <cellStyle name="常规 20 2 3 2 2" xfId="3427"/>
    <cellStyle name="常规 20 2 3 3" xfId="2488"/>
    <cellStyle name="常规 20 2 4" xfId="1269"/>
    <cellStyle name="常规 20 2 4 2" xfId="3058"/>
    <cellStyle name="常规 20 2 5" xfId="2120"/>
    <cellStyle name="常规 20 3" xfId="407"/>
    <cellStyle name="常规 20 3 2" xfId="779"/>
    <cellStyle name="常规 20 3 2 2" xfId="1729"/>
    <cellStyle name="常规 20 3 2 2 2" xfId="3519"/>
    <cellStyle name="常规 20 3 2 3" xfId="2580"/>
    <cellStyle name="常规 20 3 3" xfId="1360"/>
    <cellStyle name="常规 20 3 3 2" xfId="3150"/>
    <cellStyle name="常规 20 3 4" xfId="2211"/>
    <cellStyle name="常规 20 4" xfId="596"/>
    <cellStyle name="常规 20 4 2" xfId="1546"/>
    <cellStyle name="常规 20 4 2 2" xfId="3336"/>
    <cellStyle name="常规 20 4 3" xfId="2397"/>
    <cellStyle name="常规 20 5" xfId="972"/>
    <cellStyle name="常规 20 5 2" xfId="1922"/>
    <cellStyle name="常规 20 5 2 2" xfId="3711"/>
    <cellStyle name="常规 20 5 3" xfId="2772"/>
    <cellStyle name="常规 20 6" xfId="1070"/>
    <cellStyle name="常规 20 6 2" xfId="2016"/>
    <cellStyle name="常规 20 6 2 2" xfId="3806"/>
    <cellStyle name="常规 20 6 3" xfId="2867"/>
    <cellStyle name="常规 20 7" xfId="1168"/>
    <cellStyle name="常规 20 7 2" xfId="2967"/>
    <cellStyle name="常规 20 8" xfId="218"/>
    <cellStyle name="常规 21" xfId="108"/>
    <cellStyle name="常规 21 2" xfId="313"/>
    <cellStyle name="常规 21 2 2" xfId="499"/>
    <cellStyle name="常规 21 2 2 2" xfId="871"/>
    <cellStyle name="常规 21 2 2 2 2" xfId="1821"/>
    <cellStyle name="常规 21 2 2 2 2 2" xfId="3611"/>
    <cellStyle name="常规 21 2 2 2 3" xfId="2672"/>
    <cellStyle name="常规 21 2 2 3" xfId="1452"/>
    <cellStyle name="常规 21 2 2 3 2" xfId="3242"/>
    <cellStyle name="常规 21 2 2 4" xfId="2303"/>
    <cellStyle name="常规 21 2 3" xfId="688"/>
    <cellStyle name="常规 21 2 3 2" xfId="1638"/>
    <cellStyle name="常规 21 2 3 2 2" xfId="3428"/>
    <cellStyle name="常规 21 2 3 3" xfId="2489"/>
    <cellStyle name="常规 21 2 4" xfId="1270"/>
    <cellStyle name="常规 21 2 4 2" xfId="3059"/>
    <cellStyle name="常规 21 2 5" xfId="2121"/>
    <cellStyle name="常规 21 3" xfId="408"/>
    <cellStyle name="常规 21 3 2" xfId="780"/>
    <cellStyle name="常规 21 3 2 2" xfId="1730"/>
    <cellStyle name="常规 21 3 2 2 2" xfId="3520"/>
    <cellStyle name="常规 21 3 2 3" xfId="2581"/>
    <cellStyle name="常规 21 3 3" xfId="1361"/>
    <cellStyle name="常规 21 3 3 2" xfId="3151"/>
    <cellStyle name="常规 21 3 4" xfId="2212"/>
    <cellStyle name="常规 21 4" xfId="597"/>
    <cellStyle name="常规 21 4 2" xfId="1547"/>
    <cellStyle name="常规 21 4 2 2" xfId="3337"/>
    <cellStyle name="常规 21 4 3" xfId="2398"/>
    <cellStyle name="常规 21 5" xfId="973"/>
    <cellStyle name="常规 21 5 2" xfId="1923"/>
    <cellStyle name="常规 21 5 2 2" xfId="3712"/>
    <cellStyle name="常规 21 5 3" xfId="2773"/>
    <cellStyle name="常规 21 6" xfId="1071"/>
    <cellStyle name="常规 21 6 2" xfId="2017"/>
    <cellStyle name="常规 21 6 2 2" xfId="3807"/>
    <cellStyle name="常规 21 6 3" xfId="2868"/>
    <cellStyle name="常规 21 7" xfId="1169"/>
    <cellStyle name="常规 21 7 2" xfId="2968"/>
    <cellStyle name="常规 21 8" xfId="219"/>
    <cellStyle name="常规 22" xfId="109"/>
    <cellStyle name="常规 22 2" xfId="314"/>
    <cellStyle name="常规 22 2 2" xfId="500"/>
    <cellStyle name="常规 22 2 2 2" xfId="872"/>
    <cellStyle name="常规 22 2 2 2 2" xfId="1822"/>
    <cellStyle name="常规 22 2 2 2 2 2" xfId="3612"/>
    <cellStyle name="常规 22 2 2 2 3" xfId="2673"/>
    <cellStyle name="常规 22 2 2 3" xfId="1453"/>
    <cellStyle name="常规 22 2 2 3 2" xfId="3243"/>
    <cellStyle name="常规 22 2 2 4" xfId="2304"/>
    <cellStyle name="常规 22 2 3" xfId="689"/>
    <cellStyle name="常规 22 2 3 2" xfId="1639"/>
    <cellStyle name="常规 22 2 3 2 2" xfId="3429"/>
    <cellStyle name="常规 22 2 3 3" xfId="2490"/>
    <cellStyle name="常规 22 2 4" xfId="1271"/>
    <cellStyle name="常规 22 2 4 2" xfId="3060"/>
    <cellStyle name="常规 22 2 5" xfId="2122"/>
    <cellStyle name="常规 22 3" xfId="409"/>
    <cellStyle name="常规 22 3 2" xfId="781"/>
    <cellStyle name="常规 22 3 2 2" xfId="1731"/>
    <cellStyle name="常规 22 3 2 2 2" xfId="3521"/>
    <cellStyle name="常规 22 3 2 3" xfId="2582"/>
    <cellStyle name="常规 22 3 3" xfId="1362"/>
    <cellStyle name="常规 22 3 3 2" xfId="3152"/>
    <cellStyle name="常规 22 3 4" xfId="2213"/>
    <cellStyle name="常规 22 4" xfId="598"/>
    <cellStyle name="常规 22 4 2" xfId="1548"/>
    <cellStyle name="常规 22 4 2 2" xfId="3338"/>
    <cellStyle name="常规 22 4 3" xfId="2399"/>
    <cellStyle name="常规 22 5" xfId="974"/>
    <cellStyle name="常规 22 5 2" xfId="1924"/>
    <cellStyle name="常规 22 5 2 2" xfId="3713"/>
    <cellStyle name="常规 22 5 3" xfId="2774"/>
    <cellStyle name="常规 22 6" xfId="1072"/>
    <cellStyle name="常规 22 6 2" xfId="2018"/>
    <cellStyle name="常规 22 6 2 2" xfId="3808"/>
    <cellStyle name="常规 22 6 3" xfId="2869"/>
    <cellStyle name="常规 22 7" xfId="1170"/>
    <cellStyle name="常规 22 7 2" xfId="2969"/>
    <cellStyle name="常规 22 8" xfId="220"/>
    <cellStyle name="常规 23" xfId="110"/>
    <cellStyle name="常规 23 2" xfId="315"/>
    <cellStyle name="常规 23 2 2" xfId="501"/>
    <cellStyle name="常规 23 2 2 2" xfId="873"/>
    <cellStyle name="常规 23 2 2 2 2" xfId="1823"/>
    <cellStyle name="常规 23 2 2 2 2 2" xfId="3613"/>
    <cellStyle name="常规 23 2 2 2 3" xfId="2674"/>
    <cellStyle name="常规 23 2 2 3" xfId="1454"/>
    <cellStyle name="常规 23 2 2 3 2" xfId="3244"/>
    <cellStyle name="常规 23 2 2 4" xfId="2305"/>
    <cellStyle name="常规 23 2 3" xfId="690"/>
    <cellStyle name="常规 23 2 3 2" xfId="1640"/>
    <cellStyle name="常规 23 2 3 2 2" xfId="3430"/>
    <cellStyle name="常规 23 2 3 3" xfId="2491"/>
    <cellStyle name="常规 23 2 4" xfId="1272"/>
    <cellStyle name="常规 23 2 4 2" xfId="3061"/>
    <cellStyle name="常规 23 2 5" xfId="2123"/>
    <cellStyle name="常规 23 3" xfId="410"/>
    <cellStyle name="常规 23 3 2" xfId="782"/>
    <cellStyle name="常规 23 3 2 2" xfId="1732"/>
    <cellStyle name="常规 23 3 2 2 2" xfId="3522"/>
    <cellStyle name="常规 23 3 2 3" xfId="2583"/>
    <cellStyle name="常规 23 3 3" xfId="1363"/>
    <cellStyle name="常规 23 3 3 2" xfId="3153"/>
    <cellStyle name="常规 23 3 4" xfId="2214"/>
    <cellStyle name="常规 23 4" xfId="599"/>
    <cellStyle name="常规 23 4 2" xfId="1549"/>
    <cellStyle name="常规 23 4 2 2" xfId="3339"/>
    <cellStyle name="常规 23 4 3" xfId="2400"/>
    <cellStyle name="常规 23 5" xfId="975"/>
    <cellStyle name="常规 23 5 2" xfId="1925"/>
    <cellStyle name="常规 23 5 2 2" xfId="3714"/>
    <cellStyle name="常规 23 5 3" xfId="2775"/>
    <cellStyle name="常规 23 6" xfId="1073"/>
    <cellStyle name="常规 23 6 2" xfId="2019"/>
    <cellStyle name="常规 23 6 2 2" xfId="3809"/>
    <cellStyle name="常规 23 6 3" xfId="2870"/>
    <cellStyle name="常规 23 7" xfId="1171"/>
    <cellStyle name="常规 23 7 2" xfId="2970"/>
    <cellStyle name="常规 23 8" xfId="221"/>
    <cellStyle name="常规 24" xfId="150"/>
    <cellStyle name="常规 24 2" xfId="352"/>
    <cellStyle name="常规 24 2 2" xfId="538"/>
    <cellStyle name="常规 24 2 2 2" xfId="910"/>
    <cellStyle name="常规 24 2 2 2 2" xfId="1860"/>
    <cellStyle name="常规 24 2 2 2 2 2" xfId="3650"/>
    <cellStyle name="常规 24 2 2 2 3" xfId="2711"/>
    <cellStyle name="常规 24 2 2 3" xfId="1491"/>
    <cellStyle name="常规 24 2 2 3 2" xfId="3281"/>
    <cellStyle name="常规 24 2 2 4" xfId="2342"/>
    <cellStyle name="常规 24 2 3" xfId="727"/>
    <cellStyle name="常规 24 2 3 2" xfId="1677"/>
    <cellStyle name="常规 24 2 3 2 2" xfId="3467"/>
    <cellStyle name="常规 24 2 3 3" xfId="2528"/>
    <cellStyle name="常规 24 2 4" xfId="1309"/>
    <cellStyle name="常规 24 2 4 2" xfId="3098"/>
    <cellStyle name="常规 24 2 5" xfId="2160"/>
    <cellStyle name="常规 24 3" xfId="447"/>
    <cellStyle name="常规 24 3 2" xfId="819"/>
    <cellStyle name="常规 24 3 2 2" xfId="1769"/>
    <cellStyle name="常规 24 3 2 2 2" xfId="3559"/>
    <cellStyle name="常规 24 3 2 3" xfId="2620"/>
    <cellStyle name="常规 24 3 3" xfId="1400"/>
    <cellStyle name="常规 24 3 3 2" xfId="3190"/>
    <cellStyle name="常规 24 3 4" xfId="2251"/>
    <cellStyle name="常规 24 4" xfId="636"/>
    <cellStyle name="常规 24 4 2" xfId="1586"/>
    <cellStyle name="常规 24 4 2 2" xfId="3376"/>
    <cellStyle name="常规 24 4 3" xfId="2437"/>
    <cellStyle name="常规 24 5" xfId="1010"/>
    <cellStyle name="常规 24 5 2" xfId="1960"/>
    <cellStyle name="常规 24 5 2 2" xfId="3749"/>
    <cellStyle name="常规 24 5 3" xfId="2810"/>
    <cellStyle name="常规 24 6" xfId="1108"/>
    <cellStyle name="常规 24 6 2" xfId="2054"/>
    <cellStyle name="常规 24 6 2 2" xfId="3844"/>
    <cellStyle name="常规 24 6 3" xfId="2905"/>
    <cellStyle name="常规 24 7" xfId="1206"/>
    <cellStyle name="常规 24 7 2" xfId="3007"/>
    <cellStyle name="常规 24 8" xfId="258"/>
    <cellStyle name="常规 25" xfId="151"/>
    <cellStyle name="常规 25 2" xfId="353"/>
    <cellStyle name="常规 25 2 2" xfId="539"/>
    <cellStyle name="常规 25 2 2 2" xfId="911"/>
    <cellStyle name="常规 25 2 2 2 2" xfId="1861"/>
    <cellStyle name="常规 25 2 2 2 2 2" xfId="3651"/>
    <cellStyle name="常规 25 2 2 2 3" xfId="2712"/>
    <cellStyle name="常规 25 2 2 3" xfId="1492"/>
    <cellStyle name="常规 25 2 2 3 2" xfId="3282"/>
    <cellStyle name="常规 25 2 2 4" xfId="2343"/>
    <cellStyle name="常规 25 2 3" xfId="728"/>
    <cellStyle name="常规 25 2 3 2" xfId="1678"/>
    <cellStyle name="常规 25 2 3 2 2" xfId="3468"/>
    <cellStyle name="常规 25 2 3 3" xfId="2529"/>
    <cellStyle name="常规 25 2 4" xfId="1310"/>
    <cellStyle name="常规 25 2 4 2" xfId="3099"/>
    <cellStyle name="常规 25 2 5" xfId="2161"/>
    <cellStyle name="常规 25 3" xfId="448"/>
    <cellStyle name="常规 25 3 2" xfId="820"/>
    <cellStyle name="常规 25 3 2 2" xfId="1770"/>
    <cellStyle name="常规 25 3 2 2 2" xfId="3560"/>
    <cellStyle name="常规 25 3 2 3" xfId="2621"/>
    <cellStyle name="常规 25 3 3" xfId="1401"/>
    <cellStyle name="常规 25 3 3 2" xfId="3191"/>
    <cellStyle name="常规 25 3 4" xfId="2252"/>
    <cellStyle name="常规 25 4" xfId="637"/>
    <cellStyle name="常规 25 4 2" xfId="1587"/>
    <cellStyle name="常规 25 4 2 2" xfId="3377"/>
    <cellStyle name="常规 25 4 3" xfId="2438"/>
    <cellStyle name="常规 25 5" xfId="1011"/>
    <cellStyle name="常规 25 5 2" xfId="1961"/>
    <cellStyle name="常规 25 5 2 2" xfId="3750"/>
    <cellStyle name="常规 25 5 3" xfId="2811"/>
    <cellStyle name="常规 25 6" xfId="1109"/>
    <cellStyle name="常规 25 6 2" xfId="2055"/>
    <cellStyle name="常规 25 6 2 2" xfId="3845"/>
    <cellStyle name="常规 25 6 3" xfId="2906"/>
    <cellStyle name="常规 25 7" xfId="1207"/>
    <cellStyle name="常规 25 7 2" xfId="3008"/>
    <cellStyle name="常规 25 8" xfId="259"/>
    <cellStyle name="常规 26" xfId="153"/>
    <cellStyle name="常规 26 2" xfId="355"/>
    <cellStyle name="常规 26 2 2" xfId="541"/>
    <cellStyle name="常规 26 2 2 2" xfId="913"/>
    <cellStyle name="常规 26 2 2 2 2" xfId="1863"/>
    <cellStyle name="常规 26 2 2 2 2 2" xfId="3653"/>
    <cellStyle name="常规 26 2 2 2 3" xfId="2714"/>
    <cellStyle name="常规 26 2 2 3" xfId="1494"/>
    <cellStyle name="常规 26 2 2 3 2" xfId="3284"/>
    <cellStyle name="常规 26 2 2 4" xfId="2345"/>
    <cellStyle name="常规 26 2 3" xfId="730"/>
    <cellStyle name="常规 26 2 3 2" xfId="1680"/>
    <cellStyle name="常规 26 2 3 2 2" xfId="3470"/>
    <cellStyle name="常规 26 2 3 3" xfId="2531"/>
    <cellStyle name="常规 26 2 4" xfId="1312"/>
    <cellStyle name="常规 26 2 4 2" xfId="3101"/>
    <cellStyle name="常规 26 2 5" xfId="2163"/>
    <cellStyle name="常规 26 3" xfId="450"/>
    <cellStyle name="常规 26 3 2" xfId="822"/>
    <cellStyle name="常规 26 3 2 2" xfId="1772"/>
    <cellStyle name="常规 26 3 2 2 2" xfId="3562"/>
    <cellStyle name="常规 26 3 2 3" xfId="2623"/>
    <cellStyle name="常规 26 3 3" xfId="1403"/>
    <cellStyle name="常规 26 3 3 2" xfId="3193"/>
    <cellStyle name="常规 26 3 4" xfId="2254"/>
    <cellStyle name="常规 26 4" xfId="639"/>
    <cellStyle name="常规 26 4 2" xfId="1589"/>
    <cellStyle name="常规 26 4 2 2" xfId="3379"/>
    <cellStyle name="常规 26 4 3" xfId="2440"/>
    <cellStyle name="常规 26 5" xfId="1013"/>
    <cellStyle name="常规 26 5 2" xfId="1963"/>
    <cellStyle name="常规 26 5 2 2" xfId="3752"/>
    <cellStyle name="常规 26 5 3" xfId="2813"/>
    <cellStyle name="常规 26 6" xfId="1111"/>
    <cellStyle name="常规 26 6 2" xfId="2057"/>
    <cellStyle name="常规 26 6 2 2" xfId="3847"/>
    <cellStyle name="常规 26 6 3" xfId="2908"/>
    <cellStyle name="常规 26 7" xfId="1209"/>
    <cellStyle name="常规 26 7 2" xfId="3010"/>
    <cellStyle name="常规 26 8" xfId="261"/>
    <cellStyle name="常规 27" xfId="157"/>
    <cellStyle name="常规 27 2" xfId="1017"/>
    <cellStyle name="常规 27 2 2" xfId="1964"/>
    <cellStyle name="常规 27 2 2 2" xfId="3753"/>
    <cellStyle name="常规 27 2 3" xfId="2814"/>
    <cellStyle name="常规 27 3" xfId="1113"/>
    <cellStyle name="常规 27 3 2" xfId="2058"/>
    <cellStyle name="常规 27 3 2 2" xfId="3849"/>
    <cellStyle name="常规 27 3 3" xfId="2910"/>
    <cellStyle name="常规 27 4" xfId="1211"/>
    <cellStyle name="常规 27 5" xfId="275"/>
    <cellStyle name="常规 28" xfId="154"/>
    <cellStyle name="常规 28 2" xfId="451"/>
    <cellStyle name="常规 28 2 2" xfId="823"/>
    <cellStyle name="常规 28 2 2 2" xfId="1773"/>
    <cellStyle name="常规 28 2 2 2 2" xfId="3563"/>
    <cellStyle name="常规 28 2 2 3" xfId="2624"/>
    <cellStyle name="常规 28 2 3" xfId="1404"/>
    <cellStyle name="常规 28 2 3 2" xfId="3194"/>
    <cellStyle name="常规 28 2 4" xfId="2255"/>
    <cellStyle name="常规 28 3" xfId="640"/>
    <cellStyle name="常规 28 3 2" xfId="1590"/>
    <cellStyle name="常规 28 3 2 2" xfId="3380"/>
    <cellStyle name="常规 28 3 3" xfId="2441"/>
    <cellStyle name="常规 28 4" xfId="1014"/>
    <cellStyle name="常规 28 5" xfId="262"/>
    <cellStyle name="常规 28 5 2" xfId="3011"/>
    <cellStyle name="常规 28 6" xfId="2073"/>
    <cellStyle name="常规 29" xfId="161"/>
    <cellStyle name="常规 29 2" xfId="542"/>
    <cellStyle name="常规 29 2 2" xfId="914"/>
    <cellStyle name="常规 29 2 2 2" xfId="1864"/>
    <cellStyle name="常规 29 2 2 2 2" xfId="3654"/>
    <cellStyle name="常规 29 2 2 3" xfId="2715"/>
    <cellStyle name="常规 29 2 3" xfId="1495"/>
    <cellStyle name="常规 29 2 3 2" xfId="3285"/>
    <cellStyle name="常规 29 2 4" xfId="2346"/>
    <cellStyle name="常规 29 3" xfId="731"/>
    <cellStyle name="常规 29 3 2" xfId="1681"/>
    <cellStyle name="常规 29 3 2 2" xfId="3471"/>
    <cellStyle name="常规 29 3 3" xfId="2532"/>
    <cellStyle name="常规 29 4" xfId="1214"/>
    <cellStyle name="常规 29 4 2" xfId="3102"/>
    <cellStyle name="常规 29 5" xfId="356"/>
    <cellStyle name="常规 3" xfId="46"/>
    <cellStyle name="常规 3 10" xfId="2070"/>
    <cellStyle name="常规 3 2" xfId="49"/>
    <cellStyle name="常规 3 3" xfId="57"/>
    <cellStyle name="常规 3 4" xfId="63"/>
    <cellStyle name="常规 3 4 10" xfId="191"/>
    <cellStyle name="常规 3 4 2" xfId="95"/>
    <cellStyle name="常规 3 4 2 2" xfId="139"/>
    <cellStyle name="常规 3 4 2 2 2" xfId="342"/>
    <cellStyle name="常规 3 4 2 2 2 2" xfId="528"/>
    <cellStyle name="常规 3 4 2 2 2 2 2" xfId="900"/>
    <cellStyle name="常规 3 4 2 2 2 2 2 2" xfId="1850"/>
    <cellStyle name="常规 3 4 2 2 2 2 2 2 2" xfId="3640"/>
    <cellStyle name="常规 3 4 2 2 2 2 2 3" xfId="2701"/>
    <cellStyle name="常规 3 4 2 2 2 2 3" xfId="1481"/>
    <cellStyle name="常规 3 4 2 2 2 2 3 2" xfId="3271"/>
    <cellStyle name="常规 3 4 2 2 2 2 4" xfId="2332"/>
    <cellStyle name="常规 3 4 2 2 2 3" xfId="717"/>
    <cellStyle name="常规 3 4 2 2 2 3 2" xfId="1667"/>
    <cellStyle name="常规 3 4 2 2 2 3 2 2" xfId="3457"/>
    <cellStyle name="常规 3 4 2 2 2 3 3" xfId="2518"/>
    <cellStyle name="常规 3 4 2 2 2 4" xfId="1299"/>
    <cellStyle name="常规 3 4 2 2 2 4 2" xfId="3088"/>
    <cellStyle name="常规 3 4 2 2 2 5" xfId="2150"/>
    <cellStyle name="常规 3 4 2 2 3" xfId="437"/>
    <cellStyle name="常规 3 4 2 2 3 2" xfId="809"/>
    <cellStyle name="常规 3 4 2 2 3 2 2" xfId="1759"/>
    <cellStyle name="常规 3 4 2 2 3 2 2 2" xfId="3549"/>
    <cellStyle name="常规 3 4 2 2 3 2 3" xfId="2610"/>
    <cellStyle name="常规 3 4 2 2 3 3" xfId="1390"/>
    <cellStyle name="常规 3 4 2 2 3 3 2" xfId="3180"/>
    <cellStyle name="常规 3 4 2 2 3 4" xfId="2241"/>
    <cellStyle name="常规 3 4 2 2 4" xfId="626"/>
    <cellStyle name="常规 3 4 2 2 4 2" xfId="1576"/>
    <cellStyle name="常规 3 4 2 2 4 2 2" xfId="3366"/>
    <cellStyle name="常规 3 4 2 2 4 3" xfId="2427"/>
    <cellStyle name="常规 3 4 2 2 5" xfId="1000"/>
    <cellStyle name="常规 3 4 2 2 5 2" xfId="1950"/>
    <cellStyle name="常规 3 4 2 2 5 2 2" xfId="3739"/>
    <cellStyle name="常规 3 4 2 2 5 3" xfId="2800"/>
    <cellStyle name="常规 3 4 2 2 6" xfId="1098"/>
    <cellStyle name="常规 3 4 2 2 6 2" xfId="2044"/>
    <cellStyle name="常规 3 4 2 2 6 2 2" xfId="3834"/>
    <cellStyle name="常规 3 4 2 2 6 3" xfId="2895"/>
    <cellStyle name="常规 3 4 2 2 7" xfId="1196"/>
    <cellStyle name="常规 3 4 2 2 7 2" xfId="2997"/>
    <cellStyle name="常规 3 4 2 2 8" xfId="248"/>
    <cellStyle name="常规 3 4 2 3" xfId="301"/>
    <cellStyle name="常规 3 4 2 3 2" xfId="488"/>
    <cellStyle name="常规 3 4 2 3 2 2" xfId="860"/>
    <cellStyle name="常规 3 4 2 3 2 2 2" xfId="1810"/>
    <cellStyle name="常规 3 4 2 3 2 2 2 2" xfId="3600"/>
    <cellStyle name="常规 3 4 2 3 2 2 3" xfId="2661"/>
    <cellStyle name="常规 3 4 2 3 2 3" xfId="1441"/>
    <cellStyle name="常规 3 4 2 3 2 3 2" xfId="3231"/>
    <cellStyle name="常规 3 4 2 3 2 4" xfId="2292"/>
    <cellStyle name="常规 3 4 2 3 3" xfId="677"/>
    <cellStyle name="常规 3 4 2 3 3 2" xfId="1627"/>
    <cellStyle name="常规 3 4 2 3 3 2 2" xfId="3417"/>
    <cellStyle name="常规 3 4 2 3 3 3" xfId="2478"/>
    <cellStyle name="常规 3 4 2 3 4" xfId="1259"/>
    <cellStyle name="常规 3 4 2 3 4 2" xfId="3048"/>
    <cellStyle name="常规 3 4 2 3 5" xfId="2110"/>
    <cellStyle name="常规 3 4 2 4" xfId="396"/>
    <cellStyle name="常规 3 4 2 4 2" xfId="769"/>
    <cellStyle name="常规 3 4 2 4 2 2" xfId="1719"/>
    <cellStyle name="常规 3 4 2 4 2 2 2" xfId="3509"/>
    <cellStyle name="常规 3 4 2 4 2 3" xfId="2570"/>
    <cellStyle name="常规 3 4 2 4 3" xfId="1350"/>
    <cellStyle name="常规 3 4 2 4 3 2" xfId="3140"/>
    <cellStyle name="常规 3 4 2 4 4" xfId="2201"/>
    <cellStyle name="常规 3 4 2 5" xfId="585"/>
    <cellStyle name="常规 3 4 2 5 2" xfId="1536"/>
    <cellStyle name="常规 3 4 2 5 2 2" xfId="3326"/>
    <cellStyle name="常规 3 4 2 5 3" xfId="2387"/>
    <cellStyle name="常规 3 4 2 6" xfId="962"/>
    <cellStyle name="常规 3 4 2 6 2" xfId="1912"/>
    <cellStyle name="常规 3 4 2 6 2 2" xfId="3701"/>
    <cellStyle name="常规 3 4 2 6 3" xfId="2762"/>
    <cellStyle name="常规 3 4 2 7" xfId="1048"/>
    <cellStyle name="常规 3 4 2 7 2" xfId="1994"/>
    <cellStyle name="常规 3 4 2 7 2 2" xfId="3784"/>
    <cellStyle name="常规 3 4 2 7 3" xfId="2845"/>
    <cellStyle name="常规 3 4 2 8" xfId="1146"/>
    <cellStyle name="常规 3 4 2 8 2" xfId="2957"/>
    <cellStyle name="常规 3 4 2 9" xfId="208"/>
    <cellStyle name="常规 3 4 3" xfId="120"/>
    <cellStyle name="常规 3 4 3 2" xfId="321"/>
    <cellStyle name="常规 3 4 3 2 2" xfId="507"/>
    <cellStyle name="常规 3 4 3 2 2 2" xfId="879"/>
    <cellStyle name="常规 3 4 3 2 2 2 2" xfId="1829"/>
    <cellStyle name="常规 3 4 3 2 2 2 2 2" xfId="3619"/>
    <cellStyle name="常规 3 4 3 2 2 2 3" xfId="2680"/>
    <cellStyle name="常规 3 4 3 2 2 3" xfId="1460"/>
    <cellStyle name="常规 3 4 3 2 2 3 2" xfId="3250"/>
    <cellStyle name="常规 3 4 3 2 2 4" xfId="2311"/>
    <cellStyle name="常规 3 4 3 2 3" xfId="696"/>
    <cellStyle name="常规 3 4 3 2 3 2" xfId="1646"/>
    <cellStyle name="常规 3 4 3 2 3 2 2" xfId="3436"/>
    <cellStyle name="常规 3 4 3 2 3 3" xfId="2497"/>
    <cellStyle name="常规 3 4 3 2 4" xfId="1278"/>
    <cellStyle name="常规 3 4 3 2 4 2" xfId="3067"/>
    <cellStyle name="常规 3 4 3 2 5" xfId="2129"/>
    <cellStyle name="常规 3 4 3 3" xfId="416"/>
    <cellStyle name="常规 3 4 3 3 2" xfId="788"/>
    <cellStyle name="常规 3 4 3 3 2 2" xfId="1738"/>
    <cellStyle name="常规 3 4 3 3 2 2 2" xfId="3528"/>
    <cellStyle name="常规 3 4 3 3 2 3" xfId="2589"/>
    <cellStyle name="常规 3 4 3 3 3" xfId="1369"/>
    <cellStyle name="常规 3 4 3 3 3 2" xfId="3159"/>
    <cellStyle name="常规 3 4 3 3 4" xfId="2220"/>
    <cellStyle name="常规 3 4 3 4" xfId="605"/>
    <cellStyle name="常规 3 4 3 4 2" xfId="1555"/>
    <cellStyle name="常规 3 4 3 4 2 2" xfId="3345"/>
    <cellStyle name="常规 3 4 3 4 3" xfId="2406"/>
    <cellStyle name="常规 3 4 3 5" xfId="981"/>
    <cellStyle name="常规 3 4 3 5 2" xfId="1931"/>
    <cellStyle name="常规 3 4 3 5 2 2" xfId="3720"/>
    <cellStyle name="常规 3 4 3 5 3" xfId="2781"/>
    <cellStyle name="常规 3 4 3 6" xfId="1079"/>
    <cellStyle name="常规 3 4 3 6 2" xfId="2025"/>
    <cellStyle name="常规 3 4 3 6 2 2" xfId="3815"/>
    <cellStyle name="常规 3 4 3 6 3" xfId="2876"/>
    <cellStyle name="常规 3 4 3 7" xfId="1177"/>
    <cellStyle name="常规 3 4 3 7 2" xfId="2976"/>
    <cellStyle name="常规 3 4 3 8" xfId="227"/>
    <cellStyle name="常规 3 4 4" xfId="284"/>
    <cellStyle name="常规 3 4 4 2" xfId="471"/>
    <cellStyle name="常规 3 4 4 2 2" xfId="843"/>
    <cellStyle name="常规 3 4 4 2 2 2" xfId="1793"/>
    <cellStyle name="常规 3 4 4 2 2 2 2" xfId="3583"/>
    <cellStyle name="常规 3 4 4 2 2 3" xfId="2644"/>
    <cellStyle name="常规 3 4 4 2 3" xfId="1424"/>
    <cellStyle name="常规 3 4 4 2 3 2" xfId="3214"/>
    <cellStyle name="常规 3 4 4 2 4" xfId="2275"/>
    <cellStyle name="常规 3 4 4 3" xfId="660"/>
    <cellStyle name="常规 3 4 4 3 2" xfId="1610"/>
    <cellStyle name="常规 3 4 4 3 2 2" xfId="3400"/>
    <cellStyle name="常规 3 4 4 3 3" xfId="2461"/>
    <cellStyle name="常规 3 4 4 4" xfId="1242"/>
    <cellStyle name="常规 3 4 4 4 2" xfId="3031"/>
    <cellStyle name="常规 3 4 4 5" xfId="2093"/>
    <cellStyle name="常规 3 4 5" xfId="379"/>
    <cellStyle name="常规 3 4 5 2" xfId="752"/>
    <cellStyle name="常规 3 4 5 2 2" xfId="1702"/>
    <cellStyle name="常规 3 4 5 2 2 2" xfId="3492"/>
    <cellStyle name="常规 3 4 5 2 3" xfId="2553"/>
    <cellStyle name="常规 3 4 5 3" xfId="1333"/>
    <cellStyle name="常规 3 4 5 3 2" xfId="3123"/>
    <cellStyle name="常规 3 4 5 4" xfId="2184"/>
    <cellStyle name="常规 3 4 6" xfId="568"/>
    <cellStyle name="常规 3 4 6 2" xfId="1519"/>
    <cellStyle name="常规 3 4 6 2 2" xfId="3309"/>
    <cellStyle name="常规 3 4 6 3" xfId="2370"/>
    <cellStyle name="常规 3 4 7" xfId="941"/>
    <cellStyle name="常规 3 4 7 2" xfId="1891"/>
    <cellStyle name="常规 3 4 7 2 2" xfId="3680"/>
    <cellStyle name="常规 3 4 7 3" xfId="2741"/>
    <cellStyle name="常规 3 4 8" xfId="1027"/>
    <cellStyle name="常规 3 4 8 2" xfId="1973"/>
    <cellStyle name="常规 3 4 8 2 2" xfId="3763"/>
    <cellStyle name="常规 3 4 8 3" xfId="2824"/>
    <cellStyle name="常规 3 4 9" xfId="1125"/>
    <cellStyle name="常规 3 4 9 2" xfId="2940"/>
    <cellStyle name="常规 3 5" xfId="51"/>
    <cellStyle name="常规 3 5 2" xfId="114"/>
    <cellStyle name="常规 3 5 2 2" xfId="316"/>
    <cellStyle name="常规 3 5 2 2 2" xfId="502"/>
    <cellStyle name="常规 3 5 2 2 2 2" xfId="874"/>
    <cellStyle name="常规 3 5 2 2 2 2 2" xfId="1824"/>
    <cellStyle name="常规 3 5 2 2 2 2 2 2" xfId="3614"/>
    <cellStyle name="常规 3 5 2 2 2 2 3" xfId="2675"/>
    <cellStyle name="常规 3 5 2 2 2 3" xfId="1455"/>
    <cellStyle name="常规 3 5 2 2 2 3 2" xfId="3245"/>
    <cellStyle name="常规 3 5 2 2 2 4" xfId="2306"/>
    <cellStyle name="常规 3 5 2 2 3" xfId="691"/>
    <cellStyle name="常规 3 5 2 2 3 2" xfId="1641"/>
    <cellStyle name="常规 3 5 2 2 3 2 2" xfId="3431"/>
    <cellStyle name="常规 3 5 2 2 3 3" xfId="2492"/>
    <cellStyle name="常规 3 5 2 2 4" xfId="1273"/>
    <cellStyle name="常规 3 5 2 2 4 2" xfId="3062"/>
    <cellStyle name="常规 3 5 2 2 5" xfId="2124"/>
    <cellStyle name="常规 3 5 2 3" xfId="411"/>
    <cellStyle name="常规 3 5 2 3 2" xfId="783"/>
    <cellStyle name="常规 3 5 2 3 2 2" xfId="1733"/>
    <cellStyle name="常规 3 5 2 3 2 2 2" xfId="3523"/>
    <cellStyle name="常规 3 5 2 3 2 3" xfId="2584"/>
    <cellStyle name="常规 3 5 2 3 3" xfId="1364"/>
    <cellStyle name="常规 3 5 2 3 3 2" xfId="3154"/>
    <cellStyle name="常规 3 5 2 3 4" xfId="2215"/>
    <cellStyle name="常规 3 5 2 4" xfId="600"/>
    <cellStyle name="常规 3 5 2 4 2" xfId="1550"/>
    <cellStyle name="常规 3 5 2 4 2 2" xfId="3340"/>
    <cellStyle name="常规 3 5 2 4 3" xfId="2401"/>
    <cellStyle name="常规 3 5 2 5" xfId="976"/>
    <cellStyle name="常规 3 5 2 5 2" xfId="1926"/>
    <cellStyle name="常规 3 5 2 5 2 2" xfId="3715"/>
    <cellStyle name="常规 3 5 2 5 3" xfId="2776"/>
    <cellStyle name="常规 3 5 2 6" xfId="1074"/>
    <cellStyle name="常规 3 5 2 6 2" xfId="2020"/>
    <cellStyle name="常规 3 5 2 6 2 2" xfId="3810"/>
    <cellStyle name="常规 3 5 2 6 3" xfId="2871"/>
    <cellStyle name="常规 3 5 2 7" xfId="1172"/>
    <cellStyle name="常规 3 5 2 7 2" xfId="2971"/>
    <cellStyle name="常规 3 5 2 8" xfId="222"/>
    <cellStyle name="常规 3 5 3" xfId="294"/>
    <cellStyle name="常规 3 5 3 2" xfId="481"/>
    <cellStyle name="常规 3 5 3 2 2" xfId="853"/>
    <cellStyle name="常规 3 5 3 2 2 2" xfId="1803"/>
    <cellStyle name="常规 3 5 3 2 2 2 2" xfId="3593"/>
    <cellStyle name="常规 3 5 3 2 2 3" xfId="2654"/>
    <cellStyle name="常规 3 5 3 2 3" xfId="1434"/>
    <cellStyle name="常规 3 5 3 2 3 2" xfId="3224"/>
    <cellStyle name="常规 3 5 3 2 4" xfId="2285"/>
    <cellStyle name="常规 3 5 3 3" xfId="670"/>
    <cellStyle name="常规 3 5 3 3 2" xfId="1620"/>
    <cellStyle name="常规 3 5 3 3 2 2" xfId="3410"/>
    <cellStyle name="常规 3 5 3 3 3" xfId="2471"/>
    <cellStyle name="常规 3 5 3 4" xfId="1252"/>
    <cellStyle name="常规 3 5 3 4 2" xfId="3041"/>
    <cellStyle name="常规 3 5 3 5" xfId="2103"/>
    <cellStyle name="常规 3 5 4" xfId="389"/>
    <cellStyle name="常规 3 5 4 2" xfId="762"/>
    <cellStyle name="常规 3 5 4 2 2" xfId="1712"/>
    <cellStyle name="常规 3 5 4 2 2 2" xfId="3502"/>
    <cellStyle name="常规 3 5 4 2 3" xfId="2563"/>
    <cellStyle name="常规 3 5 4 3" xfId="1343"/>
    <cellStyle name="常规 3 5 4 3 2" xfId="3133"/>
    <cellStyle name="常规 3 5 4 4" xfId="2194"/>
    <cellStyle name="常规 3 5 5" xfId="578"/>
    <cellStyle name="常规 3 5 5 2" xfId="1529"/>
    <cellStyle name="常规 3 5 5 2 2" xfId="3319"/>
    <cellStyle name="常规 3 5 5 3" xfId="2380"/>
    <cellStyle name="常规 3 5 6" xfId="936"/>
    <cellStyle name="常规 3 5 6 2" xfId="1886"/>
    <cellStyle name="常规 3 5 6 2 2" xfId="3675"/>
    <cellStyle name="常规 3 5 6 3" xfId="2736"/>
    <cellStyle name="常规 3 5 7" xfId="1022"/>
    <cellStyle name="常规 3 5 7 2" xfId="1968"/>
    <cellStyle name="常规 3 5 7 2 2" xfId="3758"/>
    <cellStyle name="常规 3 5 7 3" xfId="2819"/>
    <cellStyle name="常规 3 5 8" xfId="1120"/>
    <cellStyle name="常规 3 5 8 2" xfId="2950"/>
    <cellStyle name="常规 3 5 9" xfId="201"/>
    <cellStyle name="常规 3 6" xfId="276"/>
    <cellStyle name="常规 3 6 2" xfId="464"/>
    <cellStyle name="常规 3 6 2 2" xfId="836"/>
    <cellStyle name="常规 3 6 2 2 2" xfId="1786"/>
    <cellStyle name="常规 3 6 2 2 2 2" xfId="3576"/>
    <cellStyle name="常规 3 6 2 2 3" xfId="2637"/>
    <cellStyle name="常规 3 6 2 3" xfId="1417"/>
    <cellStyle name="常规 3 6 2 3 2" xfId="3207"/>
    <cellStyle name="常规 3 6 2 4" xfId="2268"/>
    <cellStyle name="常规 3 6 3" xfId="653"/>
    <cellStyle name="常规 3 6 3 2" xfId="1603"/>
    <cellStyle name="常规 3 6 3 2 2" xfId="3393"/>
    <cellStyle name="常规 3 6 3 3" xfId="2454"/>
    <cellStyle name="常规 3 6 4" xfId="1235"/>
    <cellStyle name="常规 3 6 4 2" xfId="3024"/>
    <cellStyle name="常规 3 6 5" xfId="2086"/>
    <cellStyle name="常规 3 7" xfId="371"/>
    <cellStyle name="常规 3 7 2" xfId="745"/>
    <cellStyle name="常规 3 7 2 2" xfId="1695"/>
    <cellStyle name="常规 3 7 2 2 2" xfId="3485"/>
    <cellStyle name="常规 3 7 2 3" xfId="2546"/>
    <cellStyle name="常规 3 7 3" xfId="1326"/>
    <cellStyle name="常规 3 7 3 2" xfId="3116"/>
    <cellStyle name="常规 3 7 4" xfId="2177"/>
    <cellStyle name="常规 3 8" xfId="560"/>
    <cellStyle name="常规 3 8 2" xfId="1512"/>
    <cellStyle name="常规 3 8 2 2" xfId="3302"/>
    <cellStyle name="常规 3 8 3" xfId="2363"/>
    <cellStyle name="常规 3 9" xfId="183"/>
    <cellStyle name="常规 3 9 2" xfId="2933"/>
    <cellStyle name="常规 30" xfId="164"/>
    <cellStyle name="常规 30 2" xfId="370"/>
    <cellStyle name="常规 31" xfId="357"/>
    <cellStyle name="常规 31 2" xfId="732"/>
    <cellStyle name="常规 31 2 2" xfId="1682"/>
    <cellStyle name="常规 31 2 2 2" xfId="3472"/>
    <cellStyle name="常规 31 2 3" xfId="2533"/>
    <cellStyle name="常规 31 3" xfId="1313"/>
    <cellStyle name="常规 31 3 2" xfId="3103"/>
    <cellStyle name="常规 31 4" xfId="2164"/>
    <cellStyle name="常规 32" xfId="543"/>
    <cellStyle name="常规 32 2" xfId="915"/>
    <cellStyle name="常规 32 2 2" xfId="1865"/>
    <cellStyle name="常规 32 2 2 2" xfId="3655"/>
    <cellStyle name="常规 32 2 3" xfId="2716"/>
    <cellStyle name="常规 32 3" xfId="1496"/>
    <cellStyle name="常规 32 3 2" xfId="3286"/>
    <cellStyle name="常规 32 4" xfId="2347"/>
    <cellStyle name="常规 33" xfId="544"/>
    <cellStyle name="常规 33 2" xfId="916"/>
    <cellStyle name="常规 33 2 2" xfId="1866"/>
    <cellStyle name="常规 33 2 2 2" xfId="3656"/>
    <cellStyle name="常规 33 2 3" xfId="2717"/>
    <cellStyle name="常规 33 3" xfId="1497"/>
    <cellStyle name="常规 33 3 2" xfId="3287"/>
    <cellStyle name="常规 33 4" xfId="2348"/>
    <cellStyle name="常规 34" xfId="545"/>
    <cellStyle name="常规 34 2" xfId="917"/>
    <cellStyle name="常规 34 2 2" xfId="1867"/>
    <cellStyle name="常规 34 2 2 2" xfId="3657"/>
    <cellStyle name="常规 34 2 3" xfId="2718"/>
    <cellStyle name="常规 34 3" xfId="1498"/>
    <cellStyle name="常规 34 3 2" xfId="3288"/>
    <cellStyle name="常规 34 4" xfId="2349"/>
    <cellStyle name="常规 35" xfId="559"/>
    <cellStyle name="常规 36" xfId="546"/>
    <cellStyle name="常规 36 2" xfId="1499"/>
    <cellStyle name="常规 36 2 2" xfId="3289"/>
    <cellStyle name="常规 36 3" xfId="2350"/>
    <cellStyle name="常规 37" xfId="918"/>
    <cellStyle name="常规 37 2" xfId="1868"/>
    <cellStyle name="常规 37 2 2" xfId="3658"/>
    <cellStyle name="常规 37 3" xfId="2719"/>
    <cellStyle name="常规 38" xfId="919"/>
    <cellStyle name="常规 38 2" xfId="1869"/>
    <cellStyle name="常规 38 2 2" xfId="3659"/>
    <cellStyle name="常规 38 3" xfId="2720"/>
    <cellStyle name="常规 39" xfId="920"/>
    <cellStyle name="常规 39 2" xfId="1870"/>
    <cellStyle name="常规 39 2 2" xfId="3660"/>
    <cellStyle name="常规 39 3" xfId="2721"/>
    <cellStyle name="常规 4" xfId="44"/>
    <cellStyle name="常规 4 2" xfId="56"/>
    <cellStyle name="常规 4 3" xfId="64"/>
    <cellStyle name="常规 4 3 10" xfId="192"/>
    <cellStyle name="常规 4 3 2" xfId="96"/>
    <cellStyle name="常规 4 3 2 2" xfId="140"/>
    <cellStyle name="常规 4 3 2 2 2" xfId="343"/>
    <cellStyle name="常规 4 3 2 2 2 2" xfId="529"/>
    <cellStyle name="常规 4 3 2 2 2 2 2" xfId="901"/>
    <cellStyle name="常规 4 3 2 2 2 2 2 2" xfId="1851"/>
    <cellStyle name="常规 4 3 2 2 2 2 2 2 2" xfId="3641"/>
    <cellStyle name="常规 4 3 2 2 2 2 2 3" xfId="2702"/>
    <cellStyle name="常规 4 3 2 2 2 2 3" xfId="1482"/>
    <cellStyle name="常规 4 3 2 2 2 2 3 2" xfId="3272"/>
    <cellStyle name="常规 4 3 2 2 2 2 4" xfId="2333"/>
    <cellStyle name="常规 4 3 2 2 2 3" xfId="718"/>
    <cellStyle name="常规 4 3 2 2 2 3 2" xfId="1668"/>
    <cellStyle name="常规 4 3 2 2 2 3 2 2" xfId="3458"/>
    <cellStyle name="常规 4 3 2 2 2 3 3" xfId="2519"/>
    <cellStyle name="常规 4 3 2 2 2 4" xfId="1300"/>
    <cellStyle name="常规 4 3 2 2 2 4 2" xfId="3089"/>
    <cellStyle name="常规 4 3 2 2 2 5" xfId="2151"/>
    <cellStyle name="常规 4 3 2 2 3" xfId="438"/>
    <cellStyle name="常规 4 3 2 2 3 2" xfId="810"/>
    <cellStyle name="常规 4 3 2 2 3 2 2" xfId="1760"/>
    <cellStyle name="常规 4 3 2 2 3 2 2 2" xfId="3550"/>
    <cellStyle name="常规 4 3 2 2 3 2 3" xfId="2611"/>
    <cellStyle name="常规 4 3 2 2 3 3" xfId="1391"/>
    <cellStyle name="常规 4 3 2 2 3 3 2" xfId="3181"/>
    <cellStyle name="常规 4 3 2 2 3 4" xfId="2242"/>
    <cellStyle name="常规 4 3 2 2 4" xfId="627"/>
    <cellStyle name="常规 4 3 2 2 4 2" xfId="1577"/>
    <cellStyle name="常规 4 3 2 2 4 2 2" xfId="3367"/>
    <cellStyle name="常规 4 3 2 2 4 3" xfId="2428"/>
    <cellStyle name="常规 4 3 2 2 5" xfId="1001"/>
    <cellStyle name="常规 4 3 2 2 5 2" xfId="1951"/>
    <cellStyle name="常规 4 3 2 2 5 2 2" xfId="3740"/>
    <cellStyle name="常规 4 3 2 2 5 3" xfId="2801"/>
    <cellStyle name="常规 4 3 2 2 6" xfId="1099"/>
    <cellStyle name="常规 4 3 2 2 6 2" xfId="2045"/>
    <cellStyle name="常规 4 3 2 2 6 2 2" xfId="3835"/>
    <cellStyle name="常规 4 3 2 2 6 3" xfId="2896"/>
    <cellStyle name="常规 4 3 2 2 7" xfId="1197"/>
    <cellStyle name="常规 4 3 2 2 7 2" xfId="2998"/>
    <cellStyle name="常规 4 3 2 2 8" xfId="249"/>
    <cellStyle name="常规 4 3 2 3" xfId="302"/>
    <cellStyle name="常规 4 3 2 3 2" xfId="489"/>
    <cellStyle name="常规 4 3 2 3 2 2" xfId="861"/>
    <cellStyle name="常规 4 3 2 3 2 2 2" xfId="1811"/>
    <cellStyle name="常规 4 3 2 3 2 2 2 2" xfId="3601"/>
    <cellStyle name="常规 4 3 2 3 2 2 3" xfId="2662"/>
    <cellStyle name="常规 4 3 2 3 2 3" xfId="1442"/>
    <cellStyle name="常规 4 3 2 3 2 3 2" xfId="3232"/>
    <cellStyle name="常规 4 3 2 3 2 4" xfId="2293"/>
    <cellStyle name="常规 4 3 2 3 3" xfId="678"/>
    <cellStyle name="常规 4 3 2 3 3 2" xfId="1628"/>
    <cellStyle name="常规 4 3 2 3 3 2 2" xfId="3418"/>
    <cellStyle name="常规 4 3 2 3 3 3" xfId="2479"/>
    <cellStyle name="常规 4 3 2 3 4" xfId="1260"/>
    <cellStyle name="常规 4 3 2 3 4 2" xfId="3049"/>
    <cellStyle name="常规 4 3 2 3 5" xfId="2111"/>
    <cellStyle name="常规 4 3 2 4" xfId="397"/>
    <cellStyle name="常规 4 3 2 4 2" xfId="770"/>
    <cellStyle name="常规 4 3 2 4 2 2" xfId="1720"/>
    <cellStyle name="常规 4 3 2 4 2 2 2" xfId="3510"/>
    <cellStyle name="常规 4 3 2 4 2 3" xfId="2571"/>
    <cellStyle name="常规 4 3 2 4 3" xfId="1351"/>
    <cellStyle name="常规 4 3 2 4 3 2" xfId="3141"/>
    <cellStyle name="常规 4 3 2 4 4" xfId="2202"/>
    <cellStyle name="常规 4 3 2 5" xfId="586"/>
    <cellStyle name="常规 4 3 2 5 2" xfId="1537"/>
    <cellStyle name="常规 4 3 2 5 2 2" xfId="3327"/>
    <cellStyle name="常规 4 3 2 5 3" xfId="2388"/>
    <cellStyle name="常规 4 3 2 6" xfId="963"/>
    <cellStyle name="常规 4 3 2 6 2" xfId="1913"/>
    <cellStyle name="常规 4 3 2 6 2 2" xfId="3702"/>
    <cellStyle name="常规 4 3 2 6 3" xfId="2763"/>
    <cellStyle name="常规 4 3 2 7" xfId="1049"/>
    <cellStyle name="常规 4 3 2 7 2" xfId="1995"/>
    <cellStyle name="常规 4 3 2 7 2 2" xfId="3785"/>
    <cellStyle name="常规 4 3 2 7 3" xfId="2846"/>
    <cellStyle name="常规 4 3 2 8" xfId="1147"/>
    <cellStyle name="常规 4 3 2 8 2" xfId="2958"/>
    <cellStyle name="常规 4 3 2 9" xfId="209"/>
    <cellStyle name="常规 4 3 3" xfId="121"/>
    <cellStyle name="常规 4 3 3 2" xfId="322"/>
    <cellStyle name="常规 4 3 3 2 2" xfId="508"/>
    <cellStyle name="常规 4 3 3 2 2 2" xfId="880"/>
    <cellStyle name="常规 4 3 3 2 2 2 2" xfId="1830"/>
    <cellStyle name="常规 4 3 3 2 2 2 2 2" xfId="3620"/>
    <cellStyle name="常规 4 3 3 2 2 2 3" xfId="2681"/>
    <cellStyle name="常规 4 3 3 2 2 3" xfId="1461"/>
    <cellStyle name="常规 4 3 3 2 2 3 2" xfId="3251"/>
    <cellStyle name="常规 4 3 3 2 2 4" xfId="2312"/>
    <cellStyle name="常规 4 3 3 2 3" xfId="697"/>
    <cellStyle name="常规 4 3 3 2 3 2" xfId="1647"/>
    <cellStyle name="常规 4 3 3 2 3 2 2" xfId="3437"/>
    <cellStyle name="常规 4 3 3 2 3 3" xfId="2498"/>
    <cellStyle name="常规 4 3 3 2 4" xfId="1279"/>
    <cellStyle name="常规 4 3 3 2 4 2" xfId="3068"/>
    <cellStyle name="常规 4 3 3 2 5" xfId="2130"/>
    <cellStyle name="常规 4 3 3 3" xfId="417"/>
    <cellStyle name="常规 4 3 3 3 2" xfId="789"/>
    <cellStyle name="常规 4 3 3 3 2 2" xfId="1739"/>
    <cellStyle name="常规 4 3 3 3 2 2 2" xfId="3529"/>
    <cellStyle name="常规 4 3 3 3 2 3" xfId="2590"/>
    <cellStyle name="常规 4 3 3 3 3" xfId="1370"/>
    <cellStyle name="常规 4 3 3 3 3 2" xfId="3160"/>
    <cellStyle name="常规 4 3 3 3 4" xfId="2221"/>
    <cellStyle name="常规 4 3 3 4" xfId="606"/>
    <cellStyle name="常规 4 3 3 4 2" xfId="1556"/>
    <cellStyle name="常规 4 3 3 4 2 2" xfId="3346"/>
    <cellStyle name="常规 4 3 3 4 3" xfId="2407"/>
    <cellStyle name="常规 4 3 3 5" xfId="982"/>
    <cellStyle name="常规 4 3 3 5 2" xfId="1932"/>
    <cellStyle name="常规 4 3 3 5 2 2" xfId="3721"/>
    <cellStyle name="常规 4 3 3 5 3" xfId="2782"/>
    <cellStyle name="常规 4 3 3 6" xfId="1080"/>
    <cellStyle name="常规 4 3 3 6 2" xfId="2026"/>
    <cellStyle name="常规 4 3 3 6 2 2" xfId="3816"/>
    <cellStyle name="常规 4 3 3 6 3" xfId="2877"/>
    <cellStyle name="常规 4 3 3 7" xfId="1178"/>
    <cellStyle name="常规 4 3 3 7 2" xfId="2977"/>
    <cellStyle name="常规 4 3 3 8" xfId="228"/>
    <cellStyle name="常规 4 3 4" xfId="285"/>
    <cellStyle name="常规 4 3 4 2" xfId="472"/>
    <cellStyle name="常规 4 3 4 2 2" xfId="844"/>
    <cellStyle name="常规 4 3 4 2 2 2" xfId="1794"/>
    <cellStyle name="常规 4 3 4 2 2 2 2" xfId="3584"/>
    <cellStyle name="常规 4 3 4 2 2 3" xfId="2645"/>
    <cellStyle name="常规 4 3 4 2 3" xfId="1425"/>
    <cellStyle name="常规 4 3 4 2 3 2" xfId="3215"/>
    <cellStyle name="常规 4 3 4 2 4" xfId="2276"/>
    <cellStyle name="常规 4 3 4 3" xfId="661"/>
    <cellStyle name="常规 4 3 4 3 2" xfId="1611"/>
    <cellStyle name="常规 4 3 4 3 2 2" xfId="3401"/>
    <cellStyle name="常规 4 3 4 3 3" xfId="2462"/>
    <cellStyle name="常规 4 3 4 4" xfId="1243"/>
    <cellStyle name="常规 4 3 4 4 2" xfId="3032"/>
    <cellStyle name="常规 4 3 4 5" xfId="2094"/>
    <cellStyle name="常规 4 3 5" xfId="380"/>
    <cellStyle name="常规 4 3 5 2" xfId="753"/>
    <cellStyle name="常规 4 3 5 2 2" xfId="1703"/>
    <cellStyle name="常规 4 3 5 2 2 2" xfId="3493"/>
    <cellStyle name="常规 4 3 5 2 3" xfId="2554"/>
    <cellStyle name="常规 4 3 5 3" xfId="1334"/>
    <cellStyle name="常规 4 3 5 3 2" xfId="3124"/>
    <cellStyle name="常规 4 3 5 4" xfId="2185"/>
    <cellStyle name="常规 4 3 6" xfId="569"/>
    <cellStyle name="常规 4 3 6 2" xfId="1520"/>
    <cellStyle name="常规 4 3 6 2 2" xfId="3310"/>
    <cellStyle name="常规 4 3 6 3" xfId="2371"/>
    <cellStyle name="常规 4 3 7" xfId="942"/>
    <cellStyle name="常规 4 3 7 2" xfId="1892"/>
    <cellStyle name="常规 4 3 7 2 2" xfId="3681"/>
    <cellStyle name="常规 4 3 7 3" xfId="2742"/>
    <cellStyle name="常规 4 3 8" xfId="1028"/>
    <cellStyle name="常规 4 3 8 2" xfId="1974"/>
    <cellStyle name="常规 4 3 8 2 2" xfId="3764"/>
    <cellStyle name="常规 4 3 8 3" xfId="2825"/>
    <cellStyle name="常规 4 3 9" xfId="1126"/>
    <cellStyle name="常规 4 3 9 2" xfId="2941"/>
    <cellStyle name="常规 4 4" xfId="54"/>
    <cellStyle name="常规 4 4 2" xfId="116"/>
    <cellStyle name="常规 4 4 2 2" xfId="317"/>
    <cellStyle name="常规 4 4 2 2 2" xfId="503"/>
    <cellStyle name="常规 4 4 2 2 2 2" xfId="875"/>
    <cellStyle name="常规 4 4 2 2 2 2 2" xfId="1825"/>
    <cellStyle name="常规 4 4 2 2 2 2 2 2" xfId="3615"/>
    <cellStyle name="常规 4 4 2 2 2 2 3" xfId="2676"/>
    <cellStyle name="常规 4 4 2 2 2 3" xfId="1456"/>
    <cellStyle name="常规 4 4 2 2 2 3 2" xfId="3246"/>
    <cellStyle name="常规 4 4 2 2 2 4" xfId="2307"/>
    <cellStyle name="常规 4 4 2 2 3" xfId="692"/>
    <cellStyle name="常规 4 4 2 2 3 2" xfId="1642"/>
    <cellStyle name="常规 4 4 2 2 3 2 2" xfId="3432"/>
    <cellStyle name="常规 4 4 2 2 3 3" xfId="2493"/>
    <cellStyle name="常规 4 4 2 2 4" xfId="1274"/>
    <cellStyle name="常规 4 4 2 2 4 2" xfId="3063"/>
    <cellStyle name="常规 4 4 2 2 5" xfId="2125"/>
    <cellStyle name="常规 4 4 2 3" xfId="412"/>
    <cellStyle name="常规 4 4 2 3 2" xfId="784"/>
    <cellStyle name="常规 4 4 2 3 2 2" xfId="1734"/>
    <cellStyle name="常规 4 4 2 3 2 2 2" xfId="3524"/>
    <cellStyle name="常规 4 4 2 3 2 3" xfId="2585"/>
    <cellStyle name="常规 4 4 2 3 3" xfId="1365"/>
    <cellStyle name="常规 4 4 2 3 3 2" xfId="3155"/>
    <cellStyle name="常规 4 4 2 3 4" xfId="2216"/>
    <cellStyle name="常规 4 4 2 4" xfId="601"/>
    <cellStyle name="常规 4 4 2 4 2" xfId="1551"/>
    <cellStyle name="常规 4 4 2 4 2 2" xfId="3341"/>
    <cellStyle name="常规 4 4 2 4 3" xfId="2402"/>
    <cellStyle name="常规 4 4 2 5" xfId="977"/>
    <cellStyle name="常规 4 4 2 5 2" xfId="1927"/>
    <cellStyle name="常规 4 4 2 5 2 2" xfId="3716"/>
    <cellStyle name="常规 4 4 2 5 3" xfId="2777"/>
    <cellStyle name="常规 4 4 2 6" xfId="1075"/>
    <cellStyle name="常规 4 4 2 6 2" xfId="2021"/>
    <cellStyle name="常规 4 4 2 6 2 2" xfId="3811"/>
    <cellStyle name="常规 4 4 2 6 3" xfId="2872"/>
    <cellStyle name="常规 4 4 2 7" xfId="1173"/>
    <cellStyle name="常规 4 4 2 7 2" xfId="2972"/>
    <cellStyle name="常规 4 4 2 8" xfId="223"/>
    <cellStyle name="常规 4 4 3" xfId="295"/>
    <cellStyle name="常规 4 4 3 2" xfId="482"/>
    <cellStyle name="常规 4 4 3 2 2" xfId="854"/>
    <cellStyle name="常规 4 4 3 2 2 2" xfId="1804"/>
    <cellStyle name="常规 4 4 3 2 2 2 2" xfId="3594"/>
    <cellStyle name="常规 4 4 3 2 2 3" xfId="2655"/>
    <cellStyle name="常规 4 4 3 2 3" xfId="1435"/>
    <cellStyle name="常规 4 4 3 2 3 2" xfId="3225"/>
    <cellStyle name="常规 4 4 3 2 4" xfId="2286"/>
    <cellStyle name="常规 4 4 3 3" xfId="671"/>
    <cellStyle name="常规 4 4 3 3 2" xfId="1621"/>
    <cellStyle name="常规 4 4 3 3 2 2" xfId="3411"/>
    <cellStyle name="常规 4 4 3 3 3" xfId="2472"/>
    <cellStyle name="常规 4 4 3 4" xfId="1253"/>
    <cellStyle name="常规 4 4 3 4 2" xfId="3042"/>
    <cellStyle name="常规 4 4 3 5" xfId="2104"/>
    <cellStyle name="常规 4 4 4" xfId="390"/>
    <cellStyle name="常规 4 4 4 2" xfId="763"/>
    <cellStyle name="常规 4 4 4 2 2" xfId="1713"/>
    <cellStyle name="常规 4 4 4 2 2 2" xfId="3503"/>
    <cellStyle name="常规 4 4 4 2 3" xfId="2564"/>
    <cellStyle name="常规 4 4 4 3" xfId="1344"/>
    <cellStyle name="常规 4 4 4 3 2" xfId="3134"/>
    <cellStyle name="常规 4 4 4 4" xfId="2195"/>
    <cellStyle name="常规 4 4 5" xfId="579"/>
    <cellStyle name="常规 4 4 5 2" xfId="1530"/>
    <cellStyle name="常规 4 4 5 2 2" xfId="3320"/>
    <cellStyle name="常规 4 4 5 3" xfId="2381"/>
    <cellStyle name="常规 4 4 6" xfId="937"/>
    <cellStyle name="常规 4 4 6 2" xfId="1887"/>
    <cellStyle name="常规 4 4 6 2 2" xfId="3676"/>
    <cellStyle name="常规 4 4 6 3" xfId="2737"/>
    <cellStyle name="常规 4 4 7" xfId="1023"/>
    <cellStyle name="常规 4 4 7 2" xfId="1969"/>
    <cellStyle name="常规 4 4 7 2 2" xfId="3759"/>
    <cellStyle name="常规 4 4 7 3" xfId="2820"/>
    <cellStyle name="常规 4 4 8" xfId="1121"/>
    <cellStyle name="常规 4 4 8 2" xfId="2951"/>
    <cellStyle name="常规 4 4 9" xfId="202"/>
    <cellStyle name="常规 4 5" xfId="277"/>
    <cellStyle name="常规 4 5 2" xfId="465"/>
    <cellStyle name="常规 4 5 2 2" xfId="837"/>
    <cellStyle name="常规 4 5 2 2 2" xfId="1787"/>
    <cellStyle name="常规 4 5 2 2 2 2" xfId="3577"/>
    <cellStyle name="常规 4 5 2 2 3" xfId="2638"/>
    <cellStyle name="常规 4 5 2 3" xfId="1418"/>
    <cellStyle name="常规 4 5 2 3 2" xfId="3208"/>
    <cellStyle name="常规 4 5 2 4" xfId="2269"/>
    <cellStyle name="常规 4 5 3" xfId="654"/>
    <cellStyle name="常规 4 5 3 2" xfId="1604"/>
    <cellStyle name="常规 4 5 3 2 2" xfId="3394"/>
    <cellStyle name="常规 4 5 3 3" xfId="2455"/>
    <cellStyle name="常规 4 5 4" xfId="1236"/>
    <cellStyle name="常规 4 5 4 2" xfId="3025"/>
    <cellStyle name="常规 4 5 5" xfId="2087"/>
    <cellStyle name="常规 4 6" xfId="372"/>
    <cellStyle name="常规 4 6 2" xfId="746"/>
    <cellStyle name="常规 4 6 2 2" xfId="1696"/>
    <cellStyle name="常规 4 6 2 2 2" xfId="3486"/>
    <cellStyle name="常规 4 6 2 3" xfId="2547"/>
    <cellStyle name="常规 4 6 3" xfId="1327"/>
    <cellStyle name="常规 4 6 3 2" xfId="3117"/>
    <cellStyle name="常规 4 6 4" xfId="2178"/>
    <cellStyle name="常规 4 7" xfId="561"/>
    <cellStyle name="常规 4 7 2" xfId="1513"/>
    <cellStyle name="常规 4 7 2 2" xfId="3303"/>
    <cellStyle name="常规 4 7 3" xfId="2364"/>
    <cellStyle name="常规 4 8" xfId="184"/>
    <cellStyle name="常规 4 8 2" xfId="2934"/>
    <cellStyle name="常规 4 9" xfId="2071"/>
    <cellStyle name="常规 40" xfId="922"/>
    <cellStyle name="常规 40 2" xfId="1872"/>
    <cellStyle name="常规 40 2 2" xfId="3661"/>
    <cellStyle name="常规 40 3" xfId="2722"/>
    <cellStyle name="常规 41" xfId="923"/>
    <cellStyle name="常规 41 2" xfId="1873"/>
    <cellStyle name="常规 41 2 2" xfId="3662"/>
    <cellStyle name="常规 41 3" xfId="2723"/>
    <cellStyle name="常规 42" xfId="1020"/>
    <cellStyle name="常规 42 2" xfId="1967"/>
    <cellStyle name="常规 42 2 2" xfId="3756"/>
    <cellStyle name="常规 42 3" xfId="2817"/>
    <cellStyle name="常规 43" xfId="1116"/>
    <cellStyle name="常规 43 2" xfId="2061"/>
    <cellStyle name="常规 43 2 2" xfId="3852"/>
    <cellStyle name="常规 43 3" xfId="2913"/>
    <cellStyle name="常规 44" xfId="1117"/>
    <cellStyle name="常规 44 2" xfId="2062"/>
    <cellStyle name="常规 44 2 2" xfId="3853"/>
    <cellStyle name="常规 44 3" xfId="2914"/>
    <cellStyle name="常规 45" xfId="1118"/>
    <cellStyle name="常规 45 2" xfId="1218"/>
    <cellStyle name="常规 45 2 2" xfId="2066"/>
    <cellStyle name="常规 45 2 2 2" xfId="3857"/>
    <cellStyle name="常规 45 2 3" xfId="2918"/>
    <cellStyle name="常规 45 3" xfId="2063"/>
    <cellStyle name="常规 45 3 2" xfId="3854"/>
    <cellStyle name="常规 45 4" xfId="2915"/>
    <cellStyle name="常规 46" xfId="182"/>
    <cellStyle name="常规 46 2" xfId="1217"/>
    <cellStyle name="常规 46 2 2" xfId="2067"/>
    <cellStyle name="常规 46 2 2 2" xfId="3858"/>
    <cellStyle name="常规 46 2 3" xfId="2919"/>
    <cellStyle name="常规 46 3" xfId="2064"/>
    <cellStyle name="常规 46 3 2" xfId="3855"/>
    <cellStyle name="常规 46 4" xfId="2916"/>
    <cellStyle name="常规 47" xfId="167"/>
    <cellStyle name="常规 47 2" xfId="2065"/>
    <cellStyle name="常规 47 2 2" xfId="3856"/>
    <cellStyle name="常规 47 3" xfId="2917"/>
    <cellStyle name="常规 48" xfId="1220"/>
    <cellStyle name="常规 49" xfId="1219"/>
    <cellStyle name="常规 49 2" xfId="2920"/>
    <cellStyle name="常规 5" xfId="3"/>
    <cellStyle name="常规 50" xfId="2069"/>
    <cellStyle name="常规 51" xfId="2068"/>
    <cellStyle name="常规 6" xfId="55"/>
    <cellStyle name="常规 6 10" xfId="1024"/>
    <cellStyle name="常规 6 10 2" xfId="1970"/>
    <cellStyle name="常规 6 10 2 2" xfId="3760"/>
    <cellStyle name="常规 6 10 3" xfId="2821"/>
    <cellStyle name="常规 6 11" xfId="1122"/>
    <cellStyle name="常规 6 11 2" xfId="2935"/>
    <cellStyle name="常规 6 12" xfId="185"/>
    <cellStyle name="常规 6 2" xfId="65"/>
    <cellStyle name="常规 6 2 10" xfId="193"/>
    <cellStyle name="常规 6 2 2" xfId="97"/>
    <cellStyle name="常规 6 2 2 2" xfId="141"/>
    <cellStyle name="常规 6 2 2 2 2" xfId="344"/>
    <cellStyle name="常规 6 2 2 2 2 2" xfId="530"/>
    <cellStyle name="常规 6 2 2 2 2 2 2" xfId="902"/>
    <cellStyle name="常规 6 2 2 2 2 2 2 2" xfId="1852"/>
    <cellStyle name="常规 6 2 2 2 2 2 2 2 2" xfId="3642"/>
    <cellStyle name="常规 6 2 2 2 2 2 2 3" xfId="2703"/>
    <cellStyle name="常规 6 2 2 2 2 2 3" xfId="1483"/>
    <cellStyle name="常规 6 2 2 2 2 2 3 2" xfId="3273"/>
    <cellStyle name="常规 6 2 2 2 2 2 4" xfId="2334"/>
    <cellStyle name="常规 6 2 2 2 2 3" xfId="719"/>
    <cellStyle name="常规 6 2 2 2 2 3 2" xfId="1669"/>
    <cellStyle name="常规 6 2 2 2 2 3 2 2" xfId="3459"/>
    <cellStyle name="常规 6 2 2 2 2 3 3" xfId="2520"/>
    <cellStyle name="常规 6 2 2 2 2 4" xfId="1301"/>
    <cellStyle name="常规 6 2 2 2 2 4 2" xfId="3090"/>
    <cellStyle name="常规 6 2 2 2 2 5" xfId="2152"/>
    <cellStyle name="常规 6 2 2 2 3" xfId="439"/>
    <cellStyle name="常规 6 2 2 2 3 2" xfId="811"/>
    <cellStyle name="常规 6 2 2 2 3 2 2" xfId="1761"/>
    <cellStyle name="常规 6 2 2 2 3 2 2 2" xfId="3551"/>
    <cellStyle name="常规 6 2 2 2 3 2 3" xfId="2612"/>
    <cellStyle name="常规 6 2 2 2 3 3" xfId="1392"/>
    <cellStyle name="常规 6 2 2 2 3 3 2" xfId="3182"/>
    <cellStyle name="常规 6 2 2 2 3 4" xfId="2243"/>
    <cellStyle name="常规 6 2 2 2 4" xfId="628"/>
    <cellStyle name="常规 6 2 2 2 4 2" xfId="1578"/>
    <cellStyle name="常规 6 2 2 2 4 2 2" xfId="3368"/>
    <cellStyle name="常规 6 2 2 2 4 3" xfId="2429"/>
    <cellStyle name="常规 6 2 2 2 5" xfId="1002"/>
    <cellStyle name="常规 6 2 2 2 5 2" xfId="1952"/>
    <cellStyle name="常规 6 2 2 2 5 2 2" xfId="3741"/>
    <cellStyle name="常规 6 2 2 2 5 3" xfId="2802"/>
    <cellStyle name="常规 6 2 2 2 6" xfId="1100"/>
    <cellStyle name="常规 6 2 2 2 6 2" xfId="2046"/>
    <cellStyle name="常规 6 2 2 2 6 2 2" xfId="3836"/>
    <cellStyle name="常规 6 2 2 2 6 3" xfId="2897"/>
    <cellStyle name="常规 6 2 2 2 7" xfId="1198"/>
    <cellStyle name="常规 6 2 2 2 7 2" xfId="2999"/>
    <cellStyle name="常规 6 2 2 2 8" xfId="250"/>
    <cellStyle name="常规 6 2 2 3" xfId="303"/>
    <cellStyle name="常规 6 2 2 3 2" xfId="490"/>
    <cellStyle name="常规 6 2 2 3 2 2" xfId="862"/>
    <cellStyle name="常规 6 2 2 3 2 2 2" xfId="1812"/>
    <cellStyle name="常规 6 2 2 3 2 2 2 2" xfId="3602"/>
    <cellStyle name="常规 6 2 2 3 2 2 3" xfId="2663"/>
    <cellStyle name="常规 6 2 2 3 2 3" xfId="1443"/>
    <cellStyle name="常规 6 2 2 3 2 3 2" xfId="3233"/>
    <cellStyle name="常规 6 2 2 3 2 4" xfId="2294"/>
    <cellStyle name="常规 6 2 2 3 3" xfId="679"/>
    <cellStyle name="常规 6 2 2 3 3 2" xfId="1629"/>
    <cellStyle name="常规 6 2 2 3 3 2 2" xfId="3419"/>
    <cellStyle name="常规 6 2 2 3 3 3" xfId="2480"/>
    <cellStyle name="常规 6 2 2 3 4" xfId="1261"/>
    <cellStyle name="常规 6 2 2 3 4 2" xfId="3050"/>
    <cellStyle name="常规 6 2 2 3 5" xfId="2112"/>
    <cellStyle name="常规 6 2 2 4" xfId="398"/>
    <cellStyle name="常规 6 2 2 4 2" xfId="771"/>
    <cellStyle name="常规 6 2 2 4 2 2" xfId="1721"/>
    <cellStyle name="常规 6 2 2 4 2 2 2" xfId="3511"/>
    <cellStyle name="常规 6 2 2 4 2 3" xfId="2572"/>
    <cellStyle name="常规 6 2 2 4 3" xfId="1352"/>
    <cellStyle name="常规 6 2 2 4 3 2" xfId="3142"/>
    <cellStyle name="常规 6 2 2 4 4" xfId="2203"/>
    <cellStyle name="常规 6 2 2 5" xfId="587"/>
    <cellStyle name="常规 6 2 2 5 2" xfId="1538"/>
    <cellStyle name="常规 6 2 2 5 2 2" xfId="3328"/>
    <cellStyle name="常规 6 2 2 5 3" xfId="2389"/>
    <cellStyle name="常规 6 2 2 6" xfId="964"/>
    <cellStyle name="常规 6 2 2 6 2" xfId="1914"/>
    <cellStyle name="常规 6 2 2 6 2 2" xfId="3703"/>
    <cellStyle name="常规 6 2 2 6 3" xfId="2764"/>
    <cellStyle name="常规 6 2 2 7" xfId="1050"/>
    <cellStyle name="常规 6 2 2 7 2" xfId="1996"/>
    <cellStyle name="常规 6 2 2 7 2 2" xfId="3786"/>
    <cellStyle name="常规 6 2 2 7 3" xfId="2847"/>
    <cellStyle name="常规 6 2 2 8" xfId="1148"/>
    <cellStyle name="常规 6 2 2 8 2" xfId="2959"/>
    <cellStyle name="常规 6 2 2 9" xfId="210"/>
    <cellStyle name="常规 6 2 3" xfId="122"/>
    <cellStyle name="常规 6 2 3 2" xfId="323"/>
    <cellStyle name="常规 6 2 3 2 2" xfId="509"/>
    <cellStyle name="常规 6 2 3 2 2 2" xfId="881"/>
    <cellStyle name="常规 6 2 3 2 2 2 2" xfId="1831"/>
    <cellStyle name="常规 6 2 3 2 2 2 2 2" xfId="3621"/>
    <cellStyle name="常规 6 2 3 2 2 2 3" xfId="2682"/>
    <cellStyle name="常规 6 2 3 2 2 3" xfId="1462"/>
    <cellStyle name="常规 6 2 3 2 2 3 2" xfId="3252"/>
    <cellStyle name="常规 6 2 3 2 2 4" xfId="2313"/>
    <cellStyle name="常规 6 2 3 2 3" xfId="698"/>
    <cellStyle name="常规 6 2 3 2 3 2" xfId="1648"/>
    <cellStyle name="常规 6 2 3 2 3 2 2" xfId="3438"/>
    <cellStyle name="常规 6 2 3 2 3 3" xfId="2499"/>
    <cellStyle name="常规 6 2 3 2 4" xfId="1280"/>
    <cellStyle name="常规 6 2 3 2 4 2" xfId="3069"/>
    <cellStyle name="常规 6 2 3 2 5" xfId="2131"/>
    <cellStyle name="常规 6 2 3 3" xfId="418"/>
    <cellStyle name="常规 6 2 3 3 2" xfId="790"/>
    <cellStyle name="常规 6 2 3 3 2 2" xfId="1740"/>
    <cellStyle name="常规 6 2 3 3 2 2 2" xfId="3530"/>
    <cellStyle name="常规 6 2 3 3 2 3" xfId="2591"/>
    <cellStyle name="常规 6 2 3 3 3" xfId="1371"/>
    <cellStyle name="常规 6 2 3 3 3 2" xfId="3161"/>
    <cellStyle name="常规 6 2 3 3 4" xfId="2222"/>
    <cellStyle name="常规 6 2 3 4" xfId="607"/>
    <cellStyle name="常规 6 2 3 4 2" xfId="1557"/>
    <cellStyle name="常规 6 2 3 4 2 2" xfId="3347"/>
    <cellStyle name="常规 6 2 3 4 3" xfId="2408"/>
    <cellStyle name="常规 6 2 3 5" xfId="983"/>
    <cellStyle name="常规 6 2 3 5 2" xfId="1933"/>
    <cellStyle name="常规 6 2 3 5 2 2" xfId="3722"/>
    <cellStyle name="常规 6 2 3 5 3" xfId="2783"/>
    <cellStyle name="常规 6 2 3 6" xfId="1081"/>
    <cellStyle name="常规 6 2 3 6 2" xfId="2027"/>
    <cellStyle name="常规 6 2 3 6 2 2" xfId="3817"/>
    <cellStyle name="常规 6 2 3 6 3" xfId="2878"/>
    <cellStyle name="常规 6 2 3 7" xfId="1179"/>
    <cellStyle name="常规 6 2 3 7 2" xfId="2978"/>
    <cellStyle name="常规 6 2 3 8" xfId="229"/>
    <cellStyle name="常规 6 2 4" xfId="286"/>
    <cellStyle name="常规 6 2 4 2" xfId="473"/>
    <cellStyle name="常规 6 2 4 2 2" xfId="845"/>
    <cellStyle name="常规 6 2 4 2 2 2" xfId="1795"/>
    <cellStyle name="常规 6 2 4 2 2 2 2" xfId="3585"/>
    <cellStyle name="常规 6 2 4 2 2 3" xfId="2646"/>
    <cellStyle name="常规 6 2 4 2 3" xfId="1426"/>
    <cellStyle name="常规 6 2 4 2 3 2" xfId="3216"/>
    <cellStyle name="常规 6 2 4 2 4" xfId="2277"/>
    <cellStyle name="常规 6 2 4 3" xfId="662"/>
    <cellStyle name="常规 6 2 4 3 2" xfId="1612"/>
    <cellStyle name="常规 6 2 4 3 2 2" xfId="3402"/>
    <cellStyle name="常规 6 2 4 3 3" xfId="2463"/>
    <cellStyle name="常规 6 2 4 4" xfId="1244"/>
    <cellStyle name="常规 6 2 4 4 2" xfId="3033"/>
    <cellStyle name="常规 6 2 4 5" xfId="2095"/>
    <cellStyle name="常规 6 2 5" xfId="381"/>
    <cellStyle name="常规 6 2 5 2" xfId="754"/>
    <cellStyle name="常规 6 2 5 2 2" xfId="1704"/>
    <cellStyle name="常规 6 2 5 2 2 2" xfId="3494"/>
    <cellStyle name="常规 6 2 5 2 3" xfId="2555"/>
    <cellStyle name="常规 6 2 5 3" xfId="1335"/>
    <cellStyle name="常规 6 2 5 3 2" xfId="3125"/>
    <cellStyle name="常规 6 2 5 4" xfId="2186"/>
    <cellStyle name="常规 6 2 6" xfId="570"/>
    <cellStyle name="常规 6 2 6 2" xfId="1521"/>
    <cellStyle name="常规 6 2 6 2 2" xfId="3311"/>
    <cellStyle name="常规 6 2 6 3" xfId="2372"/>
    <cellStyle name="常规 6 2 7" xfId="943"/>
    <cellStyle name="常规 6 2 7 2" xfId="1893"/>
    <cellStyle name="常规 6 2 7 2 2" xfId="3682"/>
    <cellStyle name="常规 6 2 7 3" xfId="2743"/>
    <cellStyle name="常规 6 2 8" xfId="1029"/>
    <cellStyle name="常规 6 2 8 2" xfId="1975"/>
    <cellStyle name="常规 6 2 8 2 2" xfId="3765"/>
    <cellStyle name="常规 6 2 8 3" xfId="2826"/>
    <cellStyle name="常规 6 2 9" xfId="1127"/>
    <cellStyle name="常规 6 2 9 2" xfId="2942"/>
    <cellStyle name="常规 6 3" xfId="88"/>
    <cellStyle name="常规 6 3 2" xfId="134"/>
    <cellStyle name="常规 6 3 2 2" xfId="337"/>
    <cellStyle name="常规 6 3 2 2 2" xfId="523"/>
    <cellStyle name="常规 6 3 2 2 2 2" xfId="895"/>
    <cellStyle name="常规 6 3 2 2 2 2 2" xfId="1845"/>
    <cellStyle name="常规 6 3 2 2 2 2 2 2" xfId="3635"/>
    <cellStyle name="常规 6 3 2 2 2 2 3" xfId="2696"/>
    <cellStyle name="常规 6 3 2 2 2 3" xfId="1476"/>
    <cellStyle name="常规 6 3 2 2 2 3 2" xfId="3266"/>
    <cellStyle name="常规 6 3 2 2 2 4" xfId="2327"/>
    <cellStyle name="常规 6 3 2 2 3" xfId="712"/>
    <cellStyle name="常规 6 3 2 2 3 2" xfId="1662"/>
    <cellStyle name="常规 6 3 2 2 3 2 2" xfId="3452"/>
    <cellStyle name="常规 6 3 2 2 3 3" xfId="2513"/>
    <cellStyle name="常规 6 3 2 2 4" xfId="1294"/>
    <cellStyle name="常规 6 3 2 2 4 2" xfId="3083"/>
    <cellStyle name="常规 6 3 2 2 5" xfId="2145"/>
    <cellStyle name="常规 6 3 2 3" xfId="432"/>
    <cellStyle name="常规 6 3 2 3 2" xfId="804"/>
    <cellStyle name="常规 6 3 2 3 2 2" xfId="1754"/>
    <cellStyle name="常规 6 3 2 3 2 2 2" xfId="3544"/>
    <cellStyle name="常规 6 3 2 3 2 3" xfId="2605"/>
    <cellStyle name="常规 6 3 2 3 3" xfId="1385"/>
    <cellStyle name="常规 6 3 2 3 3 2" xfId="3175"/>
    <cellStyle name="常规 6 3 2 3 4" xfId="2236"/>
    <cellStyle name="常规 6 3 2 4" xfId="621"/>
    <cellStyle name="常规 6 3 2 4 2" xfId="1571"/>
    <cellStyle name="常规 6 3 2 4 2 2" xfId="3361"/>
    <cellStyle name="常规 6 3 2 4 3" xfId="2422"/>
    <cellStyle name="常规 6 3 2 5" xfId="995"/>
    <cellStyle name="常规 6 3 2 5 2" xfId="1945"/>
    <cellStyle name="常规 6 3 2 5 2 2" xfId="3734"/>
    <cellStyle name="常规 6 3 2 5 3" xfId="2795"/>
    <cellStyle name="常规 6 3 2 6" xfId="1093"/>
    <cellStyle name="常规 6 3 2 6 2" xfId="2039"/>
    <cellStyle name="常规 6 3 2 6 2 2" xfId="3829"/>
    <cellStyle name="常规 6 3 2 6 3" xfId="2890"/>
    <cellStyle name="常规 6 3 2 7" xfId="1191"/>
    <cellStyle name="常规 6 3 2 7 2" xfId="2992"/>
    <cellStyle name="常规 6 3 2 8" xfId="243"/>
    <cellStyle name="常规 6 3 3" xfId="296"/>
    <cellStyle name="常规 6 3 3 2" xfId="483"/>
    <cellStyle name="常规 6 3 3 2 2" xfId="855"/>
    <cellStyle name="常规 6 3 3 2 2 2" xfId="1805"/>
    <cellStyle name="常规 6 3 3 2 2 2 2" xfId="3595"/>
    <cellStyle name="常规 6 3 3 2 2 3" xfId="2656"/>
    <cellStyle name="常规 6 3 3 2 3" xfId="1436"/>
    <cellStyle name="常规 6 3 3 2 3 2" xfId="3226"/>
    <cellStyle name="常规 6 3 3 2 4" xfId="2287"/>
    <cellStyle name="常规 6 3 3 3" xfId="672"/>
    <cellStyle name="常规 6 3 3 3 2" xfId="1622"/>
    <cellStyle name="常规 6 3 3 3 2 2" xfId="3412"/>
    <cellStyle name="常规 6 3 3 3 3" xfId="2473"/>
    <cellStyle name="常规 6 3 3 4" xfId="1254"/>
    <cellStyle name="常规 6 3 3 4 2" xfId="3043"/>
    <cellStyle name="常规 6 3 3 5" xfId="2105"/>
    <cellStyle name="常规 6 3 4" xfId="391"/>
    <cellStyle name="常规 6 3 4 2" xfId="764"/>
    <cellStyle name="常规 6 3 4 2 2" xfId="1714"/>
    <cellStyle name="常规 6 3 4 2 2 2" xfId="3504"/>
    <cellStyle name="常规 6 3 4 2 3" xfId="2565"/>
    <cellStyle name="常规 6 3 4 3" xfId="1345"/>
    <cellStyle name="常规 6 3 4 3 2" xfId="3135"/>
    <cellStyle name="常规 6 3 4 4" xfId="2196"/>
    <cellStyle name="常规 6 3 5" xfId="580"/>
    <cellStyle name="常规 6 3 5 2" xfId="1531"/>
    <cellStyle name="常规 6 3 5 2 2" xfId="3321"/>
    <cellStyle name="常规 6 3 5 3" xfId="2382"/>
    <cellStyle name="常规 6 3 6" xfId="957"/>
    <cellStyle name="常规 6 3 6 2" xfId="1907"/>
    <cellStyle name="常规 6 3 6 2 2" xfId="3696"/>
    <cellStyle name="常规 6 3 6 3" xfId="2757"/>
    <cellStyle name="常规 6 3 7" xfId="1043"/>
    <cellStyle name="常规 6 3 7 2" xfId="1989"/>
    <cellStyle name="常规 6 3 7 2 2" xfId="3779"/>
    <cellStyle name="常规 6 3 7 3" xfId="2840"/>
    <cellStyle name="常规 6 3 8" xfId="1141"/>
    <cellStyle name="常规 6 3 8 2" xfId="2952"/>
    <cellStyle name="常规 6 3 9" xfId="203"/>
    <cellStyle name="常规 6 4" xfId="149"/>
    <cellStyle name="常规 6 5" xfId="117"/>
    <cellStyle name="常规 6 5 2" xfId="318"/>
    <cellStyle name="常规 6 5 2 2" xfId="504"/>
    <cellStyle name="常规 6 5 2 2 2" xfId="876"/>
    <cellStyle name="常规 6 5 2 2 2 2" xfId="1826"/>
    <cellStyle name="常规 6 5 2 2 2 2 2" xfId="3616"/>
    <cellStyle name="常规 6 5 2 2 2 3" xfId="2677"/>
    <cellStyle name="常规 6 5 2 2 3" xfId="1457"/>
    <cellStyle name="常规 6 5 2 2 3 2" xfId="3247"/>
    <cellStyle name="常规 6 5 2 2 4" xfId="2308"/>
    <cellStyle name="常规 6 5 2 3" xfId="693"/>
    <cellStyle name="常规 6 5 2 3 2" xfId="1643"/>
    <cellStyle name="常规 6 5 2 3 2 2" xfId="3433"/>
    <cellStyle name="常规 6 5 2 3 3" xfId="2494"/>
    <cellStyle name="常规 6 5 2 4" xfId="1275"/>
    <cellStyle name="常规 6 5 2 4 2" xfId="3064"/>
    <cellStyle name="常规 6 5 2 5" xfId="2126"/>
    <cellStyle name="常规 6 5 3" xfId="413"/>
    <cellStyle name="常规 6 5 3 2" xfId="785"/>
    <cellStyle name="常规 6 5 3 2 2" xfId="1735"/>
    <cellStyle name="常规 6 5 3 2 2 2" xfId="3525"/>
    <cellStyle name="常规 6 5 3 2 3" xfId="2586"/>
    <cellStyle name="常规 6 5 3 3" xfId="1366"/>
    <cellStyle name="常规 6 5 3 3 2" xfId="3156"/>
    <cellStyle name="常规 6 5 3 4" xfId="2217"/>
    <cellStyle name="常规 6 5 4" xfId="602"/>
    <cellStyle name="常规 6 5 4 2" xfId="1552"/>
    <cellStyle name="常规 6 5 4 2 2" xfId="3342"/>
    <cellStyle name="常规 6 5 4 3" xfId="2403"/>
    <cellStyle name="常规 6 5 5" xfId="978"/>
    <cellStyle name="常规 6 5 5 2" xfId="1928"/>
    <cellStyle name="常规 6 5 5 2 2" xfId="3717"/>
    <cellStyle name="常规 6 5 5 3" xfId="2778"/>
    <cellStyle name="常规 6 5 6" xfId="1076"/>
    <cellStyle name="常规 6 5 6 2" xfId="2022"/>
    <cellStyle name="常规 6 5 6 2 2" xfId="3812"/>
    <cellStyle name="常规 6 5 6 3" xfId="2873"/>
    <cellStyle name="常规 6 5 7" xfId="1174"/>
    <cellStyle name="常规 6 5 7 2" xfId="2973"/>
    <cellStyle name="常规 6 5 8" xfId="224"/>
    <cellStyle name="常规 6 6" xfId="278"/>
    <cellStyle name="常规 6 6 2" xfId="466"/>
    <cellStyle name="常规 6 6 2 2" xfId="838"/>
    <cellStyle name="常规 6 6 2 2 2" xfId="1788"/>
    <cellStyle name="常规 6 6 2 2 2 2" xfId="3578"/>
    <cellStyle name="常规 6 6 2 2 3" xfId="2639"/>
    <cellStyle name="常规 6 6 2 3" xfId="1419"/>
    <cellStyle name="常规 6 6 2 3 2" xfId="3209"/>
    <cellStyle name="常规 6 6 2 4" xfId="2270"/>
    <cellStyle name="常规 6 6 3" xfId="655"/>
    <cellStyle name="常规 6 6 3 2" xfId="1605"/>
    <cellStyle name="常规 6 6 3 2 2" xfId="3395"/>
    <cellStyle name="常规 6 6 3 3" xfId="2456"/>
    <cellStyle name="常规 6 6 4" xfId="1237"/>
    <cellStyle name="常规 6 6 4 2" xfId="3026"/>
    <cellStyle name="常规 6 6 5" xfId="2088"/>
    <cellStyle name="常规 6 7" xfId="373"/>
    <cellStyle name="常规 6 7 2" xfId="747"/>
    <cellStyle name="常规 6 7 2 2" xfId="1697"/>
    <cellStyle name="常规 6 7 2 2 2" xfId="3487"/>
    <cellStyle name="常规 6 7 2 3" xfId="2548"/>
    <cellStyle name="常规 6 7 3" xfId="1328"/>
    <cellStyle name="常规 6 7 3 2" xfId="3118"/>
    <cellStyle name="常规 6 7 4" xfId="2179"/>
    <cellStyle name="常规 6 8" xfId="562"/>
    <cellStyle name="常规 6 8 2" xfId="1514"/>
    <cellStyle name="常规 6 8 2 2" xfId="3304"/>
    <cellStyle name="常规 6 8 3" xfId="2365"/>
    <cellStyle name="常规 6 9" xfId="938"/>
    <cellStyle name="常规 6 9 2" xfId="1888"/>
    <cellStyle name="常规 6 9 2 2" xfId="3677"/>
    <cellStyle name="常规 6 9 3" xfId="2738"/>
    <cellStyle name="常规 7" xfId="60"/>
    <cellStyle name="常规 7 10" xfId="1123"/>
    <cellStyle name="常规 7 10 2" xfId="2936"/>
    <cellStyle name="常规 7 11" xfId="186"/>
    <cellStyle name="常规 7 2" xfId="79"/>
    <cellStyle name="常规 7 2 10" xfId="194"/>
    <cellStyle name="常规 7 2 2" xfId="98"/>
    <cellStyle name="常规 7 2 2 2" xfId="142"/>
    <cellStyle name="常规 7 2 2 2 2" xfId="345"/>
    <cellStyle name="常规 7 2 2 2 2 2" xfId="531"/>
    <cellStyle name="常规 7 2 2 2 2 2 2" xfId="903"/>
    <cellStyle name="常规 7 2 2 2 2 2 2 2" xfId="1853"/>
    <cellStyle name="常规 7 2 2 2 2 2 2 2 2" xfId="3643"/>
    <cellStyle name="常规 7 2 2 2 2 2 2 3" xfId="2704"/>
    <cellStyle name="常规 7 2 2 2 2 2 3" xfId="1484"/>
    <cellStyle name="常规 7 2 2 2 2 2 3 2" xfId="3274"/>
    <cellStyle name="常规 7 2 2 2 2 2 4" xfId="2335"/>
    <cellStyle name="常规 7 2 2 2 2 3" xfId="720"/>
    <cellStyle name="常规 7 2 2 2 2 3 2" xfId="1670"/>
    <cellStyle name="常规 7 2 2 2 2 3 2 2" xfId="3460"/>
    <cellStyle name="常规 7 2 2 2 2 3 3" xfId="2521"/>
    <cellStyle name="常规 7 2 2 2 2 4" xfId="1302"/>
    <cellStyle name="常规 7 2 2 2 2 4 2" xfId="3091"/>
    <cellStyle name="常规 7 2 2 2 2 5" xfId="2153"/>
    <cellStyle name="常规 7 2 2 2 3" xfId="440"/>
    <cellStyle name="常规 7 2 2 2 3 2" xfId="812"/>
    <cellStyle name="常规 7 2 2 2 3 2 2" xfId="1762"/>
    <cellStyle name="常规 7 2 2 2 3 2 2 2" xfId="3552"/>
    <cellStyle name="常规 7 2 2 2 3 2 3" xfId="2613"/>
    <cellStyle name="常规 7 2 2 2 3 3" xfId="1393"/>
    <cellStyle name="常规 7 2 2 2 3 3 2" xfId="3183"/>
    <cellStyle name="常规 7 2 2 2 3 4" xfId="2244"/>
    <cellStyle name="常规 7 2 2 2 4" xfId="629"/>
    <cellStyle name="常规 7 2 2 2 4 2" xfId="1579"/>
    <cellStyle name="常规 7 2 2 2 4 2 2" xfId="3369"/>
    <cellStyle name="常规 7 2 2 2 4 3" xfId="2430"/>
    <cellStyle name="常规 7 2 2 2 5" xfId="1003"/>
    <cellStyle name="常规 7 2 2 2 5 2" xfId="1953"/>
    <cellStyle name="常规 7 2 2 2 5 2 2" xfId="3742"/>
    <cellStyle name="常规 7 2 2 2 5 3" xfId="2803"/>
    <cellStyle name="常规 7 2 2 2 6" xfId="1101"/>
    <cellStyle name="常规 7 2 2 2 6 2" xfId="2047"/>
    <cellStyle name="常规 7 2 2 2 6 2 2" xfId="3837"/>
    <cellStyle name="常规 7 2 2 2 6 3" xfId="2898"/>
    <cellStyle name="常规 7 2 2 2 7" xfId="1199"/>
    <cellStyle name="常规 7 2 2 2 7 2" xfId="3000"/>
    <cellStyle name="常规 7 2 2 2 8" xfId="251"/>
    <cellStyle name="常规 7 2 2 3" xfId="304"/>
    <cellStyle name="常规 7 2 2 3 2" xfId="491"/>
    <cellStyle name="常规 7 2 2 3 2 2" xfId="863"/>
    <cellStyle name="常规 7 2 2 3 2 2 2" xfId="1813"/>
    <cellStyle name="常规 7 2 2 3 2 2 2 2" xfId="3603"/>
    <cellStyle name="常规 7 2 2 3 2 2 3" xfId="2664"/>
    <cellStyle name="常规 7 2 2 3 2 3" xfId="1444"/>
    <cellStyle name="常规 7 2 2 3 2 3 2" xfId="3234"/>
    <cellStyle name="常规 7 2 2 3 2 4" xfId="2295"/>
    <cellStyle name="常规 7 2 2 3 3" xfId="680"/>
    <cellStyle name="常规 7 2 2 3 3 2" xfId="1630"/>
    <cellStyle name="常规 7 2 2 3 3 2 2" xfId="3420"/>
    <cellStyle name="常规 7 2 2 3 3 3" xfId="2481"/>
    <cellStyle name="常规 7 2 2 3 4" xfId="1262"/>
    <cellStyle name="常规 7 2 2 3 4 2" xfId="3051"/>
    <cellStyle name="常规 7 2 2 3 5" xfId="2113"/>
    <cellStyle name="常规 7 2 2 4" xfId="399"/>
    <cellStyle name="常规 7 2 2 4 2" xfId="772"/>
    <cellStyle name="常规 7 2 2 4 2 2" xfId="1722"/>
    <cellStyle name="常规 7 2 2 4 2 2 2" xfId="3512"/>
    <cellStyle name="常规 7 2 2 4 2 3" xfId="2573"/>
    <cellStyle name="常规 7 2 2 4 3" xfId="1353"/>
    <cellStyle name="常规 7 2 2 4 3 2" xfId="3143"/>
    <cellStyle name="常规 7 2 2 4 4" xfId="2204"/>
    <cellStyle name="常规 7 2 2 5" xfId="588"/>
    <cellStyle name="常规 7 2 2 5 2" xfId="1539"/>
    <cellStyle name="常规 7 2 2 5 2 2" xfId="3329"/>
    <cellStyle name="常规 7 2 2 5 3" xfId="2390"/>
    <cellStyle name="常规 7 2 2 6" xfId="965"/>
    <cellStyle name="常规 7 2 2 6 2" xfId="1915"/>
    <cellStyle name="常规 7 2 2 6 2 2" xfId="3704"/>
    <cellStyle name="常规 7 2 2 6 3" xfId="2765"/>
    <cellStyle name="常规 7 2 2 7" xfId="1051"/>
    <cellStyle name="常规 7 2 2 7 2" xfId="1997"/>
    <cellStyle name="常规 7 2 2 7 2 2" xfId="3787"/>
    <cellStyle name="常规 7 2 2 7 3" xfId="2848"/>
    <cellStyle name="常规 7 2 2 8" xfId="1149"/>
    <cellStyle name="常规 7 2 2 8 2" xfId="2960"/>
    <cellStyle name="常规 7 2 2 9" xfId="211"/>
    <cellStyle name="常规 7 2 3" xfId="127"/>
    <cellStyle name="常规 7 2 3 2" xfId="330"/>
    <cellStyle name="常规 7 2 3 2 2" xfId="516"/>
    <cellStyle name="常规 7 2 3 2 2 2" xfId="888"/>
    <cellStyle name="常规 7 2 3 2 2 2 2" xfId="1838"/>
    <cellStyle name="常规 7 2 3 2 2 2 2 2" xfId="3628"/>
    <cellStyle name="常规 7 2 3 2 2 2 3" xfId="2689"/>
    <cellStyle name="常规 7 2 3 2 2 3" xfId="1469"/>
    <cellStyle name="常规 7 2 3 2 2 3 2" xfId="3259"/>
    <cellStyle name="常规 7 2 3 2 2 4" xfId="2320"/>
    <cellStyle name="常规 7 2 3 2 3" xfId="705"/>
    <cellStyle name="常规 7 2 3 2 3 2" xfId="1655"/>
    <cellStyle name="常规 7 2 3 2 3 2 2" xfId="3445"/>
    <cellStyle name="常规 7 2 3 2 3 3" xfId="2506"/>
    <cellStyle name="常规 7 2 3 2 4" xfId="1287"/>
    <cellStyle name="常规 7 2 3 2 4 2" xfId="3076"/>
    <cellStyle name="常规 7 2 3 2 5" xfId="2138"/>
    <cellStyle name="常规 7 2 3 3" xfId="425"/>
    <cellStyle name="常规 7 2 3 3 2" xfId="797"/>
    <cellStyle name="常规 7 2 3 3 2 2" xfId="1747"/>
    <cellStyle name="常规 7 2 3 3 2 2 2" xfId="3537"/>
    <cellStyle name="常规 7 2 3 3 2 3" xfId="2598"/>
    <cellStyle name="常规 7 2 3 3 3" xfId="1378"/>
    <cellStyle name="常规 7 2 3 3 3 2" xfId="3168"/>
    <cellStyle name="常规 7 2 3 3 4" xfId="2229"/>
    <cellStyle name="常规 7 2 3 4" xfId="614"/>
    <cellStyle name="常规 7 2 3 4 2" xfId="1564"/>
    <cellStyle name="常规 7 2 3 4 2 2" xfId="3354"/>
    <cellStyle name="常规 7 2 3 4 3" xfId="2415"/>
    <cellStyle name="常规 7 2 3 5" xfId="988"/>
    <cellStyle name="常规 7 2 3 5 2" xfId="1938"/>
    <cellStyle name="常规 7 2 3 5 2 2" xfId="3727"/>
    <cellStyle name="常规 7 2 3 5 3" xfId="2788"/>
    <cellStyle name="常规 7 2 3 6" xfId="1086"/>
    <cellStyle name="常规 7 2 3 6 2" xfId="2032"/>
    <cellStyle name="常规 7 2 3 6 2 2" xfId="3822"/>
    <cellStyle name="常规 7 2 3 6 3" xfId="2883"/>
    <cellStyle name="常规 7 2 3 7" xfId="1184"/>
    <cellStyle name="常规 7 2 3 7 2" xfId="2985"/>
    <cellStyle name="常规 7 2 3 8" xfId="236"/>
    <cellStyle name="常规 7 2 4" xfId="287"/>
    <cellStyle name="常规 7 2 4 2" xfId="474"/>
    <cellStyle name="常规 7 2 4 2 2" xfId="846"/>
    <cellStyle name="常规 7 2 4 2 2 2" xfId="1796"/>
    <cellStyle name="常规 7 2 4 2 2 2 2" xfId="3586"/>
    <cellStyle name="常规 7 2 4 2 2 3" xfId="2647"/>
    <cellStyle name="常规 7 2 4 2 3" xfId="1427"/>
    <cellStyle name="常规 7 2 4 2 3 2" xfId="3217"/>
    <cellStyle name="常规 7 2 4 2 4" xfId="2278"/>
    <cellStyle name="常规 7 2 4 3" xfId="663"/>
    <cellStyle name="常规 7 2 4 3 2" xfId="1613"/>
    <cellStyle name="常规 7 2 4 3 2 2" xfId="3403"/>
    <cellStyle name="常规 7 2 4 3 3" xfId="2464"/>
    <cellStyle name="常规 7 2 4 4" xfId="1245"/>
    <cellStyle name="常规 7 2 4 4 2" xfId="3034"/>
    <cellStyle name="常规 7 2 4 5" xfId="2096"/>
    <cellStyle name="常规 7 2 5" xfId="382"/>
    <cellStyle name="常规 7 2 5 2" xfId="755"/>
    <cellStyle name="常规 7 2 5 2 2" xfId="1705"/>
    <cellStyle name="常规 7 2 5 2 2 2" xfId="3495"/>
    <cellStyle name="常规 7 2 5 2 3" xfId="2556"/>
    <cellStyle name="常规 7 2 5 3" xfId="1336"/>
    <cellStyle name="常规 7 2 5 3 2" xfId="3126"/>
    <cellStyle name="常规 7 2 5 4" xfId="2187"/>
    <cellStyle name="常规 7 2 6" xfId="571"/>
    <cellStyle name="常规 7 2 6 2" xfId="1522"/>
    <cellStyle name="常规 7 2 6 2 2" xfId="3312"/>
    <cellStyle name="常规 7 2 6 3" xfId="2373"/>
    <cellStyle name="常规 7 2 7" xfId="950"/>
    <cellStyle name="常规 7 2 7 2" xfId="1900"/>
    <cellStyle name="常规 7 2 7 2 2" xfId="3689"/>
    <cellStyle name="常规 7 2 7 3" xfId="2750"/>
    <cellStyle name="常规 7 2 8" xfId="1036"/>
    <cellStyle name="常规 7 2 8 2" xfId="1982"/>
    <cellStyle name="常规 7 2 8 2 2" xfId="3772"/>
    <cellStyle name="常规 7 2 8 3" xfId="2833"/>
    <cellStyle name="常规 7 2 9" xfId="1134"/>
    <cellStyle name="常规 7 2 9 2" xfId="2943"/>
    <cellStyle name="常规 7 3" xfId="89"/>
    <cellStyle name="常规 7 3 2" xfId="135"/>
    <cellStyle name="常规 7 3 2 2" xfId="338"/>
    <cellStyle name="常规 7 3 2 2 2" xfId="524"/>
    <cellStyle name="常规 7 3 2 2 2 2" xfId="896"/>
    <cellStyle name="常规 7 3 2 2 2 2 2" xfId="1846"/>
    <cellStyle name="常规 7 3 2 2 2 2 2 2" xfId="3636"/>
    <cellStyle name="常规 7 3 2 2 2 2 3" xfId="2697"/>
    <cellStyle name="常规 7 3 2 2 2 3" xfId="1477"/>
    <cellStyle name="常规 7 3 2 2 2 3 2" xfId="3267"/>
    <cellStyle name="常规 7 3 2 2 2 4" xfId="2328"/>
    <cellStyle name="常规 7 3 2 2 3" xfId="713"/>
    <cellStyle name="常规 7 3 2 2 3 2" xfId="1663"/>
    <cellStyle name="常规 7 3 2 2 3 2 2" xfId="3453"/>
    <cellStyle name="常规 7 3 2 2 3 3" xfId="2514"/>
    <cellStyle name="常规 7 3 2 2 4" xfId="1295"/>
    <cellStyle name="常规 7 3 2 2 4 2" xfId="3084"/>
    <cellStyle name="常规 7 3 2 2 5" xfId="2146"/>
    <cellStyle name="常规 7 3 2 3" xfId="433"/>
    <cellStyle name="常规 7 3 2 3 2" xfId="805"/>
    <cellStyle name="常规 7 3 2 3 2 2" xfId="1755"/>
    <cellStyle name="常规 7 3 2 3 2 2 2" xfId="3545"/>
    <cellStyle name="常规 7 3 2 3 2 3" xfId="2606"/>
    <cellStyle name="常规 7 3 2 3 3" xfId="1386"/>
    <cellStyle name="常规 7 3 2 3 3 2" xfId="3176"/>
    <cellStyle name="常规 7 3 2 3 4" xfId="2237"/>
    <cellStyle name="常规 7 3 2 4" xfId="622"/>
    <cellStyle name="常规 7 3 2 4 2" xfId="1572"/>
    <cellStyle name="常规 7 3 2 4 2 2" xfId="3362"/>
    <cellStyle name="常规 7 3 2 4 3" xfId="2423"/>
    <cellStyle name="常规 7 3 2 5" xfId="996"/>
    <cellStyle name="常规 7 3 2 5 2" xfId="1946"/>
    <cellStyle name="常规 7 3 2 5 2 2" xfId="3735"/>
    <cellStyle name="常规 7 3 2 5 3" xfId="2796"/>
    <cellStyle name="常规 7 3 2 6" xfId="1094"/>
    <cellStyle name="常规 7 3 2 6 2" xfId="2040"/>
    <cellStyle name="常规 7 3 2 6 2 2" xfId="3830"/>
    <cellStyle name="常规 7 3 2 6 3" xfId="2891"/>
    <cellStyle name="常规 7 3 2 7" xfId="1192"/>
    <cellStyle name="常规 7 3 2 7 2" xfId="2993"/>
    <cellStyle name="常规 7 3 2 8" xfId="244"/>
    <cellStyle name="常规 7 3 3" xfId="297"/>
    <cellStyle name="常规 7 3 3 2" xfId="484"/>
    <cellStyle name="常规 7 3 3 2 2" xfId="856"/>
    <cellStyle name="常规 7 3 3 2 2 2" xfId="1806"/>
    <cellStyle name="常规 7 3 3 2 2 2 2" xfId="3596"/>
    <cellStyle name="常规 7 3 3 2 2 3" xfId="2657"/>
    <cellStyle name="常规 7 3 3 2 3" xfId="1437"/>
    <cellStyle name="常规 7 3 3 2 3 2" xfId="3227"/>
    <cellStyle name="常规 7 3 3 2 4" xfId="2288"/>
    <cellStyle name="常规 7 3 3 3" xfId="673"/>
    <cellStyle name="常规 7 3 3 3 2" xfId="1623"/>
    <cellStyle name="常规 7 3 3 3 2 2" xfId="3413"/>
    <cellStyle name="常规 7 3 3 3 3" xfId="2474"/>
    <cellStyle name="常规 7 3 3 4" xfId="1255"/>
    <cellStyle name="常规 7 3 3 4 2" xfId="3044"/>
    <cellStyle name="常规 7 3 3 5" xfId="2106"/>
    <cellStyle name="常规 7 3 4" xfId="392"/>
    <cellStyle name="常规 7 3 4 2" xfId="765"/>
    <cellStyle name="常规 7 3 4 2 2" xfId="1715"/>
    <cellStyle name="常规 7 3 4 2 2 2" xfId="3505"/>
    <cellStyle name="常规 7 3 4 2 3" xfId="2566"/>
    <cellStyle name="常规 7 3 4 3" xfId="1346"/>
    <cellStyle name="常规 7 3 4 3 2" xfId="3136"/>
    <cellStyle name="常规 7 3 4 4" xfId="2197"/>
    <cellStyle name="常规 7 3 5" xfId="581"/>
    <cellStyle name="常规 7 3 5 2" xfId="1532"/>
    <cellStyle name="常规 7 3 5 2 2" xfId="3322"/>
    <cellStyle name="常规 7 3 5 3" xfId="2383"/>
    <cellStyle name="常规 7 3 6" xfId="958"/>
    <cellStyle name="常规 7 3 6 2" xfId="1908"/>
    <cellStyle name="常规 7 3 6 2 2" xfId="3697"/>
    <cellStyle name="常规 7 3 6 3" xfId="2758"/>
    <cellStyle name="常规 7 3 7" xfId="1044"/>
    <cellStyle name="常规 7 3 7 2" xfId="1990"/>
    <cellStyle name="常规 7 3 7 2 2" xfId="3780"/>
    <cellStyle name="常规 7 3 7 3" xfId="2841"/>
    <cellStyle name="常规 7 3 8" xfId="1142"/>
    <cellStyle name="常规 7 3 8 2" xfId="2953"/>
    <cellStyle name="常规 7 3 9" xfId="204"/>
    <cellStyle name="常规 7 4" xfId="118"/>
    <cellStyle name="常规 7 4 2" xfId="319"/>
    <cellStyle name="常规 7 4 2 2" xfId="505"/>
    <cellStyle name="常规 7 4 2 2 2" xfId="877"/>
    <cellStyle name="常规 7 4 2 2 2 2" xfId="1827"/>
    <cellStyle name="常规 7 4 2 2 2 2 2" xfId="3617"/>
    <cellStyle name="常规 7 4 2 2 2 3" xfId="2678"/>
    <cellStyle name="常规 7 4 2 2 3" xfId="1458"/>
    <cellStyle name="常规 7 4 2 2 3 2" xfId="3248"/>
    <cellStyle name="常规 7 4 2 2 4" xfId="2309"/>
    <cellStyle name="常规 7 4 2 3" xfId="694"/>
    <cellStyle name="常规 7 4 2 3 2" xfId="1644"/>
    <cellStyle name="常规 7 4 2 3 2 2" xfId="3434"/>
    <cellStyle name="常规 7 4 2 3 3" xfId="2495"/>
    <cellStyle name="常规 7 4 2 4" xfId="1276"/>
    <cellStyle name="常规 7 4 2 4 2" xfId="3065"/>
    <cellStyle name="常规 7 4 2 5" xfId="2127"/>
    <cellStyle name="常规 7 4 3" xfId="414"/>
    <cellStyle name="常规 7 4 3 2" xfId="786"/>
    <cellStyle name="常规 7 4 3 2 2" xfId="1736"/>
    <cellStyle name="常规 7 4 3 2 2 2" xfId="3526"/>
    <cellStyle name="常规 7 4 3 2 3" xfId="2587"/>
    <cellStyle name="常规 7 4 3 3" xfId="1367"/>
    <cellStyle name="常规 7 4 3 3 2" xfId="3157"/>
    <cellStyle name="常规 7 4 3 4" xfId="2218"/>
    <cellStyle name="常规 7 4 4" xfId="603"/>
    <cellStyle name="常规 7 4 4 2" xfId="1553"/>
    <cellStyle name="常规 7 4 4 2 2" xfId="3343"/>
    <cellStyle name="常规 7 4 4 3" xfId="2404"/>
    <cellStyle name="常规 7 4 5" xfId="979"/>
    <cellStyle name="常规 7 4 5 2" xfId="1929"/>
    <cellStyle name="常规 7 4 5 2 2" xfId="3718"/>
    <cellStyle name="常规 7 4 5 3" xfId="2779"/>
    <cellStyle name="常规 7 4 6" xfId="1077"/>
    <cellStyle name="常规 7 4 6 2" xfId="2023"/>
    <cellStyle name="常规 7 4 6 2 2" xfId="3813"/>
    <cellStyle name="常规 7 4 6 3" xfId="2874"/>
    <cellStyle name="常规 7 4 7" xfId="1175"/>
    <cellStyle name="常规 7 4 7 2" xfId="2974"/>
    <cellStyle name="常规 7 4 8" xfId="225"/>
    <cellStyle name="常规 7 5" xfId="279"/>
    <cellStyle name="常规 7 5 2" xfId="467"/>
    <cellStyle name="常规 7 5 2 2" xfId="839"/>
    <cellStyle name="常规 7 5 2 2 2" xfId="1789"/>
    <cellStyle name="常规 7 5 2 2 2 2" xfId="3579"/>
    <cellStyle name="常规 7 5 2 2 3" xfId="2640"/>
    <cellStyle name="常规 7 5 2 3" xfId="1420"/>
    <cellStyle name="常规 7 5 2 3 2" xfId="3210"/>
    <cellStyle name="常规 7 5 2 4" xfId="2271"/>
    <cellStyle name="常规 7 5 3" xfId="656"/>
    <cellStyle name="常规 7 5 3 2" xfId="1606"/>
    <cellStyle name="常规 7 5 3 2 2" xfId="3396"/>
    <cellStyle name="常规 7 5 3 3" xfId="2457"/>
    <cellStyle name="常规 7 5 4" xfId="1238"/>
    <cellStyle name="常规 7 5 4 2" xfId="3027"/>
    <cellStyle name="常规 7 5 5" xfId="2089"/>
    <cellStyle name="常规 7 6" xfId="374"/>
    <cellStyle name="常规 7 6 2" xfId="748"/>
    <cellStyle name="常规 7 6 2 2" xfId="1698"/>
    <cellStyle name="常规 7 6 2 2 2" xfId="3488"/>
    <cellStyle name="常规 7 6 2 3" xfId="2549"/>
    <cellStyle name="常规 7 6 3" xfId="1329"/>
    <cellStyle name="常规 7 6 3 2" xfId="3119"/>
    <cellStyle name="常规 7 6 4" xfId="2180"/>
    <cellStyle name="常规 7 7" xfId="563"/>
    <cellStyle name="常规 7 7 2" xfId="1515"/>
    <cellStyle name="常规 7 7 2 2" xfId="3305"/>
    <cellStyle name="常规 7 7 3" xfId="2366"/>
    <cellStyle name="常规 7 8" xfId="939"/>
    <cellStyle name="常规 7 8 2" xfId="1889"/>
    <cellStyle name="常规 7 8 2 2" xfId="3678"/>
    <cellStyle name="常规 7 8 3" xfId="2739"/>
    <cellStyle name="常规 7 9" xfId="1025"/>
    <cellStyle name="常规 7 9 2" xfId="1971"/>
    <cellStyle name="常规 7 9 2 2" xfId="3761"/>
    <cellStyle name="常规 7 9 3" xfId="2822"/>
    <cellStyle name="常规 8" xfId="62"/>
    <cellStyle name="常规 9" xfId="61"/>
    <cellStyle name="常规 9 10" xfId="1026"/>
    <cellStyle name="常规 9 10 2" xfId="1972"/>
    <cellStyle name="常规 9 10 2 2" xfId="3762"/>
    <cellStyle name="常规 9 10 3" xfId="2823"/>
    <cellStyle name="常规 9 11" xfId="1124"/>
    <cellStyle name="常规 9 11 2" xfId="2937"/>
    <cellStyle name="常规 9 11 3" xfId="1221"/>
    <cellStyle name="常规 9 12" xfId="187"/>
    <cellStyle name="常规 9 2" xfId="80"/>
    <cellStyle name="常规 9 2 10" xfId="195"/>
    <cellStyle name="常规 9 2 2" xfId="99"/>
    <cellStyle name="常规 9 2 2 2" xfId="143"/>
    <cellStyle name="常规 9 2 2 2 2" xfId="346"/>
    <cellStyle name="常规 9 2 2 2 2 2" xfId="532"/>
    <cellStyle name="常规 9 2 2 2 2 2 2" xfId="904"/>
    <cellStyle name="常规 9 2 2 2 2 2 2 2" xfId="1854"/>
    <cellStyle name="常规 9 2 2 2 2 2 2 2 2" xfId="3644"/>
    <cellStyle name="常规 9 2 2 2 2 2 2 3" xfId="2705"/>
    <cellStyle name="常规 9 2 2 2 2 2 3" xfId="1485"/>
    <cellStyle name="常规 9 2 2 2 2 2 3 2" xfId="3275"/>
    <cellStyle name="常规 9 2 2 2 2 2 4" xfId="2336"/>
    <cellStyle name="常规 9 2 2 2 2 3" xfId="721"/>
    <cellStyle name="常规 9 2 2 2 2 3 2" xfId="1671"/>
    <cellStyle name="常规 9 2 2 2 2 3 2 2" xfId="3461"/>
    <cellStyle name="常规 9 2 2 2 2 3 3" xfId="2522"/>
    <cellStyle name="常规 9 2 2 2 2 4" xfId="1303"/>
    <cellStyle name="常规 9 2 2 2 2 4 2" xfId="3092"/>
    <cellStyle name="常规 9 2 2 2 2 5" xfId="2154"/>
    <cellStyle name="常规 9 2 2 2 3" xfId="441"/>
    <cellStyle name="常规 9 2 2 2 3 2" xfId="813"/>
    <cellStyle name="常规 9 2 2 2 3 2 2" xfId="1763"/>
    <cellStyle name="常规 9 2 2 2 3 2 2 2" xfId="3553"/>
    <cellStyle name="常规 9 2 2 2 3 2 3" xfId="2614"/>
    <cellStyle name="常规 9 2 2 2 3 3" xfId="1394"/>
    <cellStyle name="常规 9 2 2 2 3 3 2" xfId="3184"/>
    <cellStyle name="常规 9 2 2 2 3 4" xfId="2245"/>
    <cellStyle name="常规 9 2 2 2 4" xfId="630"/>
    <cellStyle name="常规 9 2 2 2 4 2" xfId="1580"/>
    <cellStyle name="常规 9 2 2 2 4 2 2" xfId="3370"/>
    <cellStyle name="常规 9 2 2 2 4 3" xfId="2431"/>
    <cellStyle name="常规 9 2 2 2 5" xfId="1004"/>
    <cellStyle name="常规 9 2 2 2 5 2" xfId="1954"/>
    <cellStyle name="常规 9 2 2 2 5 2 2" xfId="3743"/>
    <cellStyle name="常规 9 2 2 2 5 3" xfId="2804"/>
    <cellStyle name="常规 9 2 2 2 6" xfId="1102"/>
    <cellStyle name="常规 9 2 2 2 6 2" xfId="2048"/>
    <cellStyle name="常规 9 2 2 2 6 2 2" xfId="3838"/>
    <cellStyle name="常规 9 2 2 2 6 3" xfId="2899"/>
    <cellStyle name="常规 9 2 2 2 7" xfId="1200"/>
    <cellStyle name="常规 9 2 2 2 7 2" xfId="3001"/>
    <cellStyle name="常规 9 2 2 2 8" xfId="252"/>
    <cellStyle name="常规 9 2 2 3" xfId="305"/>
    <cellStyle name="常规 9 2 2 3 2" xfId="492"/>
    <cellStyle name="常规 9 2 2 3 2 2" xfId="864"/>
    <cellStyle name="常规 9 2 2 3 2 2 2" xfId="1814"/>
    <cellStyle name="常规 9 2 2 3 2 2 2 2" xfId="3604"/>
    <cellStyle name="常规 9 2 2 3 2 2 3" xfId="2665"/>
    <cellStyle name="常规 9 2 2 3 2 3" xfId="1445"/>
    <cellStyle name="常规 9 2 2 3 2 3 2" xfId="3235"/>
    <cellStyle name="常规 9 2 2 3 2 4" xfId="2296"/>
    <cellStyle name="常规 9 2 2 3 3" xfId="681"/>
    <cellStyle name="常规 9 2 2 3 3 2" xfId="1631"/>
    <cellStyle name="常规 9 2 2 3 3 2 2" xfId="3421"/>
    <cellStyle name="常规 9 2 2 3 3 3" xfId="2482"/>
    <cellStyle name="常规 9 2 2 3 4" xfId="1263"/>
    <cellStyle name="常规 9 2 2 3 4 2" xfId="3052"/>
    <cellStyle name="常规 9 2 2 3 5" xfId="2114"/>
    <cellStyle name="常规 9 2 2 4" xfId="400"/>
    <cellStyle name="常规 9 2 2 4 2" xfId="773"/>
    <cellStyle name="常规 9 2 2 4 2 2" xfId="1723"/>
    <cellStyle name="常规 9 2 2 4 2 2 2" xfId="3513"/>
    <cellStyle name="常规 9 2 2 4 2 3" xfId="2574"/>
    <cellStyle name="常规 9 2 2 4 3" xfId="1354"/>
    <cellStyle name="常规 9 2 2 4 3 2" xfId="3144"/>
    <cellStyle name="常规 9 2 2 4 4" xfId="2205"/>
    <cellStyle name="常规 9 2 2 5" xfId="589"/>
    <cellStyle name="常规 9 2 2 5 2" xfId="1540"/>
    <cellStyle name="常规 9 2 2 5 2 2" xfId="3330"/>
    <cellStyle name="常规 9 2 2 5 3" xfId="2391"/>
    <cellStyle name="常规 9 2 2 6" xfId="966"/>
    <cellStyle name="常规 9 2 2 6 2" xfId="1916"/>
    <cellStyle name="常规 9 2 2 6 2 2" xfId="3705"/>
    <cellStyle name="常规 9 2 2 6 3" xfId="2766"/>
    <cellStyle name="常规 9 2 2 7" xfId="1052"/>
    <cellStyle name="常规 9 2 2 7 2" xfId="1998"/>
    <cellStyle name="常规 9 2 2 7 2 2" xfId="3788"/>
    <cellStyle name="常规 9 2 2 7 3" xfId="2849"/>
    <cellStyle name="常规 9 2 2 8" xfId="1150"/>
    <cellStyle name="常规 9 2 2 8 2" xfId="2961"/>
    <cellStyle name="常规 9 2 2 9" xfId="212"/>
    <cellStyle name="常规 9 2 3" xfId="128"/>
    <cellStyle name="常规 9 2 3 2" xfId="331"/>
    <cellStyle name="常规 9 2 3 2 2" xfId="517"/>
    <cellStyle name="常规 9 2 3 2 2 2" xfId="889"/>
    <cellStyle name="常规 9 2 3 2 2 2 2" xfId="1839"/>
    <cellStyle name="常规 9 2 3 2 2 2 2 2" xfId="3629"/>
    <cellStyle name="常规 9 2 3 2 2 2 3" xfId="2690"/>
    <cellStyle name="常规 9 2 3 2 2 3" xfId="1470"/>
    <cellStyle name="常规 9 2 3 2 2 3 2" xfId="3260"/>
    <cellStyle name="常规 9 2 3 2 2 4" xfId="2321"/>
    <cellStyle name="常规 9 2 3 2 3" xfId="706"/>
    <cellStyle name="常规 9 2 3 2 3 2" xfId="1656"/>
    <cellStyle name="常规 9 2 3 2 3 2 2" xfId="3446"/>
    <cellStyle name="常规 9 2 3 2 3 3" xfId="2507"/>
    <cellStyle name="常规 9 2 3 2 4" xfId="1288"/>
    <cellStyle name="常规 9 2 3 2 4 2" xfId="3077"/>
    <cellStyle name="常规 9 2 3 2 5" xfId="2139"/>
    <cellStyle name="常规 9 2 3 3" xfId="426"/>
    <cellStyle name="常规 9 2 3 3 2" xfId="798"/>
    <cellStyle name="常规 9 2 3 3 2 2" xfId="1748"/>
    <cellStyle name="常规 9 2 3 3 2 2 2" xfId="3538"/>
    <cellStyle name="常规 9 2 3 3 2 3" xfId="2599"/>
    <cellStyle name="常规 9 2 3 3 3" xfId="1379"/>
    <cellStyle name="常规 9 2 3 3 3 2" xfId="3169"/>
    <cellStyle name="常规 9 2 3 3 4" xfId="2230"/>
    <cellStyle name="常规 9 2 3 4" xfId="615"/>
    <cellStyle name="常规 9 2 3 4 2" xfId="1565"/>
    <cellStyle name="常规 9 2 3 4 2 2" xfId="3355"/>
    <cellStyle name="常规 9 2 3 4 3" xfId="2416"/>
    <cellStyle name="常规 9 2 3 5" xfId="989"/>
    <cellStyle name="常规 9 2 3 5 2" xfId="1939"/>
    <cellStyle name="常规 9 2 3 5 2 2" xfId="3728"/>
    <cellStyle name="常规 9 2 3 5 3" xfId="2789"/>
    <cellStyle name="常规 9 2 3 6" xfId="1087"/>
    <cellStyle name="常规 9 2 3 6 2" xfId="2033"/>
    <cellStyle name="常规 9 2 3 6 2 2" xfId="3823"/>
    <cellStyle name="常规 9 2 3 6 3" xfId="2884"/>
    <cellStyle name="常规 9 2 3 7" xfId="1185"/>
    <cellStyle name="常规 9 2 3 7 2" xfId="2986"/>
    <cellStyle name="常规 9 2 3 8" xfId="237"/>
    <cellStyle name="常规 9 2 4" xfId="288"/>
    <cellStyle name="常规 9 2 4 2" xfId="475"/>
    <cellStyle name="常规 9 2 4 2 2" xfId="847"/>
    <cellStyle name="常规 9 2 4 2 2 2" xfId="1797"/>
    <cellStyle name="常规 9 2 4 2 2 2 2" xfId="3587"/>
    <cellStyle name="常规 9 2 4 2 2 3" xfId="2648"/>
    <cellStyle name="常规 9 2 4 2 3" xfId="1428"/>
    <cellStyle name="常规 9 2 4 2 3 2" xfId="3218"/>
    <cellStyle name="常规 9 2 4 2 4" xfId="2279"/>
    <cellStyle name="常规 9 2 4 3" xfId="664"/>
    <cellStyle name="常规 9 2 4 3 2" xfId="1614"/>
    <cellStyle name="常规 9 2 4 3 2 2" xfId="3404"/>
    <cellStyle name="常规 9 2 4 3 3" xfId="2465"/>
    <cellStyle name="常规 9 2 4 4" xfId="1246"/>
    <cellStyle name="常规 9 2 4 4 2" xfId="3035"/>
    <cellStyle name="常规 9 2 4 5" xfId="2097"/>
    <cellStyle name="常规 9 2 5" xfId="383"/>
    <cellStyle name="常规 9 2 5 2" xfId="756"/>
    <cellStyle name="常规 9 2 5 2 2" xfId="1706"/>
    <cellStyle name="常规 9 2 5 2 2 2" xfId="3496"/>
    <cellStyle name="常规 9 2 5 2 3" xfId="2557"/>
    <cellStyle name="常规 9 2 5 3" xfId="1337"/>
    <cellStyle name="常规 9 2 5 3 2" xfId="3127"/>
    <cellStyle name="常规 9 2 5 4" xfId="2188"/>
    <cellStyle name="常规 9 2 6" xfId="572"/>
    <cellStyle name="常规 9 2 6 2" xfId="1523"/>
    <cellStyle name="常规 9 2 6 2 2" xfId="3313"/>
    <cellStyle name="常规 9 2 6 3" xfId="2374"/>
    <cellStyle name="常规 9 2 7" xfId="951"/>
    <cellStyle name="常规 9 2 7 2" xfId="1901"/>
    <cellStyle name="常规 9 2 7 2 2" xfId="3690"/>
    <cellStyle name="常规 9 2 7 3" xfId="2751"/>
    <cellStyle name="常规 9 2 8" xfId="1037"/>
    <cellStyle name="常规 9 2 8 2" xfId="1983"/>
    <cellStyle name="常规 9 2 8 2 2" xfId="3773"/>
    <cellStyle name="常规 9 2 8 3" xfId="2834"/>
    <cellStyle name="常规 9 2 9" xfId="1135"/>
    <cellStyle name="常规 9 2 9 2" xfId="2944"/>
    <cellStyle name="常规 9 3" xfId="90"/>
    <cellStyle name="常规 9 3 2" xfId="136"/>
    <cellStyle name="常规 9 3 2 2" xfId="339"/>
    <cellStyle name="常规 9 3 2 2 2" xfId="525"/>
    <cellStyle name="常规 9 3 2 2 2 2" xfId="897"/>
    <cellStyle name="常规 9 3 2 2 2 2 2" xfId="1847"/>
    <cellStyle name="常规 9 3 2 2 2 2 2 2" xfId="3637"/>
    <cellStyle name="常规 9 3 2 2 2 2 3" xfId="2698"/>
    <cellStyle name="常规 9 3 2 2 2 3" xfId="1478"/>
    <cellStyle name="常规 9 3 2 2 2 3 2" xfId="3268"/>
    <cellStyle name="常规 9 3 2 2 2 4" xfId="2329"/>
    <cellStyle name="常规 9 3 2 2 3" xfId="714"/>
    <cellStyle name="常规 9 3 2 2 3 2" xfId="1664"/>
    <cellStyle name="常规 9 3 2 2 3 2 2" xfId="3454"/>
    <cellStyle name="常规 9 3 2 2 3 3" xfId="2515"/>
    <cellStyle name="常规 9 3 2 2 4" xfId="1296"/>
    <cellStyle name="常规 9 3 2 2 4 2" xfId="3085"/>
    <cellStyle name="常规 9 3 2 2 5" xfId="2147"/>
    <cellStyle name="常规 9 3 2 3" xfId="434"/>
    <cellStyle name="常规 9 3 2 3 2" xfId="806"/>
    <cellStyle name="常规 9 3 2 3 2 2" xfId="1756"/>
    <cellStyle name="常规 9 3 2 3 2 2 2" xfId="3546"/>
    <cellStyle name="常规 9 3 2 3 2 3" xfId="2607"/>
    <cellStyle name="常规 9 3 2 3 3" xfId="1387"/>
    <cellStyle name="常规 9 3 2 3 3 2" xfId="3177"/>
    <cellStyle name="常规 9 3 2 3 4" xfId="2238"/>
    <cellStyle name="常规 9 3 2 4" xfId="623"/>
    <cellStyle name="常规 9 3 2 4 2" xfId="1573"/>
    <cellStyle name="常规 9 3 2 4 2 2" xfId="3363"/>
    <cellStyle name="常规 9 3 2 4 3" xfId="2424"/>
    <cellStyle name="常规 9 3 2 5" xfId="997"/>
    <cellStyle name="常规 9 3 2 5 2" xfId="1947"/>
    <cellStyle name="常规 9 3 2 5 2 2" xfId="3736"/>
    <cellStyle name="常规 9 3 2 5 3" xfId="2797"/>
    <cellStyle name="常规 9 3 2 6" xfId="1095"/>
    <cellStyle name="常规 9 3 2 6 2" xfId="2041"/>
    <cellStyle name="常规 9 3 2 6 2 2" xfId="3831"/>
    <cellStyle name="常规 9 3 2 6 3" xfId="2892"/>
    <cellStyle name="常规 9 3 2 7" xfId="1193"/>
    <cellStyle name="常规 9 3 2 7 2" xfId="2994"/>
    <cellStyle name="常规 9 3 2 8" xfId="245"/>
    <cellStyle name="常规 9 3 3" xfId="298"/>
    <cellStyle name="常规 9 3 3 2" xfId="485"/>
    <cellStyle name="常规 9 3 3 2 2" xfId="857"/>
    <cellStyle name="常规 9 3 3 2 2 2" xfId="1807"/>
    <cellStyle name="常规 9 3 3 2 2 2 2" xfId="3597"/>
    <cellStyle name="常规 9 3 3 2 2 3" xfId="2658"/>
    <cellStyle name="常规 9 3 3 2 3" xfId="1438"/>
    <cellStyle name="常规 9 3 3 2 3 2" xfId="3228"/>
    <cellStyle name="常规 9 3 3 2 4" xfId="2289"/>
    <cellStyle name="常规 9 3 3 3" xfId="674"/>
    <cellStyle name="常规 9 3 3 3 2" xfId="1624"/>
    <cellStyle name="常规 9 3 3 3 2 2" xfId="3414"/>
    <cellStyle name="常规 9 3 3 3 3" xfId="2475"/>
    <cellStyle name="常规 9 3 3 4" xfId="1256"/>
    <cellStyle name="常规 9 3 3 4 2" xfId="3045"/>
    <cellStyle name="常规 9 3 3 5" xfId="2107"/>
    <cellStyle name="常规 9 3 4" xfId="393"/>
    <cellStyle name="常规 9 3 4 2" xfId="766"/>
    <cellStyle name="常规 9 3 4 2 2" xfId="1716"/>
    <cellStyle name="常规 9 3 4 2 2 2" xfId="3506"/>
    <cellStyle name="常规 9 3 4 2 3" xfId="2567"/>
    <cellStyle name="常规 9 3 4 3" xfId="1347"/>
    <cellStyle name="常规 9 3 4 3 2" xfId="3137"/>
    <cellStyle name="常规 9 3 4 4" xfId="2198"/>
    <cellStyle name="常规 9 3 5" xfId="582"/>
    <cellStyle name="常规 9 3 5 2" xfId="1533"/>
    <cellStyle name="常规 9 3 5 2 2" xfId="3323"/>
    <cellStyle name="常规 9 3 5 3" xfId="2384"/>
    <cellStyle name="常规 9 3 6" xfId="959"/>
    <cellStyle name="常规 9 3 6 2" xfId="1909"/>
    <cellStyle name="常规 9 3 6 2 2" xfId="3698"/>
    <cellStyle name="常规 9 3 6 3" xfId="2759"/>
    <cellStyle name="常规 9 3 7" xfId="1045"/>
    <cellStyle name="常规 9 3 7 2" xfId="1991"/>
    <cellStyle name="常规 9 3 7 2 2" xfId="3781"/>
    <cellStyle name="常规 9 3 7 3" xfId="2842"/>
    <cellStyle name="常规 9 3 8" xfId="1143"/>
    <cellStyle name="常规 9 3 8 2" xfId="2954"/>
    <cellStyle name="常规 9 3 9" xfId="205"/>
    <cellStyle name="常规 9 4" xfId="73"/>
    <cellStyle name="常规 9 4 2" xfId="328"/>
    <cellStyle name="常规 9 4 2 2" xfId="514"/>
    <cellStyle name="常规 9 4 2 2 2" xfId="886"/>
    <cellStyle name="常规 9 4 2 2 2 2" xfId="1836"/>
    <cellStyle name="常规 9 4 2 2 2 2 2" xfId="3626"/>
    <cellStyle name="常规 9 4 2 2 2 3" xfId="2687"/>
    <cellStyle name="常规 9 4 2 2 3" xfId="1467"/>
    <cellStyle name="常规 9 4 2 2 3 2" xfId="3257"/>
    <cellStyle name="常规 9 4 2 2 4" xfId="2318"/>
    <cellStyle name="常规 9 4 2 3" xfId="703"/>
    <cellStyle name="常规 9 4 2 3 2" xfId="1653"/>
    <cellStyle name="常规 9 4 2 3 2 2" xfId="3443"/>
    <cellStyle name="常规 9 4 2 3 3" xfId="2504"/>
    <cellStyle name="常规 9 4 2 4" xfId="1285"/>
    <cellStyle name="常规 9 4 2 4 2" xfId="3074"/>
    <cellStyle name="常规 9 4 2 5" xfId="2136"/>
    <cellStyle name="常规 9 4 3" xfId="423"/>
    <cellStyle name="常规 9 4 3 2" xfId="795"/>
    <cellStyle name="常规 9 4 3 2 2" xfId="1745"/>
    <cellStyle name="常规 9 4 3 2 2 2" xfId="3535"/>
    <cellStyle name="常规 9 4 3 2 3" xfId="2596"/>
    <cellStyle name="常规 9 4 3 3" xfId="1376"/>
    <cellStyle name="常规 9 4 3 3 2" xfId="3166"/>
    <cellStyle name="常规 9 4 3 4" xfId="2227"/>
    <cellStyle name="常规 9 4 4" xfId="612"/>
    <cellStyle name="常规 9 4 4 2" xfId="1562"/>
    <cellStyle name="常规 9 4 4 2 2" xfId="3352"/>
    <cellStyle name="常规 9 4 4 3" xfId="2413"/>
    <cellStyle name="常规 9 4 5" xfId="948"/>
    <cellStyle name="常规 9 4 5 2" xfId="1898"/>
    <cellStyle name="常规 9 4 5 2 2" xfId="3687"/>
    <cellStyle name="常规 9 4 5 3" xfId="2748"/>
    <cellStyle name="常规 9 4 6" xfId="1034"/>
    <cellStyle name="常规 9 4 6 2" xfId="1980"/>
    <cellStyle name="常规 9 4 6 2 2" xfId="3770"/>
    <cellStyle name="常规 9 4 6 3" xfId="2831"/>
    <cellStyle name="常规 9 4 7" xfId="1132"/>
    <cellStyle name="常规 9 4 7 2" xfId="2983"/>
    <cellStyle name="常规 9 4 8" xfId="234"/>
    <cellStyle name="常规 9 5" xfId="119"/>
    <cellStyle name="常规 9 5 2" xfId="320"/>
    <cellStyle name="常规 9 5 2 2" xfId="506"/>
    <cellStyle name="常规 9 5 2 2 2" xfId="878"/>
    <cellStyle name="常规 9 5 2 2 2 2" xfId="1828"/>
    <cellStyle name="常规 9 5 2 2 2 2 2" xfId="3618"/>
    <cellStyle name="常规 9 5 2 2 2 3" xfId="2679"/>
    <cellStyle name="常规 9 5 2 2 3" xfId="1459"/>
    <cellStyle name="常规 9 5 2 2 3 2" xfId="3249"/>
    <cellStyle name="常规 9 5 2 2 4" xfId="2310"/>
    <cellStyle name="常规 9 5 2 3" xfId="695"/>
    <cellStyle name="常规 9 5 2 3 2" xfId="1645"/>
    <cellStyle name="常规 9 5 2 3 2 2" xfId="3435"/>
    <cellStyle name="常规 9 5 2 3 3" xfId="2496"/>
    <cellStyle name="常规 9 5 2 4" xfId="1277"/>
    <cellStyle name="常规 9 5 2 4 2" xfId="3066"/>
    <cellStyle name="常规 9 5 2 5" xfId="2128"/>
    <cellStyle name="常规 9 5 3" xfId="415"/>
    <cellStyle name="常规 9 5 3 2" xfId="787"/>
    <cellStyle name="常规 9 5 3 2 2" xfId="1737"/>
    <cellStyle name="常规 9 5 3 2 2 2" xfId="3527"/>
    <cellStyle name="常规 9 5 3 2 3" xfId="2588"/>
    <cellStyle name="常规 9 5 3 3" xfId="1368"/>
    <cellStyle name="常规 9 5 3 3 2" xfId="3158"/>
    <cellStyle name="常规 9 5 3 4" xfId="2219"/>
    <cellStyle name="常规 9 5 4" xfId="604"/>
    <cellStyle name="常规 9 5 4 2" xfId="1554"/>
    <cellStyle name="常规 9 5 4 2 2" xfId="3344"/>
    <cellStyle name="常规 9 5 4 3" xfId="2405"/>
    <cellStyle name="常规 9 5 5" xfId="980"/>
    <cellStyle name="常规 9 5 5 2" xfId="1930"/>
    <cellStyle name="常规 9 5 5 2 2" xfId="3719"/>
    <cellStyle name="常规 9 5 5 3" xfId="2780"/>
    <cellStyle name="常规 9 5 6" xfId="1078"/>
    <cellStyle name="常规 9 5 6 2" xfId="2024"/>
    <cellStyle name="常规 9 5 6 2 2" xfId="3814"/>
    <cellStyle name="常规 9 5 6 3" xfId="2875"/>
    <cellStyle name="常规 9 5 7" xfId="1176"/>
    <cellStyle name="常规 9 5 7 2" xfId="2975"/>
    <cellStyle name="常规 9 5 8" xfId="226"/>
    <cellStyle name="常规 9 6" xfId="280"/>
    <cellStyle name="常规 9 6 2" xfId="468"/>
    <cellStyle name="常规 9 6 2 2" xfId="840"/>
    <cellStyle name="常规 9 6 2 2 2" xfId="1790"/>
    <cellStyle name="常规 9 6 2 2 2 2" xfId="3580"/>
    <cellStyle name="常规 9 6 2 2 3" xfId="2641"/>
    <cellStyle name="常规 9 6 2 3" xfId="1421"/>
    <cellStyle name="常规 9 6 2 3 2" xfId="3211"/>
    <cellStyle name="常规 9 6 2 4" xfId="2272"/>
    <cellStyle name="常规 9 6 3" xfId="657"/>
    <cellStyle name="常规 9 6 3 2" xfId="1607"/>
    <cellStyle name="常规 9 6 3 2 2" xfId="3397"/>
    <cellStyle name="常规 9 6 3 3" xfId="2458"/>
    <cellStyle name="常规 9 6 4" xfId="1239"/>
    <cellStyle name="常规 9 6 4 2" xfId="3028"/>
    <cellStyle name="常规 9 6 5" xfId="2090"/>
    <cellStyle name="常规 9 7" xfId="375"/>
    <cellStyle name="常规 9 7 2" xfId="749"/>
    <cellStyle name="常规 9 7 2 2" xfId="1699"/>
    <cellStyle name="常规 9 7 2 2 2" xfId="3489"/>
    <cellStyle name="常规 9 7 2 3" xfId="2550"/>
    <cellStyle name="常规 9 7 3" xfId="1330"/>
    <cellStyle name="常规 9 7 3 2" xfId="3120"/>
    <cellStyle name="常规 9 7 4" xfId="2181"/>
    <cellStyle name="常规 9 8" xfId="564"/>
    <cellStyle name="常规 9 8 2" xfId="1516"/>
    <cellStyle name="常规 9 8 2 2" xfId="3306"/>
    <cellStyle name="常规 9 8 3" xfId="2367"/>
    <cellStyle name="常规 9 9" xfId="940"/>
    <cellStyle name="常规 9 9 2" xfId="1890"/>
    <cellStyle name="常规 9 9 2 2" xfId="3679"/>
    <cellStyle name="常规 9 9 3" xfId="2740"/>
    <cellStyle name="好" xfId="9" builtinId="26" customBuiltin="1"/>
    <cellStyle name="汇总" xfId="19" builtinId="25" customBuiltin="1"/>
    <cellStyle name="计算" xfId="14" builtinId="22" customBuiltin="1"/>
    <cellStyle name="检查单元格" xfId="16" builtinId="23" customBuiltin="1"/>
    <cellStyle name="解释性文本" xfId="18" builtinId="53" customBuiltin="1"/>
    <cellStyle name="警告文本" xfId="17" builtinId="11" customBuiltin="1"/>
    <cellStyle name="链接单元格" xfId="15" builtinId="24" customBuiltin="1"/>
    <cellStyle name="千位分隔" xfId="3859" builtinId="3"/>
    <cellStyle name="千位分隔 10" xfId="1210"/>
    <cellStyle name="千位分隔 10 2" xfId="1871"/>
    <cellStyle name="千位分隔 11" xfId="921"/>
    <cellStyle name="千位分隔 12" xfId="168"/>
    <cellStyle name="千位分隔 2" xfId="47"/>
    <cellStyle name="千位分隔 2 2" xfId="71"/>
    <cellStyle name="千位分隔 2 3" xfId="58"/>
    <cellStyle name="千位分隔 2 4" xfId="112"/>
    <cellStyle name="千位分隔 3" xfId="50"/>
    <cellStyle name="千位分隔 3 2" xfId="72"/>
    <cellStyle name="千位分隔 3 3" xfId="59"/>
    <cellStyle name="千位分隔 3 4" xfId="113"/>
    <cellStyle name="千位分隔 4" xfId="86"/>
    <cellStyle name="千位分隔 4 2" xfId="133"/>
    <cellStyle name="千位分隔 4 2 2" xfId="336"/>
    <cellStyle name="千位分隔 4 2 2 2" xfId="522"/>
    <cellStyle name="千位分隔 4 2 2 2 2" xfId="894"/>
    <cellStyle name="千位分隔 4 2 2 2 2 2" xfId="1844"/>
    <cellStyle name="千位分隔 4 2 2 2 2 2 2" xfId="3634"/>
    <cellStyle name="千位分隔 4 2 2 2 2 3" xfId="2695"/>
    <cellStyle name="千位分隔 4 2 2 2 3" xfId="1475"/>
    <cellStyle name="千位分隔 4 2 2 2 3 2" xfId="3265"/>
    <cellStyle name="千位分隔 4 2 2 2 4" xfId="2326"/>
    <cellStyle name="千位分隔 4 2 2 3" xfId="711"/>
    <cellStyle name="千位分隔 4 2 2 3 2" xfId="1661"/>
    <cellStyle name="千位分隔 4 2 2 3 2 2" xfId="3451"/>
    <cellStyle name="千位分隔 4 2 2 3 3" xfId="2512"/>
    <cellStyle name="千位分隔 4 2 2 4" xfId="1293"/>
    <cellStyle name="千位分隔 4 2 2 4 2" xfId="3082"/>
    <cellStyle name="千位分隔 4 2 2 5" xfId="2144"/>
    <cellStyle name="千位分隔 4 2 3" xfId="431"/>
    <cellStyle name="千位分隔 4 2 3 2" xfId="803"/>
    <cellStyle name="千位分隔 4 2 3 2 2" xfId="1753"/>
    <cellStyle name="千位分隔 4 2 3 2 2 2" xfId="3543"/>
    <cellStyle name="千位分隔 4 2 3 2 3" xfId="2604"/>
    <cellStyle name="千位分隔 4 2 3 3" xfId="1384"/>
    <cellStyle name="千位分隔 4 2 3 3 2" xfId="3174"/>
    <cellStyle name="千位分隔 4 2 3 4" xfId="2235"/>
    <cellStyle name="千位分隔 4 2 4" xfId="620"/>
    <cellStyle name="千位分隔 4 2 4 2" xfId="1570"/>
    <cellStyle name="千位分隔 4 2 4 2 2" xfId="3360"/>
    <cellStyle name="千位分隔 4 2 4 3" xfId="2421"/>
    <cellStyle name="千位分隔 4 2 5" xfId="994"/>
    <cellStyle name="千位分隔 4 2 5 2" xfId="1944"/>
    <cellStyle name="千位分隔 4 2 5 2 2" xfId="3733"/>
    <cellStyle name="千位分隔 4 2 5 3" xfId="2794"/>
    <cellStyle name="千位分隔 4 2 6" xfId="1092"/>
    <cellStyle name="千位分隔 4 2 6 2" xfId="2038"/>
    <cellStyle name="千位分隔 4 2 6 2 2" xfId="3828"/>
    <cellStyle name="千位分隔 4 2 6 3" xfId="2889"/>
    <cellStyle name="千位分隔 4 2 7" xfId="1190"/>
    <cellStyle name="千位分隔 4 2 7 2" xfId="2991"/>
    <cellStyle name="千位分隔 4 2 8" xfId="242"/>
    <cellStyle name="千位分隔 4 3" xfId="293"/>
    <cellStyle name="千位分隔 4 3 2" xfId="480"/>
    <cellStyle name="千位分隔 4 3 2 2" xfId="852"/>
    <cellStyle name="千位分隔 4 3 2 2 2" xfId="1802"/>
    <cellStyle name="千位分隔 4 3 2 2 2 2" xfId="3592"/>
    <cellStyle name="千位分隔 4 3 2 2 3" xfId="2653"/>
    <cellStyle name="千位分隔 4 3 2 3" xfId="1433"/>
    <cellStyle name="千位分隔 4 3 2 3 2" xfId="3223"/>
    <cellStyle name="千位分隔 4 3 2 4" xfId="2284"/>
    <cellStyle name="千位分隔 4 3 3" xfId="669"/>
    <cellStyle name="千位分隔 4 3 3 2" xfId="1619"/>
    <cellStyle name="千位分隔 4 3 3 2 2" xfId="3409"/>
    <cellStyle name="千位分隔 4 3 3 3" xfId="2470"/>
    <cellStyle name="千位分隔 4 3 4" xfId="1251"/>
    <cellStyle name="千位分隔 4 3 4 2" xfId="3040"/>
    <cellStyle name="千位分隔 4 3 5" xfId="2102"/>
    <cellStyle name="千位分隔 4 4" xfId="388"/>
    <cellStyle name="千位分隔 4 4 2" xfId="761"/>
    <cellStyle name="千位分隔 4 4 2 2" xfId="1711"/>
    <cellStyle name="千位分隔 4 4 2 2 2" xfId="3501"/>
    <cellStyle name="千位分隔 4 4 2 3" xfId="2562"/>
    <cellStyle name="千位分隔 4 4 3" xfId="1342"/>
    <cellStyle name="千位分隔 4 4 3 2" xfId="3132"/>
    <cellStyle name="千位分隔 4 4 4" xfId="2193"/>
    <cellStyle name="千位分隔 4 5" xfId="577"/>
    <cellStyle name="千位分隔 4 5 2" xfId="1528"/>
    <cellStyle name="千位分隔 4 5 2 2" xfId="3318"/>
    <cellStyle name="千位分隔 4 5 3" xfId="2379"/>
    <cellStyle name="千位分隔 4 6" xfId="956"/>
    <cellStyle name="千位分隔 4 6 2" xfId="1906"/>
    <cellStyle name="千位分隔 4 6 2 2" xfId="3695"/>
    <cellStyle name="千位分隔 4 6 3" xfId="2756"/>
    <cellStyle name="千位分隔 4 7" xfId="1042"/>
    <cellStyle name="千位分隔 4 7 2" xfId="1988"/>
    <cellStyle name="千位分隔 4 7 2 2" xfId="3778"/>
    <cellStyle name="千位分隔 4 7 3" xfId="2839"/>
    <cellStyle name="千位分隔 4 8" xfId="1140"/>
    <cellStyle name="千位分隔 4 8 2" xfId="2949"/>
    <cellStyle name="千位分隔 4 9" xfId="200"/>
    <cellStyle name="千位分隔 5" xfId="105"/>
    <cellStyle name="千位分隔 6" xfId="160"/>
    <cellStyle name="千位分隔 6 2" xfId="1019"/>
    <cellStyle name="千位分隔 6 2 2" xfId="1966"/>
    <cellStyle name="千位分隔 6 2 2 2" xfId="3755"/>
    <cellStyle name="千位分隔 6 2 3" xfId="2816"/>
    <cellStyle name="千位分隔 6 3" xfId="1115"/>
    <cellStyle name="千位分隔 6 3 2" xfId="2060"/>
    <cellStyle name="千位分隔 6 3 2 2" xfId="3851"/>
    <cellStyle name="千位分隔 6 3 3" xfId="2912"/>
    <cellStyle name="千位分隔 6 4" xfId="1213"/>
    <cellStyle name="千位分隔 6 5" xfId="310"/>
    <cellStyle name="千位分隔 7" xfId="156"/>
    <cellStyle name="千位分隔 7 2" xfId="1016"/>
    <cellStyle name="千位分隔 7 3" xfId="405"/>
    <cellStyle name="千位分隔 8" xfId="163"/>
    <cellStyle name="千位分隔 8 2" xfId="1216"/>
    <cellStyle name="千位分隔 8 3" xfId="594"/>
    <cellStyle name="千位分隔 9" xfId="166"/>
    <cellStyle name="千位分隔 9 2" xfId="1112"/>
    <cellStyle name="千位分隔 9 2 2" xfId="3848"/>
    <cellStyle name="千位分隔 9 3" xfId="2909"/>
    <cellStyle name="强调文字颜色 1" xfId="20" builtinId="29" customBuiltin="1"/>
    <cellStyle name="强调文字颜色 2" xfId="24" builtinId="33" customBuiltin="1"/>
    <cellStyle name="强调文字颜色 3" xfId="28" builtinId="37" customBuiltin="1"/>
    <cellStyle name="强调文字颜色 4" xfId="32" builtinId="41" customBuiltin="1"/>
    <cellStyle name="强调文字颜色 5" xfId="36" builtinId="45" customBuiltin="1"/>
    <cellStyle name="强调文字颜色 6" xfId="40" builtinId="49" customBuiltin="1"/>
    <cellStyle name="适中" xfId="11" builtinId="28" customBuiltin="1"/>
    <cellStyle name="输出" xfId="13" builtinId="21" customBuiltin="1"/>
    <cellStyle name="输入" xfId="12" builtinId="20" customBuiltin="1"/>
    <cellStyle name="注释 2" xfId="152"/>
    <cellStyle name="注释 2 2" xfId="354"/>
    <cellStyle name="注释 2 2 2" xfId="540"/>
    <cellStyle name="注释 2 2 2 2" xfId="912"/>
    <cellStyle name="注释 2 2 2 2 2" xfId="1862"/>
    <cellStyle name="注释 2 2 2 2 2 2" xfId="3652"/>
    <cellStyle name="注释 2 2 2 2 3" xfId="2713"/>
    <cellStyle name="注释 2 2 2 3" xfId="1493"/>
    <cellStyle name="注释 2 2 2 3 2" xfId="3283"/>
    <cellStyle name="注释 2 2 2 4" xfId="2344"/>
    <cellStyle name="注释 2 2 3" xfId="729"/>
    <cellStyle name="注释 2 2 3 2" xfId="1679"/>
    <cellStyle name="注释 2 2 3 2 2" xfId="3469"/>
    <cellStyle name="注释 2 2 3 3" xfId="2530"/>
    <cellStyle name="注释 2 2 4" xfId="1311"/>
    <cellStyle name="注释 2 2 4 2" xfId="3100"/>
    <cellStyle name="注释 2 2 5" xfId="2162"/>
    <cellStyle name="注释 2 3" xfId="449"/>
    <cellStyle name="注释 2 3 2" xfId="821"/>
    <cellStyle name="注释 2 3 2 2" xfId="1771"/>
    <cellStyle name="注释 2 3 2 2 2" xfId="3561"/>
    <cellStyle name="注释 2 3 2 3" xfId="2622"/>
    <cellStyle name="注释 2 3 3" xfId="1402"/>
    <cellStyle name="注释 2 3 3 2" xfId="3192"/>
    <cellStyle name="注释 2 3 4" xfId="2253"/>
    <cellStyle name="注释 2 4" xfId="638"/>
    <cellStyle name="注释 2 4 2" xfId="1588"/>
    <cellStyle name="注释 2 4 2 2" xfId="3378"/>
    <cellStyle name="注释 2 4 3" xfId="2439"/>
    <cellStyle name="注释 2 5" xfId="1012"/>
    <cellStyle name="注释 2 5 2" xfId="1962"/>
    <cellStyle name="注释 2 5 2 2" xfId="3751"/>
    <cellStyle name="注释 2 5 3" xfId="2812"/>
    <cellStyle name="注释 2 6" xfId="1110"/>
    <cellStyle name="注释 2 6 2" xfId="2056"/>
    <cellStyle name="注释 2 6 2 2" xfId="3846"/>
    <cellStyle name="注释 2 6 3" xfId="2907"/>
    <cellStyle name="注释 2 7" xfId="1208"/>
    <cellStyle name="注释 2 7 2" xfId="3009"/>
    <cellStyle name="注释 2 8" xfId="260"/>
  </cellStyles>
  <dxfs count="9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  <color rgb="FFFF99FF"/>
      <color rgb="FFCC0099"/>
      <color rgb="FFCC3399"/>
      <color rgb="FF993366"/>
      <color rgb="FFFF66CC"/>
      <color rgb="FFFF00FF"/>
      <color rgb="FFFFFF00"/>
      <color rgb="FFFFCC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3707</v>
        <stp/>
        <stp>IF2004.CFE</stp>
        <stp>Ask_Price1</stp>
        <tr r="S27" s="1"/>
      </tp>
      <tp>
        <v>5019.4000000000005</v>
        <stp/>
        <stp>IC2005.CFE</stp>
        <stp>Ask_Price1</stp>
        <tr r="S4" s="1"/>
      </tp>
      <tp>
        <v>5069</v>
        <stp/>
        <stp>IC2004.CFE</stp>
        <stp>Ask_Price1</stp>
        <tr r="S3" s="1"/>
        <tr r="S22" s="1"/>
      </tp>
      <tp>
        <v>2703.8</v>
        <stp/>
        <stp>IH2004.CFE</stp>
        <stp>Ask_Price1</stp>
        <tr r="S32" s="1"/>
      </tp>
      <tp>
        <v>2703.4</v>
        <stp/>
        <stp>IH2004.CFE</stp>
        <stp>Bid_Price1</stp>
        <tr r="R32" s="1"/>
      </tp>
      <tp>
        <v>5068.4000000000005</v>
        <stp/>
        <stp>IC2004.CFE</stp>
        <stp>Bid_Price1</stp>
        <tr r="R22" s="1"/>
        <tr r="R3" s="1"/>
      </tp>
      <tp>
        <v>5009</v>
        <stp/>
        <stp>IC2005.CFE</stp>
        <stp>Bid_Price1</stp>
        <tr r="R4" s="1"/>
      </tp>
      <tp>
        <v>3706.4</v>
        <stp/>
        <stp>IF2004.CFE</stp>
        <stp>Bid_Price1</stp>
        <tr r="R27" s="1"/>
      </tp>
      <tp>
        <v>0</v>
        <stp/>
        <stp>IO2003-C-3300.CFE</stp>
        <stp>Volume</stp>
        <tr r="H9" s="17"/>
        <tr r="H6" s="17"/>
      </tp>
    </main>
    <main first="tdf.quote">
      <tp t="e">
        <v>#N/A</v>
        <stp/>
        <stp>801880</stp>
        <stp>price</stp>
        <stp>1</stp>
        <tr r="E20" s="6"/>
      </tp>
      <tp t="e">
        <v>#N/A</v>
        <stp/>
        <stp>801890</stp>
        <stp>price</stp>
        <stp>1</stp>
        <tr r="E13" s="6"/>
      </tp>
      <tp t="e">
        <v>#N/A</v>
        <stp/>
        <stp>801200</stp>
        <stp>price</stp>
        <stp>1</stp>
        <tr r="E22" s="6"/>
      </tp>
      <tp t="e">
        <v>#N/A</v>
        <stp/>
        <stp>801210</stp>
        <stp>price</stp>
        <stp>1</stp>
        <tr r="E25" s="6"/>
      </tp>
      <tp t="e">
        <v>#N/A</v>
        <stp/>
        <stp>801230</stp>
        <stp>price</stp>
        <stp>1</stp>
        <tr r="E29" s="6"/>
      </tp>
      <tp t="e">
        <v>#N/A</v>
        <stp/>
        <stp>801080</stp>
        <stp>price</stp>
        <stp>1</stp>
        <tr r="E5" s="6"/>
      </tp>
      <tp t="e">
        <v>#N/A</v>
        <stp/>
        <stp>801010</stp>
        <stp>price</stp>
        <stp>1</stp>
        <tr r="E19" s="6"/>
      </tp>
      <tp t="e">
        <v>#N/A</v>
        <stp/>
        <stp>801020</stp>
        <stp>price</stp>
        <stp>1</stp>
        <tr r="E2" s="6"/>
      </tp>
      <tp t="e">
        <v>#N/A</v>
        <stp/>
        <stp>801030</stp>
        <stp>price</stp>
        <stp>1</stp>
        <tr r="E12" s="6"/>
      </tp>
      <tp t="e">
        <v>#N/A</v>
        <stp/>
        <stp>801040</stp>
        <stp>price</stp>
        <stp>1</stp>
        <tr r="E9" s="6"/>
      </tp>
      <tp t="e">
        <v>#N/A</v>
        <stp/>
        <stp>801050</stp>
        <stp>price</stp>
        <stp>1</stp>
        <tr r="E28" s="6"/>
      </tp>
      <tp t="e">
        <v>#N/A</v>
        <stp/>
        <stp>801180</stp>
        <stp>price</stp>
        <stp>1</stp>
        <tr r="E6" s="6"/>
      </tp>
      <tp t="e">
        <v>#N/A</v>
        <stp/>
        <stp>801110</stp>
        <stp>price</stp>
        <stp>1</stp>
        <tr r="E15" s="6"/>
      </tp>
      <tp t="e">
        <v>#N/A</v>
        <stp/>
        <stp>801120</stp>
        <stp>price</stp>
        <stp>1</stp>
        <tr r="E23" s="6"/>
      </tp>
      <tp t="e">
        <v>#N/A</v>
        <stp/>
        <stp>801130</stp>
        <stp>price</stp>
        <stp>1</stp>
        <tr r="E7" s="6"/>
      </tp>
      <tp t="e">
        <v>#N/A</v>
        <stp/>
        <stp>801140</stp>
        <stp>price</stp>
        <stp>1</stp>
        <tr r="E21" s="6"/>
      </tp>
      <tp t="e">
        <v>#N/A</v>
        <stp/>
        <stp>801150</stp>
        <stp>price</stp>
        <stp>1</stp>
        <tr r="E26" s="6"/>
      </tp>
      <tp t="e">
        <v>#N/A</v>
        <stp/>
        <stp>801160</stp>
        <stp>price</stp>
        <stp>1</stp>
        <tr r="E10" s="6"/>
      </tp>
      <tp t="e">
        <v>#N/A</v>
        <stp/>
        <stp>801170</stp>
        <stp>price</stp>
        <stp>1</stp>
        <tr r="E18" s="6"/>
      </tp>
    </main>
    <main first="wdf.rtq">
      <tp>
        <v>0</v>
        <stp/>
        <stp>IO2003-C-3300.CFE</stp>
        <stp>LastPrice</stp>
        <tr r="G9" s="17"/>
        <tr r="G6" s="17"/>
      </tp>
    </main>
    <main first="tdf.quote">
      <tp t="e">
        <v>#N/A</v>
        <stp/>
        <stp>801780</stp>
        <stp>price</stp>
        <stp>1</stp>
        <tr r="E27" s="6"/>
      </tp>
      <tp t="e">
        <v>#N/A</v>
        <stp/>
        <stp>801790</stp>
        <stp>price</stp>
        <stp>1</stp>
        <tr r="E8" s="6"/>
      </tp>
      <tp t="e">
        <v>#N/A</v>
        <stp/>
        <stp>801710</stp>
        <stp>price</stp>
        <stp>1</stp>
        <tr r="E16" s="6"/>
      </tp>
      <tp t="e">
        <v>#N/A</v>
        <stp/>
        <stp>801720</stp>
        <stp>price</stp>
        <stp>1</stp>
        <tr r="E17" s="6"/>
      </tp>
      <tp t="e">
        <v>#N/A</v>
        <stp/>
        <stp>801730</stp>
        <stp>price</stp>
        <stp>1</stp>
        <tr r="E4" s="6"/>
      </tp>
      <tp t="e">
        <v>#N/A</v>
        <stp/>
        <stp>801740</stp>
        <stp>price</stp>
        <stp>1</stp>
        <tr r="E11" s="6"/>
      </tp>
      <tp t="e">
        <v>#N/A</v>
        <stp/>
        <stp>801750</stp>
        <stp>price</stp>
        <stp>1</stp>
        <tr r="E14" s="6"/>
      </tp>
      <tp t="e">
        <v>#N/A</v>
        <stp/>
        <stp>801760</stp>
        <stp>price</stp>
        <stp>1</stp>
        <tr r="E3" s="6"/>
      </tp>
      <tp t="e">
        <v>#N/A</v>
        <stp/>
        <stp>801770</stp>
        <stp>price</stp>
        <stp>1</stp>
        <tr r="E24" s="6"/>
      </tp>
    </main>
    <main first="wdf.rtq">
      <tp>
        <v>2661</v>
        <stp/>
        <stp>IH2006.CFE</stp>
        <stp>Rt_Price</stp>
        <tr r="F35" s="1"/>
        <tr r="F35" s="1"/>
      </tp>
      <tp>
        <v>3608.2000000000003</v>
        <stp/>
        <stp>IF2009.CFE</stp>
        <stp>Rt_Price</stp>
        <tr r="F31" s="1"/>
        <tr r="F31" s="1"/>
      </tp>
      <tp>
        <v>2703.8</v>
        <stp/>
        <stp>IH2004.CFE</stp>
        <stp>Rt_Price</stp>
        <tr r="F33" s="1"/>
        <tr r="F33" s="1"/>
      </tp>
      <tp>
        <v>2693.6</v>
        <stp/>
        <stp>IH2005.CFE</stp>
        <stp>Rt_Price</stp>
        <tr r="F34" s="1"/>
        <tr r="F34" s="1"/>
      </tp>
      <tp>
        <v>4828</v>
        <stp/>
        <stp>IC2009.CFE</stp>
        <stp>Rt_Price</stp>
        <tr r="F26" s="1"/>
        <tr r="F26" s="1"/>
      </tp>
      <tp>
        <v>5018.2</v>
        <stp/>
        <stp>IC2005.CFE</stp>
        <stp>Rt_Price</stp>
        <tr r="F24" s="1"/>
        <tr r="F24" s="1"/>
      </tp>
      <tp>
        <v>5068.4000000000005</v>
        <stp/>
        <stp>IC2004.CFE</stp>
        <stp>Rt_Price</stp>
        <tr r="F23" s="1"/>
        <tr r="F23" s="1"/>
      </tp>
      <tp>
        <v>4949.6000000000004</v>
        <stp/>
        <stp>IC2006.CFE</stp>
        <stp>Rt_Price</stp>
        <tr r="F25" s="1"/>
        <tr r="F25" s="1"/>
      </tp>
      <tp>
        <v>3706.4</v>
        <stp/>
        <stp>IF2004.CFE</stp>
        <stp>Rt_Price</stp>
        <tr r="F28" s="1"/>
        <tr r="F28" s="1"/>
      </tp>
      <tp>
        <v>3692</v>
        <stp/>
        <stp>IF2005.CFE</stp>
        <stp>Rt_Price</stp>
        <tr r="F29" s="1"/>
        <tr r="F29" s="1"/>
      </tp>
      <tp>
        <v>3665</v>
        <stp/>
        <stp>IF2006.CFE</stp>
        <stp>Rt_Price</stp>
        <tr r="F30" s="1"/>
        <tr r="F30" s="1"/>
      </tp>
      <tp>
        <v>2618</v>
        <stp/>
        <stp>IH2009.CFE</stp>
        <stp>Rt_Price</stp>
        <tr r="F36" s="1"/>
        <tr r="F36" s="1"/>
      </tp>
      <tp>
        <v>5011</v>
        <stp/>
        <stp>IC2006.CFE</stp>
        <stp>PreClose</stp>
        <tr r="D25" s="1"/>
        <tr r="D25" s="1"/>
      </tp>
      <tp>
        <v>5081.2</v>
        <stp/>
        <stp>IC2005.CFE</stp>
        <stp>PreClose</stp>
        <tr r="D24" s="1"/>
        <tr r="D24" s="1"/>
      </tp>
      <tp>
        <v>5130.4000000000005</v>
        <stp/>
        <stp>IC2004.CFE</stp>
        <stp>PreClose</stp>
        <tr r="D23" s="1"/>
        <tr r="D23" s="1"/>
      </tp>
      <tp>
        <v>3683</v>
        <stp/>
        <stp>IF2006.CFE</stp>
        <stp>PreClose</stp>
        <tr r="D30" s="1"/>
        <tr r="D30" s="1"/>
      </tp>
      <tp>
        <v>2626</v>
        <stp/>
        <stp>IH2009.CFE</stp>
        <stp>PreClose</stp>
        <tr r="D36" s="1"/>
        <tr r="D36" s="1"/>
      </tp>
      <tp>
        <v>3726.8</v>
        <stp/>
        <stp>IF2004.CFE</stp>
        <stp>PreClose</stp>
        <tr r="D28" s="1"/>
        <tr r="D28" s="1"/>
      </tp>
      <tp>
        <v>3713</v>
        <stp/>
        <stp>IF2005.CFE</stp>
        <stp>PreClose</stp>
        <tr r="D29" s="1"/>
        <tr r="D29" s="1"/>
      </tp>
      <tp>
        <v>2711.2000000000003</v>
        <stp/>
        <stp>IH2004.CFE</stp>
        <stp>PreClose</stp>
        <tr r="D33" s="1"/>
        <tr r="D33" s="1"/>
      </tp>
      <tp>
        <v>2699.4</v>
        <stp/>
        <stp>IH2005.CFE</stp>
        <stp>PreClose</stp>
        <tr r="D34" s="1"/>
        <tr r="D34" s="1"/>
      </tp>
      <tp>
        <v>2669.2000000000003</v>
        <stp/>
        <stp>IH2006.CFE</stp>
        <stp>PreClose</stp>
        <tr r="D35" s="1"/>
        <tr r="D35" s="1"/>
      </tp>
      <tp>
        <v>3625.8</v>
        <stp/>
        <stp>IF2009.CFE</stp>
        <stp>PreClose</stp>
        <tr r="D31" s="1"/>
        <tr r="D31" s="1"/>
      </tp>
      <tp>
        <v>4890</v>
        <stp/>
        <stp>IC2009.CFE</stp>
        <stp>PreClose</stp>
        <tr r="D26" s="1"/>
        <tr r="D26" s="1"/>
      </tp>
      <tp>
        <v>0</v>
        <stp/>
        <stp>IO2003-C-3300.CFE</stp>
        <stp>Ask_Volume1</stp>
        <tr r="L9" s="17"/>
        <tr r="L6" s="17"/>
      </tp>
      <tp t="e">
        <v>#N/A</v>
        <stp/>
        <stp>Stock.ALL</stp>
        <stp>Amount</stp>
        <tr r="G11" s="1"/>
      </tp>
      <tp t="e">
        <v>#N/A</v>
        <stp/>
        <stp>Stock.ALL</stp>
        <stp>Rt_Price</stp>
        <tr r="F11" s="1"/>
      </tp>
      <tp>
        <v>0</v>
        <stp/>
        <stp>IO2003-C-3300.CFE</stp>
        <stp>Bid_Volume1</stp>
        <tr r="J9" s="17"/>
        <tr r="J6" s="17"/>
      </tp>
      <tp>
        <v>0</v>
        <stp/>
        <stp>IO2003-C-3300.CFE</stp>
        <stp>Bid_Price1</stp>
        <tr r="I9" s="17"/>
        <tr r="I6" s="17"/>
      </tp>
      <tp>
        <v>0</v>
        <stp/>
        <stp>IO2003-C-3300.CFE</stp>
        <stp>Ask_Price1</stp>
        <tr r="K9" s="17"/>
        <tr r="K6" s="17"/>
      </tp>
      <tp>
        <v>3724.32</v>
        <stp/>
        <stp>000300.SH</stp>
        <stp>LastPrice</stp>
        <tr r="G2" s="17"/>
      </tp>
      <tp>
        <v>0</v>
        <stp/>
        <stp>IO2003-C-3300.CFE</stp>
        <stp>ImpliedVol</stp>
        <tr r="M9" s="17"/>
        <tr r="M6" s="17"/>
      </tp>
      <tp>
        <v>439305840</v>
        <stp/>
        <stp>IH2005.CFE</stp>
        <stp>Amount</stp>
        <tr r="G34" s="1"/>
      </tp>
      <tp>
        <v>12362045640</v>
        <stp/>
        <stp>IH2004.CFE</stp>
        <stp>Amount</stp>
        <tr r="G33" s="1"/>
      </tp>
      <tp>
        <v>1997071200</v>
        <stp/>
        <stp>IF2009.CFE</stp>
        <stp>Amount</stp>
        <tr r="G31" s="1"/>
      </tp>
      <tp>
        <v>2120103660</v>
        <stp/>
        <stp>IH2006.CFE</stp>
        <stp>Amount</stp>
        <tr r="G35" s="1"/>
      </tp>
      <tp>
        <v>4616014600</v>
        <stp/>
        <stp>IC2009.CFE</stp>
        <stp>Amount</stp>
        <tr r="G26" s="1"/>
      </tp>
      <tp>
        <v>9031930480</v>
        <stp/>
        <stp>IC2006.CFE</stp>
        <stp>Amount</stp>
        <tr r="G25" s="1"/>
      </tp>
      <tp>
        <v>50131161960</v>
        <stp/>
        <stp>IC2004.CFE</stp>
        <stp>Amount</stp>
        <tr r="G23" s="1"/>
      </tp>
      <tp>
        <v>1861704720</v>
        <stp/>
        <stp>IC2005.CFE</stp>
        <stp>Amount</stp>
        <tr r="G24" s="1"/>
      </tp>
      <tp>
        <v>1049772540</v>
        <stp/>
        <stp>IH2009.CFE</stp>
        <stp>Amount</stp>
        <tr r="G36" s="1"/>
      </tp>
      <tp>
        <v>6905711400</v>
        <stp/>
        <stp>IF2006.CFE</stp>
        <stp>Amount</stp>
        <tr r="G30" s="1"/>
      </tp>
      <tp>
        <v>1430023620</v>
        <stp/>
        <stp>IF2005.CFE</stp>
        <stp>Amount</stp>
        <tr r="G29" s="1"/>
      </tp>
      <tp>
        <v>51420211020</v>
        <stp/>
        <stp>IF2004.CFE</stp>
        <stp>Amount</stp>
        <tr r="G28" s="1"/>
      </tp>
      <tp>
        <v>3.7110000000000003</v>
        <stp/>
        <stp>510300.SH</stp>
        <stp>LastPrice</stp>
        <tr r="G3" s="17"/>
      </tp>
      <tp>
        <v>3.7680000000000002</v>
        <stp/>
        <stp>159919.SZ</stp>
        <stp>LastPrice</stp>
        <tr r="G4" s="17"/>
      </tp>
      <tp>
        <v>-0.39</v>
        <stp/>
        <stp>801890.SI</stp>
        <stp>PctChg</stp>
        <tr r="D13" s="6"/>
      </tp>
      <tp>
        <v>-0.64</v>
        <stp/>
        <stp>801880.SI</stp>
        <stp>PctChg</stp>
        <tr r="D20" s="6"/>
      </tp>
      <tp>
        <v>0.95</v>
        <stp/>
        <stp>801210.SI</stp>
        <stp>PctChg</stp>
        <tr r="D25" s="6"/>
      </tp>
      <tp>
        <v>0.18000000000000002</v>
        <stp/>
        <stp>801200.SI</stp>
        <stp>PctChg</stp>
        <tr r="D22" s="6"/>
      </tp>
      <tp>
        <v>0.62000000000000011</v>
        <stp/>
        <stp>801230.SI</stp>
        <stp>PctChg</stp>
        <tr r="D29" s="6"/>
      </tp>
      <tp>
        <v>1.52</v>
        <stp/>
        <stp>801150.SI</stp>
        <stp>PctChg</stp>
        <tr r="D26" s="6"/>
      </tp>
      <tp>
        <v>-0.31000000000000005</v>
        <stp/>
        <stp>801140.SI</stp>
        <stp>PctChg</stp>
        <tr r="D21" s="6"/>
      </tp>
      <tp>
        <v>0.08</v>
        <stp/>
        <stp>801170.SI</stp>
        <stp>PctChg</stp>
        <tr r="D18" s="6"/>
      </tp>
      <tp>
        <v>-0.44</v>
        <stp/>
        <stp>801160.SI</stp>
        <stp>PctChg</stp>
        <tr r="D10" s="6"/>
      </tp>
      <tp>
        <v>-0.22999999999999998</v>
        <stp/>
        <stp>801110.SI</stp>
        <stp>PctChg</stp>
        <tr r="D15" s="6"/>
      </tp>
      <tp>
        <v>0.52</v>
        <stp/>
        <stp>801130.SI</stp>
        <stp>PctChg</stp>
        <tr r="D7" s="6"/>
      </tp>
      <tp>
        <v>0.8</v>
        <stp/>
        <stp>801120.SI</stp>
        <stp>PctChg</stp>
        <tr r="D23" s="6"/>
      </tp>
      <tp>
        <v>-0.04</v>
        <stp/>
        <stp>801180.SI</stp>
        <stp>PctChg</stp>
        <tr r="D6" s="6"/>
      </tp>
      <tp>
        <v>6.9999999999999993E-2</v>
        <stp/>
        <stp>801050.SI</stp>
        <stp>PctChg</stp>
        <tr r="D28" s="6"/>
      </tp>
      <tp>
        <v>-0.32</v>
        <stp/>
        <stp>801040.SI</stp>
        <stp>PctChg</stp>
        <tr r="D9" s="6"/>
      </tp>
      <tp>
        <v>2.2600000000000002</v>
        <stp/>
        <stp>801010.SI</stp>
        <stp>PctChg</stp>
        <tr r="D19" s="6"/>
      </tp>
      <tp>
        <v>-0.11</v>
        <stp/>
        <stp>801030.SI</stp>
        <stp>PctChg</stp>
        <tr r="D12" s="6"/>
      </tp>
      <tp>
        <v>-1.03</v>
        <stp/>
        <stp>801020.SI</stp>
        <stp>PctChg</stp>
        <tr r="D2" s="6"/>
      </tp>
      <tp>
        <v>-1.4400000000000002</v>
        <stp/>
        <stp>801080.SI</stp>
        <stp>PctChg</stp>
        <tr r="D5" s="6"/>
      </tp>
      <tp>
        <v>-1.28</v>
        <stp/>
        <stp>801750.SI</stp>
        <stp>PctChg</stp>
        <tr r="D14" s="6"/>
      </tp>
      <tp>
        <v>-0.73</v>
        <stp/>
        <stp>801740.SI</stp>
        <stp>PctChg</stp>
        <tr r="D11" s="6"/>
      </tp>
      <tp>
        <v>-2</v>
        <stp/>
        <stp>801770.SI</stp>
        <stp>PctChg</stp>
        <tr r="D24" s="6"/>
      </tp>
      <tp>
        <v>-1.29</v>
        <stp/>
        <stp>801760.SI</stp>
        <stp>PctChg</stp>
        <tr r="D3" s="6"/>
      </tp>
      <tp>
        <v>-0.57000000000000006</v>
        <stp/>
        <stp>801710.SI</stp>
        <stp>PctChg</stp>
        <tr r="D16" s="6"/>
      </tp>
      <tp>
        <v>-1.46</v>
        <stp/>
        <stp>801730.SI</stp>
        <stp>PctChg</stp>
        <tr r="D4" s="6"/>
      </tp>
      <tp>
        <v>-0.86</v>
        <stp/>
        <stp>801720.SI</stp>
        <stp>PctChg</stp>
        <tr r="D17" s="6"/>
      </tp>
      <tp>
        <v>-1.1199999999999999</v>
        <stp/>
        <stp>801790.SI</stp>
        <stp>PctChg</stp>
        <tr r="D8" s="6"/>
      </tp>
      <tp>
        <v>-0.51</v>
        <stp/>
        <stp>801780.SI</stp>
        <stp>PctChg</stp>
        <tr r="D27" s="6"/>
      </tp>
      <tp>
        <v>-0.27</v>
        <stp/>
        <stp>000300.SH</stp>
        <stp>PctChg</stp>
        <tr r="I2" s="17"/>
      </tp>
      <tp>
        <v>-0.32</v>
        <stp/>
        <stp>510300.SH</stp>
        <stp>PctChg</stp>
        <tr r="I3" s="17"/>
      </tp>
      <tp>
        <v>-0.53</v>
        <stp/>
        <stp>159919.SZ</stp>
        <stp>PctChg</stp>
        <tr r="I4" s="17"/>
      </tp>
      <tp>
        <v>1538733</v>
        <stp/>
        <stp>150171.SZ</stp>
        <stp>Amount</stp>
        <tr r="G7" s="1"/>
      </tp>
      <tp>
        <v>69563089000</v>
        <stp/>
        <stp>000905.SH</stp>
        <stp>Amount</stp>
        <tr r="G22" s="1"/>
      </tp>
      <tp>
        <v>0</v>
        <stp/>
        <stp>122267.SH</stp>
        <stp>Amount</stp>
        <tr r="G9" s="1"/>
      </tp>
      <tp>
        <v>23625891400</v>
        <stp/>
        <stp>000016.SH</stp>
        <stp>Amount</stp>
        <tr r="G32" s="1"/>
      </tp>
      <tp>
        <v>92822608300</v>
        <stp/>
        <stp>000300.SH</stp>
        <stp>Amount</stp>
        <tr r="G27" s="1"/>
      </tp>
      <tp>
        <v>582534206</v>
        <stp/>
        <stp>510500.SH</stp>
        <stp>Amount</stp>
        <tr r="G37" s="1"/>
      </tp>
      <tp>
        <v>545750173</v>
        <stp/>
        <stp>510300.SH</stp>
        <stp>Amount</stp>
        <tr r="G38" s="1"/>
      </tp>
      <tp>
        <v>131466983600</v>
        <stp/>
        <stp>000001.SH</stp>
        <stp>Amount</stp>
        <tr r="G41" s="1"/>
      </tp>
      <tp>
        <v>410108759</v>
        <stp/>
        <stp>510050.SH</stp>
        <stp>Amount</stp>
        <tr r="G39" s="1"/>
      </tp>
      <tp>
        <v>3449430519</v>
        <stp/>
        <stp>511880.SH</stp>
        <stp>Amount</stp>
        <tr r="G5" s="1"/>
      </tp>
      <tp>
        <v>3517090986</v>
        <stp/>
        <stp>511990.SH</stp>
        <stp>Amount</stp>
        <tr r="G6" s="1"/>
      </tp>
      <tp>
        <v>88776574800</v>
        <stp/>
        <stp>000852.SH</stp>
        <stp>Amount</stp>
        <tr r="G42" s="1"/>
      </tp>
      <tp>
        <v>71463633100</v>
        <stp/>
        <stp>399006.SZ</stp>
        <stp>Amount</stp>
        <tr r="G40" s="1"/>
      </tp>
      <tp>
        <v>0</v>
        <stp/>
        <stp>122078.SH</stp>
        <stp>Amount</stp>
        <tr r="G8" s="1"/>
      </tp>
      <tp>
        <v>0</v>
        <stp/>
        <stp>122267.SH</stp>
        <stp>PreClose</stp>
        <tr r="D9" s="1"/>
      </tp>
      <tp>
        <v>0</v>
        <stp/>
        <stp>122267.SH</stp>
        <stp>Rt_Price</stp>
        <tr r="F9" s="1"/>
      </tp>
      <tp>
        <v>3.7229999999999999</v>
        <stp/>
        <stp>510300.SH</stp>
        <stp>PreClose</stp>
        <tr r="D38" s="1"/>
        <tr r="D38" s="1"/>
      </tp>
      <tp>
        <v>3734.53</v>
        <stp/>
        <stp>000300.SH</stp>
        <stp>PreClose</stp>
        <tr r="D27" s="1"/>
        <tr r="D27" s="1"/>
      </tp>
      <tp>
        <v>3.7110000000000003</v>
        <stp/>
        <stp>510300.SH</stp>
        <stp>Rt_Price</stp>
        <tr r="F38" s="1"/>
        <tr r="F38" s="1"/>
      </tp>
      <tp>
        <v>3724.32</v>
        <stp/>
        <stp>000300.SH</stp>
        <stp>Rt_Price</stp>
        <tr r="F27" s="1"/>
        <tr r="F27" s="1"/>
      </tp>
      <tp>
        <v>0</v>
        <stp/>
        <stp>122078.SH</stp>
        <stp>PreClose</stp>
        <tr r="D8" s="1"/>
      </tp>
      <tp>
        <v>1.835</v>
        <stp/>
        <stp>204001.SH</stp>
        <stp>PreClose</stp>
        <tr r="D2" s="1"/>
      </tp>
      <tp>
        <v>1.72</v>
        <stp/>
        <stp>204002.SH</stp>
        <stp>PreClose</stp>
        <tr r="D3" s="1"/>
      </tp>
      <tp>
        <v>1.6850000000000001</v>
        <stp/>
        <stp>204004.SH</stp>
        <stp>PreClose</stp>
        <tr r="D4" s="1"/>
      </tp>
      <tp>
        <v>2780.64</v>
        <stp/>
        <stp>000001.SH</stp>
        <stp>PreClose</stp>
        <tr r="D41" s="1"/>
        <tr r="D41" s="1"/>
      </tp>
      <tp>
        <v>2.706</v>
        <stp/>
        <stp>510050.SH</stp>
        <stp>PreClose</stp>
        <tr r="D39" s="1"/>
        <tr r="D39" s="1"/>
      </tp>
      <tp>
        <v>2719.89</v>
        <stp/>
        <stp>000016.SH</stp>
        <stp>PreClose</stp>
        <tr r="D32" s="1"/>
        <tr r="D32" s="1"/>
      </tp>
      <tp>
        <v>1916.95</v>
        <stp/>
        <stp>399006.SZ</stp>
        <stp>PreClose</stp>
        <tr r="D40" s="1"/>
        <tr r="D40" s="1"/>
      </tp>
      <tp>
        <v>0</v>
        <stp/>
        <stp>122078.SH</stp>
        <stp>Rt_Price</stp>
        <tr r="F8" s="1"/>
      </tp>
      <tp>
        <v>2771.34</v>
        <stp/>
        <stp>000001.SH</stp>
        <stp>Rt_Price</stp>
        <tr r="F41" s="1"/>
        <tr r="F41" s="1"/>
      </tp>
      <tp>
        <v>2.7</v>
        <stp/>
        <stp>510050.SH</stp>
        <stp>Rt_Price</stp>
        <tr r="F39" s="1"/>
        <tr r="F39" s="1"/>
      </tp>
      <tp>
        <v>2714.79</v>
        <stp/>
        <stp>000016.SH</stp>
        <stp>Rt_Price</stp>
        <tr r="F32" s="1"/>
        <tr r="F32" s="1"/>
      </tp>
      <tp>
        <v>1.68</v>
        <stp/>
        <stp>204002.SH</stp>
        <stp>Rt_Price</stp>
        <tr r="F3" s="1"/>
      </tp>
      <tp>
        <v>1.6850000000000001</v>
        <stp/>
        <stp>204001.SH</stp>
        <stp>Rt_Price</stp>
        <tr r="F2" s="1"/>
      </tp>
      <tp>
        <v>1.595</v>
        <stp/>
        <stp>204004.SH</stp>
        <stp>Rt_Price</stp>
        <tr r="F4" s="1"/>
      </tp>
      <tp>
        <v>1911.2</v>
        <stp/>
        <stp>399006.SZ</stp>
        <stp>Rt_Price</stp>
        <tr r="F40" s="1"/>
        <tr r="F40" s="1"/>
      </tp>
      <tp>
        <v>0.999</v>
        <stp/>
        <stp>150171.SZ</stp>
        <stp>PreClose</stp>
        <tr r="D7" s="1"/>
      </tp>
      <tp>
        <v>1</v>
        <stp/>
        <stp>150171.SZ</stp>
        <stp>Rt_Price</stp>
        <tr r="F7" s="1"/>
      </tp>
      <tp>
        <v>5.5890000000000004</v>
        <stp/>
        <stp>510500.SH</stp>
        <stp>PreClose</stp>
        <tr r="D37" s="1"/>
        <tr r="D37" s="1"/>
      </tp>
      <tp>
        <v>5.532</v>
        <stp/>
        <stp>510500.SH</stp>
        <stp>Rt_Price</stp>
        <tr r="F37" s="1"/>
        <tr r="F37" s="1"/>
      </tp>
      <tp>
        <v>100.71900000000001</v>
        <stp/>
        <stp>511880.SH</stp>
        <stp>PreClose</stp>
        <tr r="D5" s="1"/>
      </tp>
      <tp>
        <v>5538.6</v>
        <stp/>
        <stp>000852.SH</stp>
        <stp>PreClose</stp>
        <tr r="D42" s="1"/>
        <tr r="D42" s="1"/>
      </tp>
      <tp>
        <v>5518.45</v>
        <stp/>
        <stp>000852.SH</stp>
        <stp>Rt_Price</stp>
        <tr r="F42" s="1"/>
        <tr r="F42" s="1"/>
      </tp>
      <tp>
        <v>100.736</v>
        <stp/>
        <stp>511880.SH</stp>
        <stp>Rt_Price</stp>
        <tr r="F5" s="1"/>
      </tp>
      <tp>
        <v>100.002</v>
        <stp/>
        <stp>511990.SH</stp>
        <stp>PreClose</stp>
        <tr r="D6" s="1"/>
      </tp>
      <tp>
        <v>5147.2</v>
        <stp/>
        <stp>000905.SH</stp>
        <stp>PreClose</stp>
        <tr r="D22" s="1"/>
        <tr r="D22" s="1"/>
      </tp>
      <tp>
        <v>5120.18</v>
        <stp/>
        <stp>000905.SH</stp>
        <stp>Rt_Price</stp>
        <tr r="F22" s="1"/>
        <tr r="F22" s="1"/>
      </tp>
      <tp>
        <v>100.018</v>
        <stp/>
        <stp>511990.SH</stp>
        <stp>Rt_Price</stp>
        <tr r="F6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Option!$R$8</c:f>
          <c:strCache>
            <c:ptCount val="1"/>
            <c:pt idx="0">
              <c:v>Ask/Last_300</c:v>
            </c:pt>
          </c:strCache>
        </c:strRef>
      </c:tx>
      <c:layout>
        <c:manualLayout>
          <c:xMode val="edge"/>
          <c:yMode val="edge"/>
          <c:x val="5.1627837514934292E-2"/>
          <c:y val="8.1900081900081901E-3"/>
        </c:manualLayout>
      </c:layout>
      <c:overlay val="1"/>
      <c:txPr>
        <a:bodyPr/>
        <a:lstStyle/>
        <a:p>
          <a:pPr>
            <a:defRPr sz="1200" b="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814109114223312E-2"/>
          <c:y val="5.8806513622416914E-2"/>
          <c:w val="0.83432264179343163"/>
          <c:h val="0.86289490994215401"/>
        </c:manualLayout>
      </c:layout>
      <c:lineChart>
        <c:grouping val="standard"/>
        <c:varyColors val="0"/>
        <c:ser>
          <c:idx val="0"/>
          <c:order val="0"/>
          <c:tx>
            <c:strRef>
              <c:f>Option!$S$8</c:f>
              <c:strCache>
                <c:ptCount val="1"/>
                <c:pt idx="0">
                  <c:v>IO2003-C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Option!$S$9:$S$281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Option!$T$8</c:f>
              <c:strCache>
                <c:ptCount val="1"/>
                <c:pt idx="0">
                  <c:v>IO2003-P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Option!$T$9:$T$281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Option!$U$8</c:f>
              <c:strCache>
                <c:ptCount val="1"/>
                <c:pt idx="0">
                  <c:v>SH2006-C</c:v>
                </c:pt>
              </c:strCache>
            </c:strRef>
          </c:tx>
          <c:spPr>
            <a:ln w="28575">
              <a:solidFill>
                <a:srgbClr val="CC33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0099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Option!$U$9:$U$281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Option!$V$8</c:f>
              <c:strCache>
                <c:ptCount val="1"/>
                <c:pt idx="0">
                  <c:v>SH2006-P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5"/>
            <c:spPr>
              <a:solidFill>
                <a:srgbClr val="92D050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Option!$V$9:$V$281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Option!$W$8</c:f>
              <c:strCache>
                <c:ptCount val="1"/>
                <c:pt idx="0">
                  <c:v>SZ2003-C</c:v>
                </c:pt>
              </c:strCache>
            </c:strRef>
          </c:tx>
          <c:spPr>
            <a:ln>
              <a:solidFill>
                <a:srgbClr val="FF99FF"/>
              </a:solidFill>
            </a:ln>
          </c:spPr>
          <c:marker>
            <c:symbol val="diamond"/>
            <c:size val="5"/>
            <c:spPr>
              <a:solidFill>
                <a:srgbClr val="FF99FF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Option!$W$9:$W$281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Option!$X$8</c:f>
              <c:strCache>
                <c:ptCount val="1"/>
                <c:pt idx="0">
                  <c:v>SZ2003-P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Option!$X$9:$X$281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Option!$Y$8</c:f>
              <c:strCache>
                <c:ptCount val="1"/>
                <c:pt idx="0">
                  <c:v>SH2002-C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rgbClr val="FF7C80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Option!$Y$9:$Y$281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Option!$Z$8</c:f>
              <c:strCache>
                <c:ptCount val="1"/>
                <c:pt idx="0">
                  <c:v>SH2002-P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rgbClr val="0070C0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Option!$Z$9:$Z$281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Option!$AA$8</c:f>
              <c:strCache>
                <c:ptCount val="1"/>
                <c:pt idx="0">
                  <c:v>SZ2002-C</c:v>
                </c:pt>
              </c:strCache>
            </c:strRef>
          </c:tx>
          <c:spPr>
            <a:ln>
              <a:solidFill>
                <a:srgbClr val="FFCC66"/>
              </a:solidFill>
            </a:ln>
          </c:spPr>
          <c:marker>
            <c:symbol val="diamond"/>
            <c:size val="5"/>
            <c:spPr>
              <a:solidFill>
                <a:srgbClr val="FFC000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Option!$AA$9:$AA$281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Option!$AB$8</c:f>
              <c:strCache>
                <c:ptCount val="1"/>
                <c:pt idx="0">
                  <c:v>SZ2002-P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diamond"/>
            <c:size val="5"/>
            <c:spPr>
              <a:solidFill>
                <a:srgbClr val="00B0F0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Option!$AB$9:$AB$281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Option!$AC$8</c:f>
              <c:strCache>
                <c:ptCount val="1"/>
                <c:pt idx="0">
                  <c:v>IO2004-C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Option!$AC$9:$AC$281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Option!$AD$8</c:f>
              <c:strCache>
                <c:ptCount val="1"/>
                <c:pt idx="0">
                  <c:v>IO2004-P</c:v>
                </c:pt>
              </c:strCache>
            </c:strRef>
          </c:tx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  <c:marker>
            <c:symbol val="diamond"/>
            <c:size val="5"/>
            <c:spPr>
              <a:solidFill>
                <a:schemeClr val="tx2">
                  <a:lumMod val="20000"/>
                  <a:lumOff val="80000"/>
                </a:schemeClr>
              </a:solidFill>
            </c:spPr>
          </c:marker>
          <c:cat>
            <c:numRef>
              <c:f>Option!$R$9:$R$281</c:f>
              <c:numCache>
                <c:formatCode>0.0%</c:formatCode>
                <c:ptCount val="273"/>
                <c:pt idx="0">
                  <c:v>-0.13</c:v>
                </c:pt>
                <c:pt idx="1">
                  <c:v>-0.129</c:v>
                </c:pt>
                <c:pt idx="2">
                  <c:v>-0.128</c:v>
                </c:pt>
                <c:pt idx="3">
                  <c:v>-0.127</c:v>
                </c:pt>
                <c:pt idx="4">
                  <c:v>-0.126</c:v>
                </c:pt>
                <c:pt idx="5">
                  <c:v>-0.125</c:v>
                </c:pt>
                <c:pt idx="6">
                  <c:v>-0.124</c:v>
                </c:pt>
                <c:pt idx="7">
                  <c:v>-0.123</c:v>
                </c:pt>
                <c:pt idx="8">
                  <c:v>-0.122</c:v>
                </c:pt>
                <c:pt idx="9">
                  <c:v>-0.121</c:v>
                </c:pt>
                <c:pt idx="10">
                  <c:v>-0.12</c:v>
                </c:pt>
                <c:pt idx="11">
                  <c:v>-0.11899999999999999</c:v>
                </c:pt>
                <c:pt idx="12">
                  <c:v>-0.11799999999999999</c:v>
                </c:pt>
                <c:pt idx="13">
                  <c:v>-0.11700000000000001</c:v>
                </c:pt>
                <c:pt idx="14">
                  <c:v>-0.11600000000000001</c:v>
                </c:pt>
                <c:pt idx="15">
                  <c:v>-0.115</c:v>
                </c:pt>
                <c:pt idx="16">
                  <c:v>-0.114</c:v>
                </c:pt>
                <c:pt idx="17">
                  <c:v>-0.113</c:v>
                </c:pt>
                <c:pt idx="18">
                  <c:v>-0.112</c:v>
                </c:pt>
                <c:pt idx="19">
                  <c:v>-0.111</c:v>
                </c:pt>
                <c:pt idx="20">
                  <c:v>-0.11</c:v>
                </c:pt>
                <c:pt idx="21">
                  <c:v>-0.109</c:v>
                </c:pt>
                <c:pt idx="22">
                  <c:v>-0.108</c:v>
                </c:pt>
                <c:pt idx="23">
                  <c:v>-0.107</c:v>
                </c:pt>
                <c:pt idx="24">
                  <c:v>-0.106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-0.10199999999999999</c:v>
                </c:pt>
                <c:pt idx="29">
                  <c:v>-0.10100000000000001</c:v>
                </c:pt>
                <c:pt idx="30">
                  <c:v>-0.1</c:v>
                </c:pt>
                <c:pt idx="31">
                  <c:v>-9.9000000000000005E-2</c:v>
                </c:pt>
                <c:pt idx="32">
                  <c:v>-9.8000000000000004E-2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-9.4E-2</c:v>
                </c:pt>
                <c:pt idx="37">
                  <c:v>-9.2999999999999999E-2</c:v>
                </c:pt>
                <c:pt idx="38">
                  <c:v>-9.1999999999999998E-2</c:v>
                </c:pt>
                <c:pt idx="39">
                  <c:v>-9.0999999999999998E-2</c:v>
                </c:pt>
                <c:pt idx="40">
                  <c:v>-0.09</c:v>
                </c:pt>
                <c:pt idx="41">
                  <c:v>-8.8999999999999996E-2</c:v>
                </c:pt>
                <c:pt idx="42">
                  <c:v>-8.7999999999999995E-2</c:v>
                </c:pt>
                <c:pt idx="43">
                  <c:v>-8.6999999999999994E-2</c:v>
                </c:pt>
                <c:pt idx="44">
                  <c:v>-8.5999999999999993E-2</c:v>
                </c:pt>
                <c:pt idx="45">
                  <c:v>-8.5000000000000006E-2</c:v>
                </c:pt>
                <c:pt idx="46">
                  <c:v>-8.4000000000000005E-2</c:v>
                </c:pt>
                <c:pt idx="47">
                  <c:v>-8.3000000000000004E-2</c:v>
                </c:pt>
                <c:pt idx="48">
                  <c:v>-8.2000000000000003E-2</c:v>
                </c:pt>
                <c:pt idx="49">
                  <c:v>-8.1000000000000003E-2</c:v>
                </c:pt>
                <c:pt idx="50">
                  <c:v>-0.08</c:v>
                </c:pt>
                <c:pt idx="51">
                  <c:v>-7.9000000000000001E-2</c:v>
                </c:pt>
                <c:pt idx="52">
                  <c:v>-7.8E-2</c:v>
                </c:pt>
                <c:pt idx="53">
                  <c:v>-7.6999999999999999E-2</c:v>
                </c:pt>
                <c:pt idx="54">
                  <c:v>-7.5999999999999998E-2</c:v>
                </c:pt>
                <c:pt idx="55">
                  <c:v>-7.4999999999999997E-2</c:v>
                </c:pt>
                <c:pt idx="56">
                  <c:v>-7.3999999999999996E-2</c:v>
                </c:pt>
                <c:pt idx="57">
                  <c:v>-7.2999999999999995E-2</c:v>
                </c:pt>
                <c:pt idx="58">
                  <c:v>-7.1999999999999995E-2</c:v>
                </c:pt>
                <c:pt idx="59">
                  <c:v>-7.0999999999999994E-2</c:v>
                </c:pt>
                <c:pt idx="60">
                  <c:v>-7.0000000000000007E-2</c:v>
                </c:pt>
                <c:pt idx="61">
                  <c:v>-6.9000000000000006E-2</c:v>
                </c:pt>
                <c:pt idx="62">
                  <c:v>-6.8000000000000005E-2</c:v>
                </c:pt>
                <c:pt idx="63">
                  <c:v>-6.7000000000000004E-2</c:v>
                </c:pt>
                <c:pt idx="64">
                  <c:v>-6.6000000000000003E-2</c:v>
                </c:pt>
                <c:pt idx="65">
                  <c:v>-6.5000000000000002E-2</c:v>
                </c:pt>
                <c:pt idx="66">
                  <c:v>-6.4000000000000001E-2</c:v>
                </c:pt>
                <c:pt idx="67">
                  <c:v>-6.3E-2</c:v>
                </c:pt>
                <c:pt idx="68">
                  <c:v>-6.2E-2</c:v>
                </c:pt>
                <c:pt idx="69">
                  <c:v>-6.0999999999999999E-2</c:v>
                </c:pt>
                <c:pt idx="70">
                  <c:v>-0.06</c:v>
                </c:pt>
                <c:pt idx="71">
                  <c:v>-5.8999999999999997E-2</c:v>
                </c:pt>
                <c:pt idx="72">
                  <c:v>-5.8000000000000003E-2</c:v>
                </c:pt>
                <c:pt idx="73">
                  <c:v>-5.7000000000000002E-2</c:v>
                </c:pt>
                <c:pt idx="74">
                  <c:v>-5.6000000000000001E-2</c:v>
                </c:pt>
                <c:pt idx="75">
                  <c:v>-5.5E-2</c:v>
                </c:pt>
                <c:pt idx="76">
                  <c:v>-5.3999999999999999E-2</c:v>
                </c:pt>
                <c:pt idx="77">
                  <c:v>-5.2999999999999999E-2</c:v>
                </c:pt>
                <c:pt idx="78">
                  <c:v>-5.1999999999999998E-2</c:v>
                </c:pt>
                <c:pt idx="79">
                  <c:v>-5.0999999999999997E-2</c:v>
                </c:pt>
                <c:pt idx="80">
                  <c:v>-0.05</c:v>
                </c:pt>
                <c:pt idx="81">
                  <c:v>-4.9000000000000002E-2</c:v>
                </c:pt>
                <c:pt idx="82">
                  <c:v>-4.8000000000000001E-2</c:v>
                </c:pt>
                <c:pt idx="83">
                  <c:v>-4.7E-2</c:v>
                </c:pt>
                <c:pt idx="84">
                  <c:v>-4.5999999999999999E-2</c:v>
                </c:pt>
                <c:pt idx="85">
                  <c:v>-4.4999999999999998E-2</c:v>
                </c:pt>
                <c:pt idx="86">
                  <c:v>-4.3999999999999997E-2</c:v>
                </c:pt>
                <c:pt idx="87">
                  <c:v>-4.2999999999999997E-2</c:v>
                </c:pt>
                <c:pt idx="88">
                  <c:v>-4.2000000000000003E-2</c:v>
                </c:pt>
                <c:pt idx="89">
                  <c:v>-4.1000000000000002E-2</c:v>
                </c:pt>
                <c:pt idx="90">
                  <c:v>-0.04</c:v>
                </c:pt>
                <c:pt idx="91">
                  <c:v>-3.9E-2</c:v>
                </c:pt>
                <c:pt idx="92">
                  <c:v>-3.7999999999999999E-2</c:v>
                </c:pt>
                <c:pt idx="93">
                  <c:v>-3.6999999999999998E-2</c:v>
                </c:pt>
                <c:pt idx="94">
                  <c:v>-3.5999999999999997E-2</c:v>
                </c:pt>
                <c:pt idx="95">
                  <c:v>-3.5000000000000003E-2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-3.2000000000000001E-2</c:v>
                </c:pt>
                <c:pt idx="99">
                  <c:v>-3.1E-2</c:v>
                </c:pt>
                <c:pt idx="100">
                  <c:v>-0.03</c:v>
                </c:pt>
                <c:pt idx="101">
                  <c:v>-2.9000000000000001E-2</c:v>
                </c:pt>
                <c:pt idx="102">
                  <c:v>-2.8000000000000001E-2</c:v>
                </c:pt>
                <c:pt idx="103">
                  <c:v>-2.7E-2</c:v>
                </c:pt>
                <c:pt idx="104">
                  <c:v>-2.5999999999999999E-2</c:v>
                </c:pt>
                <c:pt idx="105">
                  <c:v>-2.5000000000000001E-2</c:v>
                </c:pt>
                <c:pt idx="106">
                  <c:v>-2.4E-2</c:v>
                </c:pt>
                <c:pt idx="107">
                  <c:v>-2.3E-2</c:v>
                </c:pt>
                <c:pt idx="108">
                  <c:v>-2.1999999999999999E-2</c:v>
                </c:pt>
                <c:pt idx="109">
                  <c:v>-2.1000000000000001E-2</c:v>
                </c:pt>
                <c:pt idx="110">
                  <c:v>-0.02</c:v>
                </c:pt>
                <c:pt idx="111">
                  <c:v>-1.9E-2</c:v>
                </c:pt>
                <c:pt idx="112">
                  <c:v>-1.7999999999999999E-2</c:v>
                </c:pt>
                <c:pt idx="113">
                  <c:v>-1.7000000000000001E-2</c:v>
                </c:pt>
                <c:pt idx="114">
                  <c:v>-1.6E-2</c:v>
                </c:pt>
                <c:pt idx="115">
                  <c:v>-1.4999999999999999E-2</c:v>
                </c:pt>
                <c:pt idx="116">
                  <c:v>-1.4E-2</c:v>
                </c:pt>
                <c:pt idx="117">
                  <c:v>-1.2999999999999999E-2</c:v>
                </c:pt>
                <c:pt idx="118">
                  <c:v>-1.2E-2</c:v>
                </c:pt>
                <c:pt idx="119">
                  <c:v>-1.0999999999999999E-2</c:v>
                </c:pt>
                <c:pt idx="120">
                  <c:v>-0.01</c:v>
                </c:pt>
                <c:pt idx="121">
                  <c:v>-8.9999999999999993E-3</c:v>
                </c:pt>
                <c:pt idx="122">
                  <c:v>-8.0000000000000002E-3</c:v>
                </c:pt>
                <c:pt idx="123">
                  <c:v>-7.0000000000000001E-3</c:v>
                </c:pt>
                <c:pt idx="124">
                  <c:v>-6.0000000000000001E-3</c:v>
                </c:pt>
                <c:pt idx="125">
                  <c:v>-5.0000000000000001E-3</c:v>
                </c:pt>
                <c:pt idx="126">
                  <c:v>-4.0000000000000001E-3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-1E-3</c:v>
                </c:pt>
                <c:pt idx="130">
                  <c:v>0</c:v>
                </c:pt>
                <c:pt idx="131">
                  <c:v>1E-3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8.0000000000000002E-3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1.4E-2</c:v>
                </c:pt>
                <c:pt idx="145">
                  <c:v>1.4999999999999999E-2</c:v>
                </c:pt>
                <c:pt idx="146">
                  <c:v>1.6E-2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2.1999999999999999E-2</c:v>
                </c:pt>
                <c:pt idx="153">
                  <c:v>2.3E-2</c:v>
                </c:pt>
                <c:pt idx="154">
                  <c:v>2.4E-2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2.7E-2</c:v>
                </c:pt>
                <c:pt idx="158">
                  <c:v>2.8000000000000001E-2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3.1E-2</c:v>
                </c:pt>
                <c:pt idx="162">
                  <c:v>3.2000000000000001E-2</c:v>
                </c:pt>
                <c:pt idx="163">
                  <c:v>3.3000000000000002E-2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3.5999999999999997E-2</c:v>
                </c:pt>
                <c:pt idx="167">
                  <c:v>3.6999999999999998E-2</c:v>
                </c:pt>
                <c:pt idx="168">
                  <c:v>3.7999999999999999E-2</c:v>
                </c:pt>
                <c:pt idx="169">
                  <c:v>3.9E-2</c:v>
                </c:pt>
                <c:pt idx="170">
                  <c:v>0.04</c:v>
                </c:pt>
                <c:pt idx="171">
                  <c:v>4.1000000000000002E-2</c:v>
                </c:pt>
                <c:pt idx="172">
                  <c:v>4.2000000000000003E-2</c:v>
                </c:pt>
                <c:pt idx="173">
                  <c:v>4.2999999999999997E-2</c:v>
                </c:pt>
                <c:pt idx="174">
                  <c:v>4.3999999999999997E-2</c:v>
                </c:pt>
                <c:pt idx="175">
                  <c:v>4.4999999999999998E-2</c:v>
                </c:pt>
                <c:pt idx="176">
                  <c:v>4.5999999999999999E-2</c:v>
                </c:pt>
                <c:pt idx="177">
                  <c:v>4.7E-2</c:v>
                </c:pt>
                <c:pt idx="178">
                  <c:v>4.8000000000000001E-2</c:v>
                </c:pt>
                <c:pt idx="179">
                  <c:v>4.9000000000000002E-2</c:v>
                </c:pt>
                <c:pt idx="180">
                  <c:v>0.05</c:v>
                </c:pt>
                <c:pt idx="181">
                  <c:v>5.0999999999999997E-2</c:v>
                </c:pt>
                <c:pt idx="182">
                  <c:v>5.1999999999999998E-2</c:v>
                </c:pt>
                <c:pt idx="183">
                  <c:v>5.2999999999999999E-2</c:v>
                </c:pt>
                <c:pt idx="184">
                  <c:v>5.3999999999999999E-2</c:v>
                </c:pt>
                <c:pt idx="185">
                  <c:v>5.5E-2</c:v>
                </c:pt>
                <c:pt idx="186">
                  <c:v>5.6000000000000001E-2</c:v>
                </c:pt>
                <c:pt idx="187">
                  <c:v>5.7000000000000002E-2</c:v>
                </c:pt>
                <c:pt idx="188">
                  <c:v>5.8000000000000003E-2</c:v>
                </c:pt>
                <c:pt idx="189">
                  <c:v>5.8999999999999997E-2</c:v>
                </c:pt>
                <c:pt idx="190">
                  <c:v>0.06</c:v>
                </c:pt>
                <c:pt idx="191">
                  <c:v>6.0999999999999999E-2</c:v>
                </c:pt>
                <c:pt idx="192">
                  <c:v>6.2E-2</c:v>
                </c:pt>
                <c:pt idx="193">
                  <c:v>6.3E-2</c:v>
                </c:pt>
                <c:pt idx="194">
                  <c:v>6.4000000000000001E-2</c:v>
                </c:pt>
                <c:pt idx="195">
                  <c:v>6.5000000000000002E-2</c:v>
                </c:pt>
                <c:pt idx="196">
                  <c:v>6.6000000000000003E-2</c:v>
                </c:pt>
                <c:pt idx="197">
                  <c:v>6.7000000000000004E-2</c:v>
                </c:pt>
                <c:pt idx="198">
                  <c:v>6.8000000000000005E-2</c:v>
                </c:pt>
                <c:pt idx="199">
                  <c:v>6.9000000000000006E-2</c:v>
                </c:pt>
                <c:pt idx="200">
                  <c:v>7.0000000000000007E-2</c:v>
                </c:pt>
                <c:pt idx="201">
                  <c:v>7.0999999999999994E-2</c:v>
                </c:pt>
                <c:pt idx="202">
                  <c:v>7.1999999999999995E-2</c:v>
                </c:pt>
                <c:pt idx="203">
                  <c:v>7.2999999999999995E-2</c:v>
                </c:pt>
                <c:pt idx="204">
                  <c:v>7.3999999999999996E-2</c:v>
                </c:pt>
                <c:pt idx="205">
                  <c:v>7.4999999999999997E-2</c:v>
                </c:pt>
                <c:pt idx="206">
                  <c:v>7.5999999999999998E-2</c:v>
                </c:pt>
                <c:pt idx="207">
                  <c:v>7.6999999999999999E-2</c:v>
                </c:pt>
                <c:pt idx="208">
                  <c:v>7.8E-2</c:v>
                </c:pt>
                <c:pt idx="209">
                  <c:v>7.9000000000000001E-2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8.2000000000000003E-2</c:v>
                </c:pt>
                <c:pt idx="213">
                  <c:v>8.3000000000000004E-2</c:v>
                </c:pt>
                <c:pt idx="214">
                  <c:v>8.4000000000000005E-2</c:v>
                </c:pt>
                <c:pt idx="215">
                  <c:v>8.5000000000000006E-2</c:v>
                </c:pt>
                <c:pt idx="216">
                  <c:v>8.5999999999999993E-2</c:v>
                </c:pt>
                <c:pt idx="217">
                  <c:v>8.6999999999999994E-2</c:v>
                </c:pt>
                <c:pt idx="218">
                  <c:v>8.7999999999999995E-2</c:v>
                </c:pt>
                <c:pt idx="219">
                  <c:v>8.8999999999999996E-2</c:v>
                </c:pt>
                <c:pt idx="220">
                  <c:v>0.09</c:v>
                </c:pt>
                <c:pt idx="221">
                  <c:v>9.0999999999999998E-2</c:v>
                </c:pt>
                <c:pt idx="222">
                  <c:v>9.1999999999999998E-2</c:v>
                </c:pt>
                <c:pt idx="223">
                  <c:v>9.2999999999999999E-2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9.6000000000000002E-2</c:v>
                </c:pt>
                <c:pt idx="227">
                  <c:v>9.7000000000000003E-2</c:v>
                </c:pt>
                <c:pt idx="228">
                  <c:v>9.8000000000000004E-2</c:v>
                </c:pt>
                <c:pt idx="229">
                  <c:v>9.9000000000000005E-2</c:v>
                </c:pt>
                <c:pt idx="230">
                  <c:v>0.1</c:v>
                </c:pt>
                <c:pt idx="231">
                  <c:v>0.10100000000000001</c:v>
                </c:pt>
                <c:pt idx="232">
                  <c:v>0.10199999999999999</c:v>
                </c:pt>
                <c:pt idx="233">
                  <c:v>0.10299999999999999</c:v>
                </c:pt>
                <c:pt idx="234">
                  <c:v>0.104</c:v>
                </c:pt>
                <c:pt idx="235">
                  <c:v>0.105</c:v>
                </c:pt>
                <c:pt idx="236">
                  <c:v>0.106</c:v>
                </c:pt>
                <c:pt idx="237">
                  <c:v>0.107</c:v>
                </c:pt>
                <c:pt idx="238">
                  <c:v>0.108</c:v>
                </c:pt>
                <c:pt idx="239">
                  <c:v>0.109</c:v>
                </c:pt>
                <c:pt idx="240">
                  <c:v>0.11</c:v>
                </c:pt>
                <c:pt idx="241">
                  <c:v>0.111</c:v>
                </c:pt>
                <c:pt idx="242">
                  <c:v>0.112</c:v>
                </c:pt>
                <c:pt idx="243">
                  <c:v>0.113</c:v>
                </c:pt>
                <c:pt idx="244">
                  <c:v>0.114</c:v>
                </c:pt>
                <c:pt idx="245">
                  <c:v>0.115</c:v>
                </c:pt>
                <c:pt idx="246">
                  <c:v>0.11600000000000001</c:v>
                </c:pt>
                <c:pt idx="247">
                  <c:v>0.11700000000000001</c:v>
                </c:pt>
                <c:pt idx="248">
                  <c:v>0.11799999999999999</c:v>
                </c:pt>
                <c:pt idx="249">
                  <c:v>0.11899999999999999</c:v>
                </c:pt>
                <c:pt idx="250">
                  <c:v>0.12</c:v>
                </c:pt>
                <c:pt idx="251">
                  <c:v>0.121</c:v>
                </c:pt>
                <c:pt idx="252">
                  <c:v>0.122</c:v>
                </c:pt>
                <c:pt idx="253">
                  <c:v>0.123</c:v>
                </c:pt>
                <c:pt idx="254">
                  <c:v>0.124</c:v>
                </c:pt>
                <c:pt idx="255">
                  <c:v>0.125</c:v>
                </c:pt>
                <c:pt idx="256">
                  <c:v>0.126</c:v>
                </c:pt>
                <c:pt idx="257">
                  <c:v>0.127</c:v>
                </c:pt>
                <c:pt idx="258">
                  <c:v>0.128</c:v>
                </c:pt>
                <c:pt idx="259">
                  <c:v>0.129</c:v>
                </c:pt>
                <c:pt idx="260">
                  <c:v>0.13</c:v>
                </c:pt>
              </c:numCache>
            </c:numRef>
          </c:cat>
          <c:val>
            <c:numRef>
              <c:f>Option!$AD$9:$AD$281</c:f>
              <c:numCache>
                <c:formatCode>General</c:formatCode>
                <c:ptCount val="27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440576"/>
        <c:axId val="176889152"/>
      </c:lineChart>
      <c:catAx>
        <c:axId val="8684405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%" sourceLinked="1"/>
        <c:majorTickMark val="out"/>
        <c:minorTickMark val="none"/>
        <c:tickLblPos val="nextTo"/>
        <c:crossAx val="17688915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7688915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86844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179120130904143"/>
          <c:y val="0.29565893079154582"/>
          <c:w val="0.1116420397764087"/>
          <c:h val="0.43260558339298499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cap="all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289560</xdr:colOff>
      <xdr:row>12</xdr:row>
      <xdr:rowOff>129540</xdr:rowOff>
    </xdr:from>
    <xdr:to>
      <xdr:col>34</xdr:col>
      <xdr:colOff>121920</xdr:colOff>
      <xdr:row>48</xdr:row>
      <xdr:rowOff>38100</xdr:rowOff>
    </xdr:to>
    <xdr:graphicFrame macro="">
      <xdr:nvGraphicFramePr>
        <xdr:cNvPr id="8" name="图表 7" descr="test" title="=Option!Q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0.86291</cdr:x>
      <cdr:y>0.94226</cdr:y>
    </cdr:from>
    <cdr:to>
      <cdr:x>1</cdr:x>
      <cdr:y>0.9914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338094" y="5844544"/>
          <a:ext cx="1165826" cy="3047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</a:t>
          </a:r>
          <a:r>
            <a:rPr lang="en-US" altLang="zh-CN" sz="1100"/>
            <a:t>TK</a:t>
          </a:r>
          <a:r>
            <a:rPr lang="en-US" sz="1100"/>
            <a:t>/LAST_300</a:t>
          </a:r>
          <a:r>
            <a:rPr lang="en-US" altLang="zh-CN" sz="1100"/>
            <a:t>-1</a:t>
          </a:r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f_nav_iopv"/>
      <definedName name="s_dq_settle"/>
      <definedName name="s_info_dlmonth"/>
      <definedName name="s_info_name"/>
      <definedName name="td"/>
      <definedName name="w_info_callput"/>
      <definedName name="w_info_strikeprice"/>
      <definedName name="w_info_underlyingcod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54"/>
  <sheetViews>
    <sheetView tabSelected="1" zoomScale="150" zoomScaleNormal="150" workbookViewId="0">
      <selection activeCell="W2" sqref="W2"/>
    </sheetView>
  </sheetViews>
  <sheetFormatPr defaultRowHeight="12" customHeight="1"/>
  <cols>
    <col min="1" max="1" width="8" style="22" customWidth="1"/>
    <col min="2" max="2" width="7.21875" style="22" customWidth="1"/>
    <col min="3" max="3" width="2.33203125" style="8" customWidth="1"/>
    <col min="4" max="4" width="7.21875" style="30" customWidth="1"/>
    <col min="5" max="5" width="2.109375" style="5" customWidth="1"/>
    <col min="6" max="7" width="6.6640625" style="6" customWidth="1"/>
    <col min="8" max="8" width="1.44140625" style="5" customWidth="1"/>
    <col min="9" max="9" width="5.6640625" style="7" customWidth="1"/>
    <col min="10" max="10" width="3.21875" customWidth="1"/>
    <col min="11" max="11" width="2.88671875" hidden="1" customWidth="1"/>
    <col min="12" max="12" width="7.44140625" style="1" customWidth="1"/>
    <col min="13" max="13" width="6.109375" style="1" customWidth="1"/>
    <col min="14" max="14" width="5.44140625" style="1" customWidth="1"/>
    <col min="15" max="15" width="4.88671875" style="1" customWidth="1"/>
    <col min="16" max="17" width="5.77734375" style="1" customWidth="1"/>
    <col min="18" max="18" width="5" style="1" customWidth="1"/>
    <col min="19" max="19" width="6.21875" style="1" customWidth="1"/>
    <col min="20" max="20" width="6" style="3" customWidth="1"/>
    <col min="21" max="21" width="5.88671875" style="86" customWidth="1"/>
    <col min="22" max="22" width="7.33203125" style="86" hidden="1" customWidth="1"/>
    <col min="23" max="23" width="4.77734375" style="3" customWidth="1"/>
    <col min="24" max="25" width="6.109375" style="3" customWidth="1"/>
    <col min="26" max="26" width="9.77734375" style="1" customWidth="1"/>
    <col min="27" max="27" width="9.6640625" style="1" customWidth="1"/>
    <col min="28" max="28" width="3.109375" style="1" customWidth="1"/>
    <col min="29" max="29" width="4" style="1" customWidth="1"/>
    <col min="30" max="30" width="10.109375" style="1" customWidth="1"/>
    <col min="31" max="31" width="4.77734375" style="1" customWidth="1"/>
    <col min="32" max="32" width="4" style="1" customWidth="1"/>
    <col min="33" max="33" width="11" customWidth="1"/>
    <col min="34" max="34" width="4.88671875" style="41" customWidth="1"/>
    <col min="35" max="35" width="4.21875" style="41" customWidth="1"/>
    <col min="36" max="36" width="10.77734375" style="41" customWidth="1"/>
    <col min="37" max="37" width="5.88671875" customWidth="1"/>
    <col min="38" max="38" width="7.109375" customWidth="1"/>
  </cols>
  <sheetData>
    <row r="1" spans="1:36" ht="12" customHeight="1">
      <c r="A1" s="17" t="s">
        <v>3</v>
      </c>
      <c r="B1" s="17" t="s">
        <v>4</v>
      </c>
      <c r="C1" s="18" t="s">
        <v>5</v>
      </c>
      <c r="D1" s="143" t="s">
        <v>165</v>
      </c>
      <c r="E1" s="18" t="s">
        <v>6</v>
      </c>
      <c r="F1" s="17" t="s">
        <v>7</v>
      </c>
      <c r="G1" s="142" t="s">
        <v>162</v>
      </c>
      <c r="H1" s="19" t="s">
        <v>8</v>
      </c>
      <c r="I1" s="44" t="s">
        <v>9</v>
      </c>
      <c r="J1" s="41">
        <v>1</v>
      </c>
      <c r="L1"/>
      <c r="M1" s="35"/>
      <c r="N1"/>
      <c r="O1" s="35"/>
      <c r="P1"/>
      <c r="Q1"/>
      <c r="R1" s="41"/>
      <c r="S1"/>
      <c r="T1" s="41"/>
      <c r="U1" s="85"/>
      <c r="V1" s="85"/>
      <c r="W1"/>
      <c r="X1"/>
      <c r="Y1" s="41"/>
      <c r="Z1"/>
      <c r="AA1"/>
      <c r="AB1" s="41"/>
      <c r="AC1" s="41"/>
      <c r="AD1"/>
      <c r="AE1" s="41"/>
      <c r="AF1"/>
    </row>
    <row r="2" spans="1:36" ht="12" customHeight="1">
      <c r="A2" s="4" t="s">
        <v>90</v>
      </c>
      <c r="B2" s="26" t="str">
        <f>"GC001"</f>
        <v>GC001</v>
      </c>
      <c r="C2" s="5"/>
      <c r="D2" s="30">
        <f>RTD($C$21,,$A2,D$21)</f>
        <v>1.835</v>
      </c>
      <c r="E2" s="75"/>
      <c r="F2" s="75">
        <f>RTD($C$21,,$A2,F$21)</f>
        <v>1.6850000000000001</v>
      </c>
      <c r="G2" s="6" t="str">
        <f>IF(ISNUMBER($C2),$C2,"")</f>
        <v/>
      </c>
      <c r="H2" s="5" t="str">
        <f t="shared" ref="H2:H9" si="0">IF(ISNUMBER($C2),G2-E2,"")</f>
        <v/>
      </c>
      <c r="J2" s="41">
        <v>1</v>
      </c>
      <c r="L2" s="41"/>
      <c r="M2" s="41"/>
      <c r="N2" s="41"/>
      <c r="O2" s="41"/>
      <c r="P2" s="140">
        <f ca="1">NOW()</f>
        <v>43924.492114236113</v>
      </c>
      <c r="Q2" s="41"/>
      <c r="R2" s="41" t="s">
        <v>156</v>
      </c>
      <c r="S2" s="41" t="s">
        <v>157</v>
      </c>
      <c r="T2" s="41"/>
      <c r="U2" s="85"/>
      <c r="V2" s="85"/>
      <c r="W2" s="41"/>
      <c r="X2"/>
      <c r="Y2" s="41"/>
      <c r="Z2"/>
      <c r="AA2"/>
      <c r="AB2" s="41"/>
      <c r="AC2" s="41"/>
      <c r="AD2"/>
      <c r="AE2" s="41"/>
      <c r="AF2"/>
    </row>
    <row r="3" spans="1:36" ht="12" customHeight="1">
      <c r="A3" s="4" t="s">
        <v>91</v>
      </c>
      <c r="B3" s="26" t="str">
        <f>[1]!s_info_name(A3)</f>
        <v>GC002</v>
      </c>
      <c r="D3" s="30">
        <f>RTD($C$21,,$A3,D$21)</f>
        <v>1.72</v>
      </c>
      <c r="E3" s="75"/>
      <c r="F3" s="75">
        <f>RTD($C$21,,$A3,F$21)</f>
        <v>1.68</v>
      </c>
      <c r="G3" s="6" t="str">
        <f>IF(ISNUMBER($C3),$C3,"")</f>
        <v/>
      </c>
      <c r="H3" s="5" t="str">
        <f t="shared" si="0"/>
        <v/>
      </c>
      <c r="I3" s="32"/>
      <c r="J3" s="41">
        <v>1</v>
      </c>
      <c r="L3"/>
      <c r="M3" s="35"/>
      <c r="N3"/>
      <c r="O3" s="35"/>
      <c r="P3"/>
      <c r="Q3"/>
      <c r="R3" s="138">
        <f>RTD($C$21,,$A23,"Bid_Price1")</f>
        <v>5068.4000000000005</v>
      </c>
      <c r="S3" s="139">
        <f>RTD($C$21,,$A23,"Ask_Price1")</f>
        <v>5069</v>
      </c>
      <c r="T3" s="41"/>
      <c r="U3" s="85"/>
      <c r="V3" s="85"/>
      <c r="W3"/>
      <c r="X3"/>
      <c r="Y3" s="41"/>
      <c r="Z3"/>
      <c r="AA3"/>
      <c r="AB3" s="41"/>
      <c r="AC3" s="41"/>
      <c r="AD3"/>
      <c r="AE3" s="41"/>
      <c r="AF3"/>
    </row>
    <row r="4" spans="1:36" ht="12" customHeight="1">
      <c r="A4" s="38" t="s">
        <v>150</v>
      </c>
      <c r="B4" s="26" t="str">
        <f>[1]!s_info_name(A4)</f>
        <v>GC004</v>
      </c>
      <c r="D4" s="30">
        <f>RTD($C$21,,$A4,D$21)</f>
        <v>1.6850000000000001</v>
      </c>
      <c r="E4" s="75"/>
      <c r="F4" s="75">
        <f>RTD($C$21,,$A4,F$21)</f>
        <v>1.595</v>
      </c>
      <c r="G4" s="6" t="str">
        <f>IF(ISNUMBER($C4),$C4,"")</f>
        <v/>
      </c>
      <c r="H4" s="5" t="str">
        <f t="shared" si="0"/>
        <v/>
      </c>
      <c r="I4" s="32"/>
      <c r="J4" s="41">
        <v>1</v>
      </c>
      <c r="L4">
        <f>D33/D23</f>
        <v>0.52845782005301734</v>
      </c>
      <c r="M4" s="35"/>
      <c r="N4"/>
      <c r="O4" s="35"/>
      <c r="P4"/>
      <c r="Q4"/>
      <c r="R4" s="138">
        <f>RTD($C$21,,$A24,"Bid_Price1")</f>
        <v>5009</v>
      </c>
      <c r="S4" s="139">
        <f>RTD($C$21,,$A24,"Ask_Price1")</f>
        <v>5019.4000000000005</v>
      </c>
      <c r="T4" s="41"/>
      <c r="U4" s="85"/>
      <c r="V4" s="85"/>
      <c r="W4"/>
      <c r="X4"/>
      <c r="Y4" s="41"/>
      <c r="Z4"/>
      <c r="AA4"/>
      <c r="AB4" s="41"/>
      <c r="AC4" s="41"/>
      <c r="AD4"/>
      <c r="AE4" s="41"/>
      <c r="AF4"/>
      <c r="AG4" s="93"/>
      <c r="AH4" s="93"/>
      <c r="AJ4" s="93"/>
    </row>
    <row r="5" spans="1:36" ht="12" customHeight="1">
      <c r="A5" s="38" t="s">
        <v>109</v>
      </c>
      <c r="B5" s="26" t="str">
        <f>[1]!s_info_name(A5)</f>
        <v>银华日利</v>
      </c>
      <c r="D5" s="30">
        <f>RTD($C$21,,$A5,D$21)</f>
        <v>100.71900000000001</v>
      </c>
      <c r="E5" s="75"/>
      <c r="F5" s="75">
        <f>RTD($C$21,,$A5,F$21)</f>
        <v>100.736</v>
      </c>
      <c r="G5" s="6">
        <f>RTD($C$21,,$A5,G$21)/1000000</f>
        <v>3449.430519</v>
      </c>
      <c r="H5" s="5" t="str">
        <f>IF(ISNUMBER($C5),G5-E5,"")</f>
        <v/>
      </c>
      <c r="I5" s="32"/>
      <c r="J5" s="41">
        <v>1</v>
      </c>
      <c r="L5">
        <f>D33/D28</f>
        <v>0.72748738864441342</v>
      </c>
      <c r="M5" s="35"/>
      <c r="N5">
        <f>60/F23</f>
        <v>1.1838055402099281E-2</v>
      </c>
      <c r="O5" s="41"/>
      <c r="P5"/>
      <c r="Q5"/>
      <c r="R5" s="138">
        <f>R4-S3</f>
        <v>-60</v>
      </c>
      <c r="S5" s="138">
        <f>S4-R3</f>
        <v>-49</v>
      </c>
      <c r="T5" s="41"/>
      <c r="U5" s="85"/>
      <c r="V5" s="85"/>
      <c r="W5"/>
      <c r="X5"/>
      <c r="Y5" s="41"/>
      <c r="Z5" s="92"/>
      <c r="AA5" s="92"/>
      <c r="AB5" s="41"/>
      <c r="AC5" s="41"/>
      <c r="AD5" s="92"/>
      <c r="AE5" s="92"/>
      <c r="AF5"/>
    </row>
    <row r="6" spans="1:36" ht="12" customHeight="1">
      <c r="A6" s="38" t="s">
        <v>110</v>
      </c>
      <c r="B6" s="26" t="str">
        <f>[1]!s_info_name(A6)</f>
        <v>华宝添益</v>
      </c>
      <c r="D6" s="30">
        <f>RTD($C$21,,$A6,D$21)</f>
        <v>100.002</v>
      </c>
      <c r="E6" s="75"/>
      <c r="F6" s="75">
        <f>RTD($C$21,,$A6,F$21)</f>
        <v>100.018</v>
      </c>
      <c r="G6" s="6">
        <f>RTD($C$21,,$A6,G$21)/1000000</f>
        <v>3517.0909860000002</v>
      </c>
      <c r="H6" s="5" t="str">
        <f>IF(ISNUMBER($C6),G6-E6,"")</f>
        <v/>
      </c>
      <c r="J6" s="41">
        <v>1</v>
      </c>
      <c r="L6"/>
      <c r="M6" s="35"/>
      <c r="N6"/>
      <c r="O6" s="35"/>
      <c r="P6"/>
      <c r="Q6"/>
      <c r="R6" s="41"/>
      <c r="S6" s="94"/>
      <c r="T6" s="41"/>
      <c r="U6" s="85"/>
      <c r="V6" s="85"/>
      <c r="W6"/>
      <c r="X6"/>
      <c r="Y6" s="41"/>
      <c r="Z6" s="92"/>
      <c r="AA6" s="93"/>
      <c r="AB6" s="41" t="s">
        <v>153</v>
      </c>
      <c r="AC6" s="41">
        <v>3</v>
      </c>
      <c r="AD6" s="92">
        <f>AC6*J23*F23</f>
        <v>3041040.0000000005</v>
      </c>
      <c r="AE6" s="92"/>
      <c r="AF6"/>
      <c r="AG6" s="41"/>
    </row>
    <row r="7" spans="1:36" ht="12" customHeight="1">
      <c r="A7" s="38" t="s">
        <v>111</v>
      </c>
      <c r="B7" s="26" t="str">
        <f>[1]!s_info_name(A7)</f>
        <v>证券A</v>
      </c>
      <c r="D7" s="30">
        <f>RTD($C$21,,$A7,D$21)</f>
        <v>0.999</v>
      </c>
      <c r="E7" s="75"/>
      <c r="F7" s="75">
        <f>RTD($C$21,,$A7,F$21)</f>
        <v>1</v>
      </c>
      <c r="G7" s="6">
        <f>RTD($C$21,,$A7,G$21)/1000000</f>
        <v>1.5387329999999999</v>
      </c>
      <c r="H7" s="5" t="str">
        <f t="shared" si="0"/>
        <v/>
      </c>
      <c r="J7" s="41">
        <v>1</v>
      </c>
      <c r="O7" s="35"/>
      <c r="P7"/>
      <c r="Q7"/>
      <c r="R7" s="41"/>
      <c r="S7"/>
      <c r="T7" s="41"/>
      <c r="U7" s="85"/>
      <c r="V7" s="85"/>
      <c r="W7"/>
      <c r="X7" s="41"/>
      <c r="Y7" s="41"/>
      <c r="Z7" s="92"/>
      <c r="AA7" s="93"/>
      <c r="AB7" s="92" t="s">
        <v>154</v>
      </c>
      <c r="AC7" s="92">
        <v>5</v>
      </c>
      <c r="AD7" s="92">
        <f>AC7*J28*F28</f>
        <v>5559600</v>
      </c>
      <c r="AE7" s="93"/>
      <c r="AF7" s="92"/>
      <c r="AG7" s="93"/>
      <c r="AH7" s="93"/>
      <c r="AJ7" s="93"/>
    </row>
    <row r="8" spans="1:36" ht="12" customHeight="1">
      <c r="A8" s="38" t="s">
        <v>117</v>
      </c>
      <c r="B8" s="26" t="str">
        <f>[1]!s_info_name(A8)</f>
        <v>11东阳光</v>
      </c>
      <c r="D8" s="30">
        <f>RTD($C$21,,$A8,D$21)</f>
        <v>0</v>
      </c>
      <c r="E8" s="75"/>
      <c r="F8" s="75">
        <f>RTD($C$21,,$A8,F$21)</f>
        <v>0</v>
      </c>
      <c r="G8" s="6">
        <f>RTD($C$21,,$A8,G$21)/1000000</f>
        <v>0</v>
      </c>
      <c r="H8" s="5" t="str">
        <f t="shared" si="0"/>
        <v/>
      </c>
      <c r="I8" s="7">
        <f>IF(D8&gt;0,F8/D8-1,0)</f>
        <v>0</v>
      </c>
      <c r="J8" s="41">
        <v>1</v>
      </c>
      <c r="L8" s="41">
        <f>COUNTIFS(G41:G892,"&gt;0")</f>
        <v>2</v>
      </c>
      <c r="N8" s="1">
        <f>N22/N32</f>
        <v>1.8924294732507565</v>
      </c>
      <c r="O8" s="41"/>
      <c r="P8" s="41">
        <f>N22/N27</f>
        <v>1.3782725001539684</v>
      </c>
      <c r="Q8" s="41">
        <v>3</v>
      </c>
      <c r="R8" s="41">
        <v>6023</v>
      </c>
      <c r="S8" s="41">
        <v>6070</v>
      </c>
      <c r="T8" s="137"/>
      <c r="U8" s="85"/>
      <c r="V8" s="85"/>
      <c r="W8" s="41"/>
      <c r="X8" s="41"/>
      <c r="Y8" s="41"/>
      <c r="Z8" s="92"/>
      <c r="AA8" s="93"/>
      <c r="AB8" s="92" t="s">
        <v>155</v>
      </c>
      <c r="AC8" s="92">
        <v>6</v>
      </c>
      <c r="AD8" s="92">
        <f>AC8*J33*F33</f>
        <v>4866840</v>
      </c>
      <c r="AE8" s="93"/>
      <c r="AF8" s="92"/>
      <c r="AG8" s="93"/>
      <c r="AH8" s="93"/>
      <c r="AJ8" s="93"/>
    </row>
    <row r="9" spans="1:36" ht="12" customHeight="1" thickBot="1">
      <c r="A9" s="9" t="s">
        <v>118</v>
      </c>
      <c r="B9" s="27" t="str">
        <f>[1]!s_info_name(A9)</f>
        <v>13永泰债</v>
      </c>
      <c r="C9" s="10"/>
      <c r="D9" s="31">
        <f>RTD($C$21,,$A9,D$21)</f>
        <v>0</v>
      </c>
      <c r="E9" s="76"/>
      <c r="F9" s="76">
        <f>RTD($C$21,,$A9,F$21)</f>
        <v>0</v>
      </c>
      <c r="G9" s="23">
        <f>RTD($C$21,,$A9,G$21)/1000000</f>
        <v>0</v>
      </c>
      <c r="H9" s="11" t="str">
        <f t="shared" si="0"/>
        <v/>
      </c>
      <c r="I9" s="24">
        <f>IF(D9&gt;0,F9/D9-1,0)</f>
        <v>0</v>
      </c>
      <c r="J9" s="41">
        <v>1</v>
      </c>
      <c r="L9" s="99">
        <f>AVERAGEIFS(I41:I892,G41:G892,"&gt;0")</f>
        <v>-3.49132863182533E-3</v>
      </c>
      <c r="N9" s="1">
        <f>N23/N33</f>
        <v>1.8922986131602242</v>
      </c>
      <c r="O9" s="41"/>
      <c r="P9" s="41"/>
      <c r="Q9" s="41">
        <v>2</v>
      </c>
      <c r="R9" s="41">
        <v>3867</v>
      </c>
      <c r="S9" s="41"/>
      <c r="T9" s="41"/>
      <c r="U9" s="85"/>
      <c r="V9" s="85"/>
      <c r="W9" s="41"/>
      <c r="X9" s="41"/>
      <c r="Y9" s="41"/>
      <c r="Z9" s="92"/>
      <c r="AA9" s="93"/>
    </row>
    <row r="10" spans="1:36" ht="12" hidden="1" customHeight="1">
      <c r="A10" s="4" t="s">
        <v>10</v>
      </c>
      <c r="B10" s="12">
        <f>A17</f>
        <v>0</v>
      </c>
      <c r="C10" s="13"/>
      <c r="D10" s="74"/>
      <c r="E10" s="15"/>
      <c r="F10" s="125" t="s">
        <v>1</v>
      </c>
      <c r="G10" s="14" t="s">
        <v>119</v>
      </c>
      <c r="H10" s="15"/>
      <c r="I10" s="16"/>
      <c r="J10" s="41">
        <v>1</v>
      </c>
      <c r="L10" s="41"/>
      <c r="M10" s="41"/>
      <c r="N10" s="1">
        <f>N24/N34</f>
        <v>1.8823442246425131</v>
      </c>
      <c r="O10" s="41"/>
      <c r="P10" s="41"/>
      <c r="Q10" s="41"/>
      <c r="R10" s="41"/>
      <c r="S10" s="41"/>
      <c r="T10" s="41"/>
      <c r="U10" s="85"/>
      <c r="V10" s="85"/>
      <c r="W10" s="41"/>
      <c r="X10" s="41"/>
      <c r="Y10" s="41"/>
      <c r="Z10" s="92"/>
      <c r="AA10" s="93"/>
      <c r="AB10" s="41"/>
      <c r="AC10" s="41"/>
      <c r="AD10" s="93"/>
      <c r="AE10" s="93"/>
      <c r="AF10" s="41"/>
      <c r="AG10" s="93"/>
      <c r="AH10" s="93"/>
      <c r="AJ10" s="93"/>
    </row>
    <row r="11" spans="1:36" ht="12" hidden="1" customHeight="1">
      <c r="A11" s="4" t="s">
        <v>10</v>
      </c>
      <c r="B11" s="12" t="str">
        <f>A27</f>
        <v>000300.SH</v>
      </c>
      <c r="D11" s="30">
        <f ca="1">IF(NOW()-TODAY()&lt;9.2/24,[1]!s_dq_settle($A11,TODAY()-2),[1]!s_dq_settle($A11,TODAY()-1))</f>
        <v>0</v>
      </c>
      <c r="F11" s="6" t="e">
        <f ca="1">IF(NOW()-TODAY()&lt;9.2/24,[1]!s_dq_settle($A11,TODAY()-1),IF(NOW()-TODAY()&lt;17/24,RTD($C$21,,$A11,F$21),[1]!s_dq_settle($A11,TODAY())))</f>
        <v>#N/A</v>
      </c>
      <c r="G11" s="6" t="e">
        <f>RTD($C$21,,$A11,G$21)/1000000</f>
        <v>#N/A</v>
      </c>
      <c r="J11" s="41">
        <v>1</v>
      </c>
      <c r="L11" s="41" t="e">
        <f>COUNTIFS(#REF!,"&lt;&gt;0")</f>
        <v>#REF!</v>
      </c>
      <c r="M11" s="41"/>
      <c r="N11" s="1">
        <f>N25/N35</f>
        <v>1.8773415255507266</v>
      </c>
      <c r="O11" s="41"/>
      <c r="P11" s="41"/>
      <c r="Q11" s="41"/>
      <c r="R11" s="41"/>
      <c r="S11" s="41"/>
      <c r="T11" s="41"/>
      <c r="U11" s="85"/>
      <c r="V11" s="85"/>
      <c r="W11" s="41"/>
      <c r="X11" s="41"/>
      <c r="Y11" s="41"/>
      <c r="Z11" s="92"/>
      <c r="AA11" s="93"/>
      <c r="AB11" s="41"/>
      <c r="AC11" s="41"/>
      <c r="AD11" s="93"/>
      <c r="AE11" s="93"/>
      <c r="AF11" s="41"/>
      <c r="AG11" s="93"/>
      <c r="AH11" s="93"/>
      <c r="AJ11" s="93"/>
    </row>
    <row r="12" spans="1:36" ht="12" hidden="1" customHeight="1">
      <c r="A12" s="17" t="str">
        <f>A1</f>
        <v>代码</v>
      </c>
      <c r="B12" s="17" t="str">
        <f>B1</f>
        <v>名称</v>
      </c>
      <c r="C12" s="18"/>
      <c r="D12" s="143" t="str">
        <f t="shared" ref="D12:I12" si="1">D1</f>
        <v>收盘价格</v>
      </c>
      <c r="E12" s="18"/>
      <c r="F12" s="17" t="str">
        <f t="shared" si="1"/>
        <v>最新价格</v>
      </c>
      <c r="G12" s="142" t="str">
        <f t="shared" si="1"/>
        <v>最新市值</v>
      </c>
      <c r="H12" s="19" t="str">
        <f t="shared" si="1"/>
        <v>P&amp;L</v>
      </c>
      <c r="I12" s="20" t="str">
        <f t="shared" si="1"/>
        <v>Ret</v>
      </c>
      <c r="J12" s="41">
        <v>1</v>
      </c>
      <c r="L12" s="99">
        <f>AVERAGEIFS(I41:I892,I41:I892,"&lt;&gt;0")</f>
        <v>-3.49132863182533E-3</v>
      </c>
      <c r="M12" s="2"/>
      <c r="N12" s="1">
        <f>N26/N36</f>
        <v>1.8621477532368622</v>
      </c>
      <c r="P12" s="41"/>
      <c r="Z12" s="92"/>
      <c r="AA12" s="93"/>
      <c r="AD12" s="92"/>
      <c r="AE12" s="92"/>
    </row>
    <row r="13" spans="1:36" s="41" customFormat="1" ht="12" hidden="1" customHeight="1">
      <c r="A13" s="39"/>
      <c r="B13" s="38"/>
      <c r="C13" s="8"/>
      <c r="D13" s="30"/>
      <c r="E13" s="5"/>
      <c r="F13" s="6"/>
      <c r="G13" s="6"/>
      <c r="H13" s="5"/>
      <c r="I13" s="91"/>
      <c r="L13" s="1"/>
      <c r="M13" s="1"/>
      <c r="N13" s="1"/>
      <c r="O13" s="1"/>
      <c r="P13" s="1"/>
      <c r="Q13" s="1"/>
      <c r="R13" s="1"/>
      <c r="S13" s="1"/>
      <c r="T13" s="3"/>
      <c r="U13" s="86"/>
      <c r="V13" s="86"/>
      <c r="W13" s="3"/>
      <c r="X13" s="3"/>
      <c r="Y13" s="3"/>
      <c r="Z13" s="1"/>
      <c r="AA13" s="1"/>
      <c r="AB13" s="1"/>
      <c r="AC13" s="1"/>
      <c r="AD13" s="1"/>
      <c r="AE13" s="1"/>
      <c r="AF13" s="1"/>
    </row>
    <row r="14" spans="1:36" s="41" customFormat="1" ht="12" hidden="1" customHeight="1">
      <c r="A14" s="39"/>
      <c r="B14" s="38"/>
      <c r="C14" s="8"/>
      <c r="D14" s="30"/>
      <c r="E14" s="5"/>
      <c r="F14" s="6"/>
      <c r="G14" s="6"/>
      <c r="H14" s="5"/>
      <c r="I14" s="32"/>
    </row>
    <row r="15" spans="1:36" s="41" customFormat="1" ht="12" hidden="1" customHeight="1">
      <c r="A15" s="39"/>
      <c r="B15" s="38"/>
      <c r="C15" s="8"/>
      <c r="D15" s="30"/>
      <c r="E15" s="5"/>
      <c r="F15" s="6"/>
      <c r="G15" s="6"/>
      <c r="H15" s="5"/>
      <c r="I15" s="32"/>
    </row>
    <row r="16" spans="1:36" s="41" customFormat="1" ht="12" hidden="1" customHeight="1">
      <c r="A16" s="39"/>
      <c r="B16" s="38"/>
      <c r="C16" s="8"/>
      <c r="D16" s="30"/>
      <c r="E16" s="5"/>
      <c r="F16" s="6"/>
      <c r="G16" s="6"/>
      <c r="H16" s="5"/>
      <c r="I16" s="32"/>
    </row>
    <row r="17" spans="1:39" ht="12" hidden="1" customHeight="1">
      <c r="A17" s="39"/>
      <c r="B17" s="38"/>
      <c r="J17" s="41">
        <v>1</v>
      </c>
    </row>
    <row r="18" spans="1:39" ht="12" hidden="1" customHeight="1">
      <c r="A18" s="39" t="s">
        <v>94</v>
      </c>
      <c r="B18" s="38" t="s">
        <v>104</v>
      </c>
      <c r="J18" s="41">
        <v>1</v>
      </c>
    </row>
    <row r="19" spans="1:39" ht="12" hidden="1" customHeight="1">
      <c r="A19" s="39" t="s">
        <v>0</v>
      </c>
      <c r="B19" s="38" t="s">
        <v>12</v>
      </c>
      <c r="C19" s="8" t="s">
        <v>13</v>
      </c>
      <c r="D19" s="30" t="s">
        <v>166</v>
      </c>
      <c r="F19" s="124">
        <f ca="1">TODAY()-1</f>
        <v>43923</v>
      </c>
      <c r="G19" s="6" t="s">
        <v>163</v>
      </c>
      <c r="I19" s="7" t="s">
        <v>14</v>
      </c>
      <c r="J19" s="41">
        <v>1</v>
      </c>
      <c r="L19" s="126">
        <f ca="1">NOW()</f>
        <v>43924.492114236113</v>
      </c>
      <c r="T19" s="41"/>
      <c r="U19" s="85"/>
      <c r="V19" s="85"/>
      <c r="W19" s="1"/>
      <c r="X19"/>
      <c r="Y19" s="41"/>
      <c r="Z19"/>
      <c r="AA19"/>
      <c r="AB19" s="92"/>
      <c r="AC19" s="103"/>
      <c r="AD19" s="104">
        <v>13000000</v>
      </c>
      <c r="AE19" s="105"/>
      <c r="AF19" s="103"/>
      <c r="AG19" s="104">
        <v>-13700000</v>
      </c>
      <c r="AH19" s="105"/>
      <c r="AI19" s="119"/>
      <c r="AJ19" s="104">
        <f>AD19+AG19</f>
        <v>-700000</v>
      </c>
      <c r="AK19" s="120"/>
    </row>
    <row r="20" spans="1:39" s="35" customFormat="1" ht="12" hidden="1" customHeight="1" thickBot="1">
      <c r="A20" s="39" t="s">
        <v>10</v>
      </c>
      <c r="B20" s="38" t="s">
        <v>12</v>
      </c>
      <c r="C20" s="8" t="s">
        <v>15</v>
      </c>
      <c r="D20" s="30" t="s">
        <v>167</v>
      </c>
      <c r="E20" s="5"/>
      <c r="F20" s="14" t="s">
        <v>119</v>
      </c>
      <c r="G20" s="6" t="s">
        <v>164</v>
      </c>
      <c r="H20" s="5"/>
      <c r="I20" s="7" t="s">
        <v>16</v>
      </c>
      <c r="J20" s="41">
        <v>1</v>
      </c>
      <c r="L20" s="1"/>
      <c r="M20" s="1"/>
      <c r="N20" s="1"/>
      <c r="O20" s="1"/>
      <c r="P20" s="1"/>
      <c r="Q20" s="1"/>
      <c r="R20" s="1"/>
      <c r="S20" s="1"/>
      <c r="T20" s="41"/>
      <c r="U20" s="85"/>
      <c r="V20" s="85"/>
      <c r="W20" s="1"/>
      <c r="Y20" s="41"/>
      <c r="AB20" s="41"/>
      <c r="AC20" s="106"/>
      <c r="AD20" s="107"/>
      <c r="AE20" s="108"/>
      <c r="AF20" s="106"/>
      <c r="AG20" s="107"/>
      <c r="AH20" s="108"/>
      <c r="AI20" s="106"/>
      <c r="AJ20" s="107"/>
      <c r="AK20" s="108"/>
    </row>
    <row r="21" spans="1:39" ht="12" customHeight="1">
      <c r="A21" s="40" t="s">
        <v>95</v>
      </c>
      <c r="B21" s="9" t="s">
        <v>12</v>
      </c>
      <c r="C21" s="10" t="s">
        <v>15</v>
      </c>
      <c r="D21" s="144" t="s">
        <v>167</v>
      </c>
      <c r="E21" s="11"/>
      <c r="F21" s="31" t="s">
        <v>119</v>
      </c>
      <c r="G21" s="145" t="s">
        <v>164</v>
      </c>
      <c r="H21" s="11"/>
      <c r="I21" s="98" t="s">
        <v>151</v>
      </c>
      <c r="J21" s="72">
        <v>1</v>
      </c>
      <c r="K21" s="73">
        <v>0</v>
      </c>
      <c r="L21" s="63" t="s">
        <v>77</v>
      </c>
      <c r="M21" s="64"/>
      <c r="N21" s="62" t="s">
        <v>107</v>
      </c>
      <c r="O21" s="53"/>
      <c r="P21" s="50" t="s">
        <v>108</v>
      </c>
      <c r="Q21" s="57" t="s">
        <v>2</v>
      </c>
      <c r="R21" s="53"/>
      <c r="S21" s="50" t="s">
        <v>105</v>
      </c>
      <c r="T21" s="45" t="s">
        <v>115</v>
      </c>
      <c r="U21" s="87" t="s">
        <v>114</v>
      </c>
      <c r="V21" s="87" t="s">
        <v>116</v>
      </c>
      <c r="W21" s="53"/>
      <c r="X21" s="50" t="s">
        <v>106</v>
      </c>
      <c r="Y21" s="45" t="s">
        <v>113</v>
      </c>
      <c r="Z21" s="77" t="s">
        <v>93</v>
      </c>
      <c r="AA21" s="78" t="s">
        <v>112</v>
      </c>
      <c r="AB21" s="97"/>
      <c r="AC21" s="109"/>
      <c r="AD21" s="96">
        <f>SUM(AD22:AD36)</f>
        <v>6012760</v>
      </c>
      <c r="AE21" s="110"/>
      <c r="AF21" s="109"/>
      <c r="AG21" s="96">
        <f>SUM(AG22:AG36)</f>
        <v>-9325660.0000000019</v>
      </c>
      <c r="AH21" s="110"/>
      <c r="AI21" s="109"/>
      <c r="AJ21" s="96">
        <f>AD21+AG21</f>
        <v>-3312900.0000000019</v>
      </c>
      <c r="AK21" s="121"/>
    </row>
    <row r="22" spans="1:39" s="35" customFormat="1" ht="12" customHeight="1">
      <c r="A22" s="26" t="s">
        <v>121</v>
      </c>
      <c r="B22" s="26" t="s">
        <v>123</v>
      </c>
      <c r="C22" s="13"/>
      <c r="D22" s="30">
        <f>IF(RTD($C$21,,$A22,D$21)=0,IF(RTD($C$21,,$B22,D$21)=0,NA(),RTD($C$21,,$B22,D$21)),RTD($C$21,,$A22,D$21))</f>
        <v>5147.2</v>
      </c>
      <c r="E22" s="30"/>
      <c r="F22" s="30">
        <f>IF(RTD($C$21,,$A22,F$21)=0,IF(RTD($C$21,,$B22,F$21)=0,D22,RTD($C$21,,$B22,F$21)),RTD($C$21,,$A22,F$21))</f>
        <v>5120.18</v>
      </c>
      <c r="G22" s="146">
        <f>RTD($C$21,,$A22,G$21)/1000000</f>
        <v>69563.089000000007</v>
      </c>
      <c r="H22" s="5"/>
      <c r="I22" s="7">
        <f t="shared" ref="I22:I31" si="2">IF(AND(D22&gt;0,F22&gt;0),F22/D22-1,"")</f>
        <v>-5.2494560149206615E-3</v>
      </c>
      <c r="J22" s="5">
        <v>200</v>
      </c>
      <c r="K22" s="26">
        <f>AB22*K$21</f>
        <v>0</v>
      </c>
      <c r="L22" s="65" t="str">
        <f>A22</f>
        <v>000905.SH</v>
      </c>
      <c r="M22" s="66" t="str">
        <f>B22</f>
        <v>中证500</v>
      </c>
      <c r="N22" s="56">
        <f>D22</f>
        <v>5147.2</v>
      </c>
      <c r="O22" s="29"/>
      <c r="P22" s="46"/>
      <c r="Q22" s="58">
        <f t="shared" ref="Q22:Q36" si="3">F22</f>
        <v>5120.18</v>
      </c>
      <c r="R22" s="138">
        <f>RTD($C$21,,$A23,"Bid_Price1")</f>
        <v>5068.4000000000005</v>
      </c>
      <c r="S22" s="139">
        <f>RTD($C$21,,$A23,"Ask_Price1")</f>
        <v>5069</v>
      </c>
      <c r="T22" s="54"/>
      <c r="U22" s="54"/>
      <c r="V22" s="54"/>
      <c r="W22" s="29"/>
      <c r="X22" s="55"/>
      <c r="Y22" s="54"/>
      <c r="Z22" s="79">
        <f ca="1">Z27</f>
        <v>43924</v>
      </c>
      <c r="AA22" s="80">
        <f t="shared" ref="AA22:AA36" si="4">F22*J22</f>
        <v>1024036</v>
      </c>
      <c r="AB22" s="36"/>
      <c r="AC22" s="111"/>
      <c r="AD22" s="112"/>
      <c r="AE22" s="113"/>
      <c r="AF22" s="111"/>
      <c r="AG22" s="112"/>
      <c r="AH22" s="113"/>
      <c r="AI22" s="111"/>
      <c r="AJ22" s="112"/>
      <c r="AK22" s="114"/>
    </row>
    <row r="23" spans="1:39" ht="12" customHeight="1">
      <c r="A23" s="39" t="str">
        <f>LEFT(B23,2)&amp;RIGHT(YEAR(Z23),2)&amp;RIGHT("00"&amp;MONTH(Z23),2)&amp;".CFE"</f>
        <v>IC2004.CFE</v>
      </c>
      <c r="B23" s="39" t="s">
        <v>85</v>
      </c>
      <c r="D23" s="30">
        <f>IF(RTD($C$21,,$A23,D$21)=0,IF(RTD($C$21,,$B23,D$21)=0,NA(),RTD($C$21,,$B23,D$21)),RTD($C$21,,$A23,D$21))</f>
        <v>5130.4000000000005</v>
      </c>
      <c r="E23" s="30"/>
      <c r="F23" s="134">
        <f>IF(RTD($C$21,,$A23,F$21)=0,IF(RTD($C$21,,$B23,F$21)=0,D23,RTD($C$21,,$B23,F$21)),RTD($C$21,,$A23,F$21))</f>
        <v>5068.4000000000005</v>
      </c>
      <c r="G23" s="146">
        <f>RTD($C$21,,$A23,G$21)/1000000</f>
        <v>50131.161959999998</v>
      </c>
      <c r="I23" s="7">
        <f t="shared" si="2"/>
        <v>-1.208482769374708E-2</v>
      </c>
      <c r="J23" s="5">
        <v>200</v>
      </c>
      <c r="K23" s="26">
        <f>AB23*K$21</f>
        <v>0</v>
      </c>
      <c r="L23" s="67" t="str">
        <f>A23</f>
        <v>IC2004.CFE</v>
      </c>
      <c r="M23" s="68" t="str">
        <f t="shared" ref="M23:M36" si="5">B23</f>
        <v>IC00.CFE</v>
      </c>
      <c r="N23" s="29">
        <f t="shared" ref="N23:N36" si="6">D23</f>
        <v>5130.4000000000005</v>
      </c>
      <c r="O23" s="29">
        <f>N23-N$22+$K23</f>
        <v>-16.799999999999272</v>
      </c>
      <c r="P23" s="47">
        <f>O23/N22</f>
        <v>-3.2639104755982423E-3</v>
      </c>
      <c r="Q23" s="135">
        <f t="shared" si="3"/>
        <v>5068.4000000000005</v>
      </c>
      <c r="R23" s="29">
        <f>Q23-Q$22+$K23</f>
        <v>-51.779999999999745</v>
      </c>
      <c r="S23" s="47">
        <f>R23/Q22</f>
        <v>-1.0112925717455196E-2</v>
      </c>
      <c r="T23" s="47">
        <f>S23-P23</f>
        <v>-6.8490152418569537E-3</v>
      </c>
      <c r="U23" s="88">
        <f ca="1">S23*30/(Z23-Z22)</f>
        <v>-2.0225851434910392E-2</v>
      </c>
      <c r="V23" s="88">
        <f>LEFT(V$21,4)*S23</f>
        <v>-7.0790480022186368E-3</v>
      </c>
      <c r="W23" s="29">
        <f>Q23-Q23</f>
        <v>0</v>
      </c>
      <c r="X23" s="47">
        <f>W23/Q22</f>
        <v>0</v>
      </c>
      <c r="Y23" s="47">
        <f>X23-(N23-N23)/N22</f>
        <v>0</v>
      </c>
      <c r="Z23" s="79">
        <f>Z28</f>
        <v>43939</v>
      </c>
      <c r="AA23" s="81">
        <f t="shared" si="4"/>
        <v>1013680.0000000001</v>
      </c>
      <c r="AB23" s="36">
        <v>19</v>
      </c>
      <c r="AC23" s="111">
        <v>1</v>
      </c>
      <c r="AD23" s="112">
        <f>AC23*$AA23</f>
        <v>1013680.0000000001</v>
      </c>
      <c r="AE23" s="114">
        <f>AD23/AD$21</f>
        <v>0.16858813589765767</v>
      </c>
      <c r="AF23" s="111">
        <v>-10</v>
      </c>
      <c r="AG23" s="112">
        <f>AF23*$AA23</f>
        <v>-10136800.000000002</v>
      </c>
      <c r="AH23" s="114">
        <f>AG23/AG$21</f>
        <v>1.0869793666078327</v>
      </c>
      <c r="AI23" s="111">
        <v>-1</v>
      </c>
      <c r="AJ23" s="112">
        <f>AD23+AG23</f>
        <v>-9123120.0000000019</v>
      </c>
      <c r="AK23" s="114">
        <f>AJ23/AJ$21</f>
        <v>2.753816897582178</v>
      </c>
      <c r="AL23">
        <v>6031</v>
      </c>
      <c r="AM23">
        <f>(F23-AL23)*J23*2</f>
        <v>-385039.99999999977</v>
      </c>
    </row>
    <row r="24" spans="1:39" ht="12" customHeight="1">
      <c r="A24" s="39" t="str">
        <f>LEFT(B24,2)&amp;RIGHT(YEAR(Z24),2)&amp;RIGHT("00"&amp;MONTH(Z24),2)&amp;".CFE"</f>
        <v>IC2005.CFE</v>
      </c>
      <c r="B24" s="39" t="s">
        <v>86</v>
      </c>
      <c r="D24" s="30">
        <f>IF(RTD($C$21,,$A24,D$21)=0,IF(RTD($C$21,,$B24,D$21)=0,NA(),RTD($C$21,,$B24,D$21)),RTD($C$21,,$A24,D$21))</f>
        <v>5081.2</v>
      </c>
      <c r="E24" s="30"/>
      <c r="F24" s="30">
        <f>IF(RTD($C$21,,$A24,F$21)=0,IF(RTD($C$21,,$B24,F$21)=0,D24,RTD($C$21,,$B24,F$21)),RTD($C$21,,$A24,F$21))</f>
        <v>5018.2</v>
      </c>
      <c r="G24" s="146">
        <f>RTD($C$21,,$A24,G$21)/1000000</f>
        <v>1861.70472</v>
      </c>
      <c r="I24" s="7">
        <f t="shared" si="2"/>
        <v>-1.2398645989136425E-2</v>
      </c>
      <c r="J24" s="5">
        <v>200</v>
      </c>
      <c r="K24" s="26">
        <f t="shared" ref="K24:K36" si="7">AB24*K$21</f>
        <v>0</v>
      </c>
      <c r="L24" s="67" t="str">
        <f>A24</f>
        <v>IC2005.CFE</v>
      </c>
      <c r="M24" s="68" t="str">
        <f t="shared" si="5"/>
        <v>IC01.CFE</v>
      </c>
      <c r="N24" s="29">
        <f t="shared" si="6"/>
        <v>5081.2</v>
      </c>
      <c r="O24" s="29">
        <f>N24-N$22+$K24</f>
        <v>-66</v>
      </c>
      <c r="P24" s="47">
        <f>O24/N22</f>
        <v>-1.2822505439850793E-2</v>
      </c>
      <c r="Q24" s="59">
        <f t="shared" si="3"/>
        <v>5018.2</v>
      </c>
      <c r="R24" s="29">
        <f>Q24-Q$22+$K24</f>
        <v>-101.98000000000047</v>
      </c>
      <c r="S24" s="47">
        <f>R24/Q22</f>
        <v>-1.991726853352821E-2</v>
      </c>
      <c r="T24" s="47">
        <f>S24-P24</f>
        <v>-7.094763093677417E-3</v>
      </c>
      <c r="U24" s="88">
        <f ca="1">S24*30/(Z24-Z22)</f>
        <v>-1.3895768744322006E-2</v>
      </c>
      <c r="V24" s="88">
        <f>LEFT(V$21,4)*S24</f>
        <v>-1.3942087973469746E-2</v>
      </c>
      <c r="W24" s="29">
        <f>Q24-Q23</f>
        <v>-50.200000000000728</v>
      </c>
      <c r="X24" s="47">
        <f>W24/Q22</f>
        <v>-9.8043428160730136E-3</v>
      </c>
      <c r="Y24" s="47">
        <f>X24-(N24-N23)/N22</f>
        <v>-2.4574785182046241E-4</v>
      </c>
      <c r="Z24" s="79">
        <f>Z29</f>
        <v>43967</v>
      </c>
      <c r="AA24" s="81">
        <f t="shared" si="4"/>
        <v>1003640</v>
      </c>
      <c r="AB24" s="36">
        <v>36</v>
      </c>
      <c r="AC24" s="111">
        <v>1</v>
      </c>
      <c r="AD24" s="112">
        <f>AC24*$AA24</f>
        <v>1003640</v>
      </c>
      <c r="AE24" s="114">
        <f>AD24/AD$21</f>
        <v>0.16691835363460375</v>
      </c>
      <c r="AF24" s="111"/>
      <c r="AG24" s="112">
        <f>AF24*$AA24</f>
        <v>0</v>
      </c>
      <c r="AH24" s="114">
        <f>AG24/AG$21</f>
        <v>0</v>
      </c>
      <c r="AI24" s="111">
        <f>AC24+AF24</f>
        <v>1</v>
      </c>
      <c r="AJ24" s="112">
        <f>AD24+AG24</f>
        <v>1003640</v>
      </c>
      <c r="AK24" s="114">
        <f>AJ24/AJ$21</f>
        <v>-0.30294907784720321</v>
      </c>
    </row>
    <row r="25" spans="1:39" s="35" customFormat="1" ht="9.75" customHeight="1">
      <c r="A25" s="39" t="str">
        <f>LEFT(B25,2)&amp;RIGHT(YEAR(Z25),2)&amp;RIGHT("00"&amp;MONTH(Z25),2)&amp;".CFE"</f>
        <v>IC2006.CFE</v>
      </c>
      <c r="B25" s="39" t="s">
        <v>87</v>
      </c>
      <c r="C25" s="8"/>
      <c r="D25" s="30">
        <f>IF(RTD($C$21,,$A25,D$21)=0,IF(RTD($C$21,,$B25,D$21)=0,NA(),RTD($C$21,,$B25,D$21)),RTD($C$21,,$A25,D$21))</f>
        <v>5011</v>
      </c>
      <c r="E25" s="74"/>
      <c r="F25" s="30">
        <f>IF(RTD($C$21,,$A25,F$21)=0,IF(RTD($C$21,,$B25,F$21)=0,D25,RTD($C$21,,$B25,F$21)),RTD($C$21,,$A25,F$21))</f>
        <v>4949.6000000000004</v>
      </c>
      <c r="G25" s="146">
        <f>RTD($C$21,,$A25,G$21)/1000000</f>
        <v>9031.9304800000009</v>
      </c>
      <c r="H25" s="5"/>
      <c r="I25" s="7">
        <f t="shared" si="2"/>
        <v>-1.2253043304729538E-2</v>
      </c>
      <c r="J25" s="5">
        <v>200</v>
      </c>
      <c r="K25" s="26">
        <f t="shared" si="7"/>
        <v>0</v>
      </c>
      <c r="L25" s="67" t="str">
        <f t="shared" ref="L25:L32" si="8">A25</f>
        <v>IC2006.CFE</v>
      </c>
      <c r="M25" s="68" t="str">
        <f t="shared" si="5"/>
        <v>IC02.CFE</v>
      </c>
      <c r="N25" s="29">
        <f t="shared" si="6"/>
        <v>5011</v>
      </c>
      <c r="O25" s="29">
        <f>N25-N$22+$K25</f>
        <v>-136.19999999999982</v>
      </c>
      <c r="P25" s="47">
        <f>O25/N22</f>
        <v>-2.6460988498601148E-2</v>
      </c>
      <c r="Q25" s="59">
        <f t="shared" si="3"/>
        <v>4949.6000000000004</v>
      </c>
      <c r="R25" s="29">
        <f>Q25-Q$22+$K25</f>
        <v>-170.57999999999993</v>
      </c>
      <c r="S25" s="47">
        <f>R25/Q22</f>
        <v>-3.3315235011269116E-2</v>
      </c>
      <c r="T25" s="47">
        <f>S25-P25</f>
        <v>-6.8542465126679684E-3</v>
      </c>
      <c r="U25" s="88">
        <f ca="1">S25*30/(Z25-Z22)</f>
        <v>-1.2651355067570551E-2</v>
      </c>
      <c r="V25" s="88">
        <f>LEFT(V$21,4)*S25</f>
        <v>-2.3320664507888379E-2</v>
      </c>
      <c r="W25" s="29">
        <f>Q25-Q23</f>
        <v>-118.80000000000018</v>
      </c>
      <c r="X25" s="47">
        <f>W25/Q22</f>
        <v>-2.3202309293813922E-2</v>
      </c>
      <c r="Y25" s="47">
        <f>X25-(N25-N23)/N22</f>
        <v>-5.2312708110173467E-6</v>
      </c>
      <c r="Z25" s="79">
        <f>Z30</f>
        <v>44003</v>
      </c>
      <c r="AA25" s="81">
        <f t="shared" si="4"/>
        <v>989920.00000000012</v>
      </c>
      <c r="AB25" s="36">
        <v>36</v>
      </c>
      <c r="AC25" s="111">
        <v>1</v>
      </c>
      <c r="AD25" s="112">
        <f>AC25*$AA25</f>
        <v>989920.00000000012</v>
      </c>
      <c r="AE25" s="114"/>
      <c r="AF25" s="111"/>
      <c r="AG25" s="112"/>
      <c r="AH25" s="114"/>
      <c r="AI25" s="111"/>
      <c r="AJ25" s="112"/>
      <c r="AK25" s="114"/>
    </row>
    <row r="26" spans="1:39" s="33" customFormat="1" ht="12" customHeight="1">
      <c r="A26" s="40" t="str">
        <f>LEFT(B26,2)&amp;RIGHT(YEAR(Z26),2)&amp;RIGHT("00"&amp;MONTH(Z26),2)&amp;".CFE"</f>
        <v>IC2009.CFE</v>
      </c>
      <c r="B26" s="40" t="s">
        <v>88</v>
      </c>
      <c r="C26" s="10"/>
      <c r="D26" s="31">
        <f>IF(RTD($C$21,,$A26,D$21)=0,IF(RTD($C$21,,$B26,D$21)=0,NA(),RTD($C$21,,$B26,D$21)),RTD($C$21,,$A26,D$21))</f>
        <v>4890</v>
      </c>
      <c r="E26" s="31"/>
      <c r="F26" s="31">
        <f>IF(RTD($C$21,,$A26,F$21)=0,IF(RTD($C$21,,$B26,F$21)=0,D26,RTD($C$21,,$B26,F$21)),RTD($C$21,,$A26,F$21))</f>
        <v>4828</v>
      </c>
      <c r="G26" s="147">
        <f>RTD($C$21,,$A26,G$21)/1000000</f>
        <v>4616.0146000000004</v>
      </c>
      <c r="H26" s="11"/>
      <c r="I26" s="24">
        <f t="shared" si="2"/>
        <v>-1.2678936605316937E-2</v>
      </c>
      <c r="J26" s="11">
        <v>200</v>
      </c>
      <c r="K26" s="26">
        <f t="shared" si="7"/>
        <v>0</v>
      </c>
      <c r="L26" s="69" t="str">
        <f t="shared" si="8"/>
        <v>IC2009.CFE</v>
      </c>
      <c r="M26" s="70" t="str">
        <f t="shared" si="5"/>
        <v>IC03.CFE</v>
      </c>
      <c r="N26" s="51">
        <f t="shared" si="6"/>
        <v>4890</v>
      </c>
      <c r="O26" s="51">
        <f>N26-N$22+$K26</f>
        <v>-257.19999999999982</v>
      </c>
      <c r="P26" s="48">
        <f>O26/N22</f>
        <v>-4.9968915138327602E-2</v>
      </c>
      <c r="Q26" s="60">
        <f t="shared" si="3"/>
        <v>4828</v>
      </c>
      <c r="R26" s="51">
        <f>Q26-Q$22+$K26</f>
        <v>-292.18000000000029</v>
      </c>
      <c r="S26" s="48">
        <f>R26/Q22</f>
        <v>-5.7064400079684753E-2</v>
      </c>
      <c r="T26" s="48">
        <f>S26-P26</f>
        <v>-7.0954849413571511E-3</v>
      </c>
      <c r="U26" s="89">
        <f ca="1">S26*30/(Z26-Z22)</f>
        <v>-1.0129775162074217E-2</v>
      </c>
      <c r="V26" s="89">
        <f>LEFT(V$21,4)*S26</f>
        <v>-3.9945080055779326E-2</v>
      </c>
      <c r="W26" s="51">
        <f>Q26-Q23</f>
        <v>-240.40000000000055</v>
      </c>
      <c r="X26" s="48">
        <f>W26/Q22</f>
        <v>-4.6951474362229559E-2</v>
      </c>
      <c r="Y26" s="48">
        <f>X26-(N26-N23)/N22</f>
        <v>-2.4646969950019998E-4</v>
      </c>
      <c r="Z26" s="82">
        <f>Z31</f>
        <v>44093</v>
      </c>
      <c r="AA26" s="83">
        <f t="shared" si="4"/>
        <v>965600</v>
      </c>
      <c r="AB26" s="37">
        <v>36</v>
      </c>
      <c r="AC26" s="115"/>
      <c r="AD26" s="95"/>
      <c r="AE26" s="116"/>
      <c r="AF26" s="115"/>
      <c r="AG26" s="95"/>
      <c r="AH26" s="116"/>
      <c r="AI26" s="115"/>
      <c r="AJ26" s="95"/>
      <c r="AK26" s="116"/>
    </row>
    <row r="27" spans="1:39" ht="12" customHeight="1">
      <c r="A27" s="26" t="s">
        <v>11</v>
      </c>
      <c r="B27" s="26" t="s">
        <v>96</v>
      </c>
      <c r="D27" s="30">
        <f>IF(RTD($C$21,,$A27,D$21)=0,IF(RTD($C$21,,$B27,D$21)=0,NA(),RTD($C$21,,$B27,D$21)),RTD($C$21,,$A27,D$21))</f>
        <v>3734.53</v>
      </c>
      <c r="E27" s="30"/>
      <c r="F27" s="30">
        <f>IF(RTD($C$21,,$A27,F$21)=0,IF(RTD($C$21,,$B27,F$21)=0,D27,RTD($C$21,,$B27,F$21)),RTD($C$21,,$A27,F$21))</f>
        <v>3724.32</v>
      </c>
      <c r="G27" s="146">
        <f>RTD($C$21,,$A27,G$21)/1000000</f>
        <v>92822.608300000007</v>
      </c>
      <c r="I27" s="7">
        <f t="shared" si="2"/>
        <v>-2.7339451015254701E-3</v>
      </c>
      <c r="J27" s="5">
        <v>300</v>
      </c>
      <c r="K27" s="26">
        <f t="shared" si="7"/>
        <v>0</v>
      </c>
      <c r="L27" s="65" t="str">
        <f t="shared" si="8"/>
        <v>000300.SH</v>
      </c>
      <c r="M27" s="66" t="str">
        <f t="shared" si="5"/>
        <v>沪深300</v>
      </c>
      <c r="N27" s="56">
        <f t="shared" si="6"/>
        <v>3734.53</v>
      </c>
      <c r="O27" s="29"/>
      <c r="P27" s="46"/>
      <c r="Q27" s="58">
        <f t="shared" si="3"/>
        <v>3724.32</v>
      </c>
      <c r="R27" s="138">
        <f>RTD($C$21,,$A28,"Bid_Price1")</f>
        <v>3706.4</v>
      </c>
      <c r="S27" s="139">
        <f>RTD($C$21,,$A28,"Ask_Price1")</f>
        <v>3707</v>
      </c>
      <c r="T27" s="54"/>
      <c r="U27" s="54"/>
      <c r="V27" s="54"/>
      <c r="W27" s="29"/>
      <c r="X27" s="55"/>
      <c r="Y27" s="54"/>
      <c r="Z27" s="79">
        <f ca="1">TODAY()</f>
        <v>43924</v>
      </c>
      <c r="AA27" s="80">
        <f t="shared" si="4"/>
        <v>1117296</v>
      </c>
      <c r="AC27" s="117"/>
      <c r="AD27" s="112"/>
      <c r="AE27" s="114"/>
      <c r="AF27" s="117"/>
      <c r="AG27" s="112"/>
      <c r="AH27" s="114"/>
      <c r="AI27" s="117"/>
      <c r="AJ27" s="112"/>
      <c r="AK27" s="114"/>
    </row>
    <row r="28" spans="1:39" s="35" customFormat="1" ht="12" customHeight="1">
      <c r="A28" s="39" t="str">
        <f>LEFT(B28,2)&amp;RIGHT(YEAR(Z28),2)&amp;RIGHT("00"&amp;MONTH(Z28),2)&amp;".CFE"</f>
        <v>IF2004.CFE</v>
      </c>
      <c r="B28" s="39" t="s">
        <v>81</v>
      </c>
      <c r="C28" s="8"/>
      <c r="D28" s="30">
        <f>IF(RTD($C$21,,$A28,D$21)=0,IF(RTD($C$21,,$B28,D$21)=0,NA(),RTD($C$21,,$B28,D$21)),RTD($C$21,,$A28,D$21))</f>
        <v>3726.8</v>
      </c>
      <c r="E28" s="30"/>
      <c r="F28" s="134">
        <f>IF(RTD($C$21,,$A28,F$21)=0,IF(RTD($C$21,,$B28,F$21)=0,D28,RTD($C$21,,$B28,F$21)),RTD($C$21,,$A28,F$21))</f>
        <v>3706.4</v>
      </c>
      <c r="G28" s="146">
        <f>RTD($C$21,,$A28,G$21)/1000000</f>
        <v>51420.211020000002</v>
      </c>
      <c r="H28" s="5"/>
      <c r="I28" s="7">
        <f t="shared" si="2"/>
        <v>-5.4738649779971782E-3</v>
      </c>
      <c r="J28" s="5">
        <v>300</v>
      </c>
      <c r="K28" s="26">
        <f t="shared" si="7"/>
        <v>0</v>
      </c>
      <c r="L28" s="67" t="str">
        <f t="shared" si="8"/>
        <v>IF2004.CFE</v>
      </c>
      <c r="M28" s="68" t="str">
        <f t="shared" si="5"/>
        <v>IF00.CFE</v>
      </c>
      <c r="N28" s="29">
        <f t="shared" si="6"/>
        <v>3726.8</v>
      </c>
      <c r="O28" s="29">
        <f>N28-N$27+$K28</f>
        <v>-7.7300000000000182</v>
      </c>
      <c r="P28" s="47">
        <f>O28/N27</f>
        <v>-2.0698722463067688E-3</v>
      </c>
      <c r="Q28" s="135">
        <f t="shared" si="3"/>
        <v>3706.4</v>
      </c>
      <c r="R28" s="29">
        <f>Q28-Q$27+$K28</f>
        <v>-17.920000000000073</v>
      </c>
      <c r="S28" s="47">
        <f>R28/Q27</f>
        <v>-4.8116166172616943E-3</v>
      </c>
      <c r="T28" s="47">
        <f>S28-P28</f>
        <v>-2.7417443709549256E-3</v>
      </c>
      <c r="U28" s="88">
        <f ca="1">S28*30/(Z28-Z27)</f>
        <v>-9.6232332345233887E-3</v>
      </c>
      <c r="V28" s="88">
        <f>LEFT(V$21,4)*S28</f>
        <v>-3.368131632083186E-3</v>
      </c>
      <c r="W28" s="29">
        <f>Q28-Q28</f>
        <v>0</v>
      </c>
      <c r="X28" s="47">
        <f>W28/Q27</f>
        <v>0</v>
      </c>
      <c r="Y28" s="47">
        <f>X28-(N28-N28)/N27</f>
        <v>0</v>
      </c>
      <c r="Z28" s="79">
        <v>43939</v>
      </c>
      <c r="AA28" s="81">
        <f t="shared" si="4"/>
        <v>1111920</v>
      </c>
      <c r="AB28" s="36">
        <v>23</v>
      </c>
      <c r="AC28" s="111">
        <v>1</v>
      </c>
      <c r="AD28" s="112">
        <f>AC28*$AA28</f>
        <v>1111920</v>
      </c>
      <c r="AE28" s="114">
        <f>AD28/AD$21</f>
        <v>0.18492672250347594</v>
      </c>
      <c r="AF28" s="111">
        <v>0</v>
      </c>
      <c r="AG28" s="112">
        <f>AF28*$AA28</f>
        <v>0</v>
      </c>
      <c r="AH28" s="114">
        <f>AG28/AG$21</f>
        <v>0</v>
      </c>
      <c r="AI28" s="111">
        <f>AC28+AF28</f>
        <v>1</v>
      </c>
      <c r="AJ28" s="112">
        <f>AD28+AG28</f>
        <v>1111920</v>
      </c>
      <c r="AK28" s="114">
        <f>AJ28/AJ$21</f>
        <v>-0.33563343294394621</v>
      </c>
      <c r="AL28" s="35">
        <v>4335</v>
      </c>
      <c r="AM28" s="41">
        <f>(F28-AL28)*J28*2</f>
        <v>-377159.99999999994</v>
      </c>
    </row>
    <row r="29" spans="1:39" s="35" customFormat="1" ht="12" customHeight="1">
      <c r="A29" s="39" t="str">
        <f>LEFT(B29,2)&amp;RIGHT(YEAR(Z29),2)&amp;RIGHT("00"&amp;MONTH(Z29),2)&amp;".CFE"</f>
        <v>IF2005.CFE</v>
      </c>
      <c r="B29" s="39" t="s">
        <v>82</v>
      </c>
      <c r="C29" s="8"/>
      <c r="D29" s="30">
        <f>IF(RTD($C$21,,$A29,D$21)=0,IF(RTD($C$21,,$B29,D$21)=0,NA(),RTD($C$21,,$B29,D$21)),RTD($C$21,,$A29,D$21))</f>
        <v>3713</v>
      </c>
      <c r="E29" s="30"/>
      <c r="F29" s="30">
        <f>IF(RTD($C$21,,$A29,F$21)=0,IF(RTD($C$21,,$B29,F$21)=0,D29,RTD($C$21,,$B29,F$21)),RTD($C$21,,$A29,F$21))</f>
        <v>3692</v>
      </c>
      <c r="G29" s="146">
        <f>RTD($C$21,,$A29,G$21)/1000000</f>
        <v>1430.0236199999999</v>
      </c>
      <c r="H29" s="5"/>
      <c r="I29" s="7">
        <f t="shared" si="2"/>
        <v>-5.6558039321303877E-3</v>
      </c>
      <c r="J29" s="5">
        <v>300</v>
      </c>
      <c r="K29" s="26">
        <f t="shared" si="7"/>
        <v>0</v>
      </c>
      <c r="L29" s="67" t="str">
        <f t="shared" si="8"/>
        <v>IF2005.CFE</v>
      </c>
      <c r="M29" s="68" t="str">
        <f t="shared" si="5"/>
        <v>IF01.CFE</v>
      </c>
      <c r="N29" s="29">
        <f t="shared" si="6"/>
        <v>3713</v>
      </c>
      <c r="O29" s="29">
        <f>N29-N$27+$K29</f>
        <v>-21.5300000000002</v>
      </c>
      <c r="P29" s="47">
        <f>O29/N27</f>
        <v>-5.7651163600239384E-3</v>
      </c>
      <c r="Q29" s="59">
        <f t="shared" si="3"/>
        <v>3692</v>
      </c>
      <c r="R29" s="29">
        <f>Q29-Q$27+$K29</f>
        <v>-32.320000000000164</v>
      </c>
      <c r="S29" s="47">
        <f>R29/Q27</f>
        <v>-8.6780942561327061E-3</v>
      </c>
      <c r="T29" s="47">
        <f>S29-P29</f>
        <v>-2.9129778961087677E-3</v>
      </c>
      <c r="U29" s="88">
        <f ca="1">S29*30/(Z29-Z27)</f>
        <v>-6.0544843647437488E-3</v>
      </c>
      <c r="V29" s="88">
        <f>LEFT(V$21,4)*S29</f>
        <v>-6.0746659792928941E-3</v>
      </c>
      <c r="W29" s="29">
        <f>Q29-Q28</f>
        <v>-14.400000000000091</v>
      </c>
      <c r="X29" s="47">
        <f>W29/Q27</f>
        <v>-3.8664776388710126E-3</v>
      </c>
      <c r="Y29" s="47">
        <f>X29-(N29-N28)/N27</f>
        <v>-1.7123352515384296E-4</v>
      </c>
      <c r="Z29" s="79">
        <v>43967</v>
      </c>
      <c r="AA29" s="81">
        <f t="shared" si="4"/>
        <v>1107600</v>
      </c>
      <c r="AB29" s="36">
        <v>46</v>
      </c>
      <c r="AC29" s="111">
        <v>0</v>
      </c>
      <c r="AD29" s="112">
        <f>AC29*$AA29</f>
        <v>0</v>
      </c>
      <c r="AE29" s="114">
        <f>AD29/AD$21</f>
        <v>0</v>
      </c>
      <c r="AF29" s="111">
        <v>0</v>
      </c>
      <c r="AG29" s="112">
        <f>AF29*$AA29</f>
        <v>0</v>
      </c>
      <c r="AH29" s="114">
        <f>AG29/AG$21</f>
        <v>0</v>
      </c>
      <c r="AI29" s="111">
        <f>AC29+AF29</f>
        <v>0</v>
      </c>
      <c r="AJ29" s="112">
        <f>AD29+AG29</f>
        <v>0</v>
      </c>
      <c r="AK29" s="114">
        <f>AJ29/AJ$21</f>
        <v>0</v>
      </c>
    </row>
    <row r="30" spans="1:39" s="35" customFormat="1" ht="12" customHeight="1">
      <c r="A30" s="39" t="str">
        <f>LEFT(B30,2)&amp;RIGHT(YEAR(Z30),2)&amp;RIGHT("00"&amp;MONTH(Z30),2)&amp;".CFE"</f>
        <v>IF2006.CFE</v>
      </c>
      <c r="B30" s="39" t="s">
        <v>83</v>
      </c>
      <c r="C30" s="8"/>
      <c r="D30" s="30">
        <f>IF(RTD($C$21,,$A30,D$21)=0,IF(RTD($C$21,,$B30,D$21)=0,NA(),RTD($C$21,,$B30,D$21)),RTD($C$21,,$A30,D$21))</f>
        <v>3683</v>
      </c>
      <c r="E30" s="30"/>
      <c r="F30" s="30">
        <f>IF(RTD($C$21,,$A30,F$21)=0,IF(RTD($C$21,,$B30,F$21)=0,D30,RTD($C$21,,$B30,F$21)),RTD($C$21,,$A30,F$21))</f>
        <v>3665</v>
      </c>
      <c r="G30" s="146">
        <f>RTD($C$21,,$A30,G$21)/1000000</f>
        <v>6905.7114000000001</v>
      </c>
      <c r="H30" s="5"/>
      <c r="I30" s="7">
        <f t="shared" si="2"/>
        <v>-4.8873201194677973E-3</v>
      </c>
      <c r="J30" s="5">
        <v>300</v>
      </c>
      <c r="K30" s="26">
        <f t="shared" si="7"/>
        <v>0</v>
      </c>
      <c r="L30" s="67" t="str">
        <f t="shared" si="8"/>
        <v>IF2006.CFE</v>
      </c>
      <c r="M30" s="68" t="str">
        <f t="shared" si="5"/>
        <v>IF02.CFE</v>
      </c>
      <c r="N30" s="29">
        <f t="shared" si="6"/>
        <v>3683</v>
      </c>
      <c r="O30" s="29">
        <f>N30-N$27+$K30</f>
        <v>-51.5300000000002</v>
      </c>
      <c r="P30" s="47">
        <f>O30/N27</f>
        <v>-1.3798255737669853E-2</v>
      </c>
      <c r="Q30" s="59">
        <f t="shared" si="3"/>
        <v>3665</v>
      </c>
      <c r="R30" s="29">
        <f>Q30-Q$27+$K30</f>
        <v>-59.320000000000164</v>
      </c>
      <c r="S30" s="47">
        <f>R30/Q27</f>
        <v>-1.5927739829015811E-2</v>
      </c>
      <c r="T30" s="47">
        <f>S30-P30</f>
        <v>-2.1294840913459578E-3</v>
      </c>
      <c r="U30" s="88">
        <f ca="1">S30*30/(Z30-Z27)</f>
        <v>-6.0485087958287893E-3</v>
      </c>
      <c r="V30" s="88">
        <f>LEFT(V$21,4)*S30</f>
        <v>-1.1149417880311067E-2</v>
      </c>
      <c r="W30" s="29">
        <f>Q30-Q28</f>
        <v>-41.400000000000091</v>
      </c>
      <c r="X30" s="47">
        <f>W30/Q27</f>
        <v>-1.1116123211754116E-2</v>
      </c>
      <c r="Y30" s="47">
        <f>X30-(N30-N28)/N27</f>
        <v>6.1226027960896781E-4</v>
      </c>
      <c r="Z30" s="79">
        <v>44003</v>
      </c>
      <c r="AA30" s="81">
        <f t="shared" si="4"/>
        <v>1099500</v>
      </c>
      <c r="AB30" s="36">
        <v>46</v>
      </c>
      <c r="AC30" s="111"/>
      <c r="AD30" s="112"/>
      <c r="AE30" s="114"/>
      <c r="AF30" s="111"/>
      <c r="AG30" s="112"/>
      <c r="AH30" s="114"/>
      <c r="AI30" s="111"/>
      <c r="AJ30" s="112"/>
      <c r="AK30" s="114"/>
    </row>
    <row r="31" spans="1:39" s="33" customFormat="1" ht="12" customHeight="1">
      <c r="A31" s="40" t="str">
        <f>LEFT(B31,2)&amp;RIGHT(YEAR(Z31),2)&amp;RIGHT("00"&amp;MONTH(Z31),2)&amp;".CFE"</f>
        <v>IF2009.CFE</v>
      </c>
      <c r="B31" s="40" t="s">
        <v>84</v>
      </c>
      <c r="C31" s="10"/>
      <c r="D31" s="31">
        <f>IF(RTD($C$21,,$A31,D$21)=0,IF(RTD($C$21,,$B31,D$21)=0,NA(),RTD($C$21,,$B31,D$21)),RTD($C$21,,$A31,D$21))</f>
        <v>3625.8</v>
      </c>
      <c r="E31" s="31"/>
      <c r="F31" s="31">
        <f>IF(RTD($C$21,,$A31,F$21)=0,IF(RTD($C$21,,$B31,F$21)=0,D31,RTD($C$21,,$B31,F$21)),RTD($C$21,,$A31,F$21))</f>
        <v>3608.2000000000003</v>
      </c>
      <c r="G31" s="147">
        <f>RTD($C$21,,$A31,G$21)/1000000</f>
        <v>1997.0712000000001</v>
      </c>
      <c r="H31" s="11"/>
      <c r="I31" s="24">
        <f t="shared" si="2"/>
        <v>-4.8541011638810749E-3</v>
      </c>
      <c r="J31" s="11">
        <v>300</v>
      </c>
      <c r="K31" s="26">
        <f t="shared" si="7"/>
        <v>0</v>
      </c>
      <c r="L31" s="69" t="str">
        <f t="shared" si="8"/>
        <v>IF2009.CFE</v>
      </c>
      <c r="M31" s="70" t="str">
        <f t="shared" si="5"/>
        <v>IF03.CFE</v>
      </c>
      <c r="N31" s="51">
        <f t="shared" si="6"/>
        <v>3625.8</v>
      </c>
      <c r="O31" s="51">
        <f>N31-N$27+$K31</f>
        <v>-108.73000000000002</v>
      </c>
      <c r="P31" s="48">
        <f>O31/N27</f>
        <v>-2.9114774817714684E-2</v>
      </c>
      <c r="Q31" s="60">
        <f t="shared" si="3"/>
        <v>3608.2000000000003</v>
      </c>
      <c r="R31" s="51">
        <f>Q31-Q$27+$K31</f>
        <v>-116.11999999999989</v>
      </c>
      <c r="S31" s="48">
        <f>R31/Q27</f>
        <v>-3.1178846071229081E-2</v>
      </c>
      <c r="T31" s="48">
        <f>S31-P31</f>
        <v>-2.0640712535143976E-3</v>
      </c>
      <c r="U31" s="89">
        <f ca="1">S31*30/(Z31-Z27)</f>
        <v>-5.5347064031767606E-3</v>
      </c>
      <c r="V31" s="89">
        <f>LEFT(V$21,4)*S31</f>
        <v>-2.1825192249860355E-2</v>
      </c>
      <c r="W31" s="51">
        <f>Q31-Q28</f>
        <v>-98.199999999999818</v>
      </c>
      <c r="X31" s="48">
        <f>W31/Q27</f>
        <v>-2.6367229453967387E-2</v>
      </c>
      <c r="Y31" s="48">
        <f>X31-(N31-N28)/N27</f>
        <v>6.7767311744052622E-4</v>
      </c>
      <c r="Z31" s="82">
        <v>44093</v>
      </c>
      <c r="AA31" s="83">
        <f t="shared" si="4"/>
        <v>1082460</v>
      </c>
      <c r="AB31" s="37">
        <v>46</v>
      </c>
      <c r="AC31" s="115">
        <v>1</v>
      </c>
      <c r="AD31" s="112">
        <f>AC31*$AA31</f>
        <v>1082460</v>
      </c>
      <c r="AE31" s="116"/>
      <c r="AF31" s="115"/>
      <c r="AG31" s="95"/>
      <c r="AH31" s="116"/>
      <c r="AI31" s="115"/>
      <c r="AJ31" s="95"/>
      <c r="AK31" s="116"/>
    </row>
    <row r="32" spans="1:39" s="35" customFormat="1" ht="12" customHeight="1">
      <c r="A32" s="26" t="s">
        <v>122</v>
      </c>
      <c r="B32" s="26" t="s">
        <v>124</v>
      </c>
      <c r="C32" s="8"/>
      <c r="D32" s="30">
        <f>IF(RTD($C$21,,$A32,D$21)=0,IF(RTD($C$21,,$B32,D$21)=0,NA(),RTD($C$21,,$B32,D$21)),RTD($C$21,,$A32,D$21))</f>
        <v>2719.89</v>
      </c>
      <c r="E32" s="5"/>
      <c r="F32" s="30">
        <f>IF(RTD($C$21,,$A32,F$21)=0,IF(RTD($C$21,,$B32,F$21)=0,D32,RTD($C$21,,$B32,F$21)),RTD($C$21,,$A32,F$21))</f>
        <v>2714.79</v>
      </c>
      <c r="G32" s="146">
        <f>RTD($C$21,,$A32,G$21)/1000000</f>
        <v>23625.8914</v>
      </c>
      <c r="H32" s="5"/>
      <c r="I32" s="7">
        <f>IF(AND(D32&gt;0,F32&gt;0),F32/D32-1,"")</f>
        <v>-1.8750758302724657E-3</v>
      </c>
      <c r="J32" s="5">
        <v>300</v>
      </c>
      <c r="K32" s="26">
        <f t="shared" si="7"/>
        <v>0</v>
      </c>
      <c r="L32" s="65" t="str">
        <f t="shared" si="8"/>
        <v>000016.SH</v>
      </c>
      <c r="M32" s="66" t="str">
        <f t="shared" si="5"/>
        <v>上证50</v>
      </c>
      <c r="N32" s="29">
        <f>D32</f>
        <v>2719.89</v>
      </c>
      <c r="O32" s="29"/>
      <c r="P32" s="46"/>
      <c r="Q32" s="59">
        <f>F32</f>
        <v>2714.79</v>
      </c>
      <c r="R32" s="138">
        <f>RTD($C$21,,$A33,"Bid_Price1")</f>
        <v>2703.4</v>
      </c>
      <c r="S32" s="139">
        <f>RTD($C$21,,$A33,"Ask_Price1")</f>
        <v>2703.8</v>
      </c>
      <c r="T32" s="54"/>
      <c r="U32" s="54"/>
      <c r="V32" s="54"/>
      <c r="W32" s="29"/>
      <c r="X32" s="55"/>
      <c r="Y32" s="54"/>
      <c r="Z32" s="159">
        <f ca="1">Z27</f>
        <v>43924</v>
      </c>
      <c r="AA32" s="80">
        <f t="shared" si="4"/>
        <v>814437</v>
      </c>
      <c r="AB32" s="36"/>
      <c r="AC32" s="111"/>
      <c r="AD32" s="112"/>
      <c r="AE32" s="114"/>
      <c r="AF32" s="111"/>
      <c r="AG32" s="112"/>
      <c r="AH32" s="114"/>
      <c r="AI32" s="111"/>
      <c r="AJ32" s="112"/>
      <c r="AK32" s="114"/>
    </row>
    <row r="33" spans="1:39" s="35" customFormat="1" ht="12" customHeight="1">
      <c r="A33" s="39" t="str">
        <f>LEFT(B33,2)&amp;RIGHT(YEAR(Z33),2)&amp;RIGHT("00"&amp;MONTH(Z33),2)&amp;".CFE"</f>
        <v>IH2004.CFE</v>
      </c>
      <c r="B33" s="39" t="s">
        <v>89</v>
      </c>
      <c r="C33" s="8"/>
      <c r="D33" s="30">
        <f>IF(RTD($C$21,,$A33,D$21)=0,IF(RTD($C$21,,$B33,D$21)=0,NA(),RTD($C$21,,$B33,D$21)),RTD($C$21,,$A33,D$21))</f>
        <v>2711.2000000000003</v>
      </c>
      <c r="E33" s="30"/>
      <c r="F33" s="134">
        <f>IF(RTD($C$21,,$A33,F$21)=0,IF(RTD($C$21,,$B33,F$21)=0,D33,RTD($C$21,,$B33,F$21)),RTD($C$21,,$A33,F$21))</f>
        <v>2703.8</v>
      </c>
      <c r="G33" s="146">
        <f>RTD($C$21,,$A33,G$21)/1000000</f>
        <v>12362.04564</v>
      </c>
      <c r="H33" s="5"/>
      <c r="I33" s="7">
        <f>IF(AND(D33&gt;0,F33&gt;0),F33/D33-1,"")</f>
        <v>-2.7294187075833642E-3</v>
      </c>
      <c r="J33" s="5">
        <v>300</v>
      </c>
      <c r="K33" s="26">
        <f t="shared" si="7"/>
        <v>0</v>
      </c>
      <c r="L33" s="67" t="str">
        <f>A33</f>
        <v>IH2004.CFE</v>
      </c>
      <c r="M33" s="68" t="str">
        <f t="shared" si="5"/>
        <v>IH00.CFE</v>
      </c>
      <c r="N33" s="29">
        <f>D33</f>
        <v>2711.2000000000003</v>
      </c>
      <c r="O33" s="29">
        <f>N33-N$32+$K33</f>
        <v>-8.6899999999995998</v>
      </c>
      <c r="P33" s="47">
        <f>O33/N32</f>
        <v>-3.1949821500132725E-3</v>
      </c>
      <c r="Q33" s="135">
        <f>F33</f>
        <v>2703.8</v>
      </c>
      <c r="R33" s="29">
        <f>Q33-Q$32+$K33</f>
        <v>-10.989999999999782</v>
      </c>
      <c r="S33" s="47">
        <f>R33/Q32</f>
        <v>-4.0481952563549235E-3</v>
      </c>
      <c r="T33" s="47">
        <f>S33-P33</f>
        <v>-8.53213106341651E-4</v>
      </c>
      <c r="U33" s="88">
        <f ca="1">S33*30/(Z33-Z32)</f>
        <v>-8.096390512709847E-3</v>
      </c>
      <c r="V33" s="88">
        <f>LEFT(V$21,4)*S33</f>
        <v>-2.8337366794484462E-3</v>
      </c>
      <c r="W33" s="29">
        <f>Q33-Q33</f>
        <v>0</v>
      </c>
      <c r="X33" s="47">
        <f>W33/Q32</f>
        <v>0</v>
      </c>
      <c r="Y33" s="47">
        <f>X33-(N33-N33)/N32</f>
        <v>0</v>
      </c>
      <c r="Z33" s="79">
        <f>Z28</f>
        <v>43939</v>
      </c>
      <c r="AA33" s="81">
        <f t="shared" si="4"/>
        <v>811140</v>
      </c>
      <c r="AB33" s="1">
        <v>25</v>
      </c>
      <c r="AC33" s="117">
        <v>1</v>
      </c>
      <c r="AD33" s="112">
        <f>AC33*$AA33</f>
        <v>811140</v>
      </c>
      <c r="AE33" s="114">
        <f>AD33/AD$21</f>
        <v>0.13490310606111003</v>
      </c>
      <c r="AF33" s="117">
        <v>1</v>
      </c>
      <c r="AG33" s="112">
        <f>AF33*$AA33</f>
        <v>811140</v>
      </c>
      <c r="AH33" s="114">
        <f>AG33/AG21</f>
        <v>-8.6979366607832564E-2</v>
      </c>
      <c r="AI33" s="117">
        <f>AC33+AF33</f>
        <v>2</v>
      </c>
      <c r="AJ33" s="112">
        <f>AD33+AG33</f>
        <v>1622280</v>
      </c>
      <c r="AK33" s="114">
        <f>AJ33/AJ$21</f>
        <v>-0.48968577379335299</v>
      </c>
    </row>
    <row r="34" spans="1:39" ht="12" customHeight="1">
      <c r="A34" s="39" t="str">
        <f>LEFT(B34,2)&amp;RIGHT(YEAR(Z34),2)&amp;RIGHT("00"&amp;MONTH(Z34),2)&amp;".CFE"</f>
        <v>IH2005.CFE</v>
      </c>
      <c r="B34" s="39" t="s">
        <v>78</v>
      </c>
      <c r="D34" s="30">
        <f>IF(RTD($C$21,,$A34,D$21)=0,IF(RTD($C$21,,$B34,D$21)=0,NA(),RTD($C$21,,$B34,D$21)),RTD($C$21,,$A34,D$21))</f>
        <v>2699.4</v>
      </c>
      <c r="E34" s="30"/>
      <c r="F34" s="30">
        <f>IF(RTD($C$21,,$A34,F$21)=0,IF(RTD($C$21,,$B34,F$21)=0,D34,RTD($C$21,,$B34,F$21)),RTD($C$21,,$A34,F$21))</f>
        <v>2693.6</v>
      </c>
      <c r="G34" s="146">
        <f>RTD($C$21,,$A34,G$21)/1000000</f>
        <v>439.30583999999999</v>
      </c>
      <c r="I34" s="7">
        <f>IF(AND(D34&gt;0,F34&gt;0),F34/D34-1,"")</f>
        <v>-2.1486256205083265E-3</v>
      </c>
      <c r="J34" s="5">
        <v>300</v>
      </c>
      <c r="K34" s="26">
        <f t="shared" si="7"/>
        <v>0</v>
      </c>
      <c r="L34" s="67" t="str">
        <f>A34</f>
        <v>IH2005.CFE</v>
      </c>
      <c r="M34" s="68" t="str">
        <f t="shared" si="5"/>
        <v>IH01.CFE</v>
      </c>
      <c r="N34" s="29">
        <f t="shared" si="6"/>
        <v>2699.4</v>
      </c>
      <c r="O34" s="29">
        <f>N34-N$32+$K34</f>
        <v>-20.489999999999782</v>
      </c>
      <c r="P34" s="47">
        <f>O34/N32</f>
        <v>-7.5333928945655092E-3</v>
      </c>
      <c r="Q34" s="59">
        <f t="shared" si="3"/>
        <v>2693.6</v>
      </c>
      <c r="R34" s="29">
        <f>Q34-Q$32+$K34</f>
        <v>-21.190000000000055</v>
      </c>
      <c r="S34" s="47">
        <f>R34/Q32</f>
        <v>-7.8053919456017055E-3</v>
      </c>
      <c r="T34" s="47">
        <f>S34-P34</f>
        <v>-2.719990510361963E-4</v>
      </c>
      <c r="U34" s="88">
        <f ca="1">S34*30/(Z34-Z32)</f>
        <v>-5.4456222876290974E-3</v>
      </c>
      <c r="V34" s="88">
        <f>LEFT(V$21,4)*S34</f>
        <v>-5.4637743619211938E-3</v>
      </c>
      <c r="W34" s="29">
        <f>Q34-Q33</f>
        <v>-10.200000000000273</v>
      </c>
      <c r="X34" s="47">
        <f>W34/Q32</f>
        <v>-3.7571966892467825E-3</v>
      </c>
      <c r="Y34" s="47">
        <f>X34-(N34-N33)/N32</f>
        <v>5.8121405530545426E-4</v>
      </c>
      <c r="Z34" s="79">
        <f>Z29</f>
        <v>43967</v>
      </c>
      <c r="AA34" s="81">
        <f t="shared" si="4"/>
        <v>808080</v>
      </c>
      <c r="AB34" s="1">
        <v>50</v>
      </c>
      <c r="AC34" s="117"/>
      <c r="AD34" s="112">
        <f>AC34*$AA34</f>
        <v>0</v>
      </c>
      <c r="AE34" s="114">
        <f>AD34/AD$21</f>
        <v>0</v>
      </c>
      <c r="AF34" s="117"/>
      <c r="AG34" s="112">
        <f>AF34*$AA34</f>
        <v>0</v>
      </c>
      <c r="AH34" s="114">
        <f>AG34/AG$21</f>
        <v>0</v>
      </c>
      <c r="AI34" s="117">
        <f>AC34+AF34</f>
        <v>0</v>
      </c>
      <c r="AJ34" s="112">
        <f>AD34+AG34</f>
        <v>0</v>
      </c>
      <c r="AK34" s="114">
        <f>AJ34/AJ$21</f>
        <v>0</v>
      </c>
    </row>
    <row r="35" spans="1:39" ht="12" customHeight="1">
      <c r="A35" s="39" t="str">
        <f>LEFT(B35,2)&amp;RIGHT(YEAR(Z35),2)&amp;RIGHT("00"&amp;MONTH(Z35),2)&amp;".CFE"</f>
        <v>IH2006.CFE</v>
      </c>
      <c r="B35" s="39" t="s">
        <v>79</v>
      </c>
      <c r="D35" s="30">
        <f>IF(RTD($C$21,,$A35,D$21)=0,IF(RTD($C$21,,$B35,D$21)=0,NA(),RTD($C$21,,$B35,D$21)),RTD($C$21,,$A35,D$21))</f>
        <v>2669.2000000000003</v>
      </c>
      <c r="E35" s="30"/>
      <c r="F35" s="30">
        <f>IF(RTD($C$21,,$A35,F$21)=0,IF(RTD($C$21,,$B35,F$21)=0,D35,RTD($C$21,,$B35,F$21)),RTD($C$21,,$A35,F$21))</f>
        <v>2661</v>
      </c>
      <c r="G35" s="146">
        <f>RTD($C$21,,$A35,G$21)/1000000</f>
        <v>2120.1036600000002</v>
      </c>
      <c r="I35" s="7">
        <f>IF(AND(D35&gt;0,F35&gt;0),F35/D35-1,"")</f>
        <v>-3.0720815225536713E-3</v>
      </c>
      <c r="J35" s="5">
        <v>300</v>
      </c>
      <c r="K35" s="26">
        <f t="shared" si="7"/>
        <v>0</v>
      </c>
      <c r="L35" s="67" t="str">
        <f>A35</f>
        <v>IH2006.CFE</v>
      </c>
      <c r="M35" s="68" t="str">
        <f t="shared" si="5"/>
        <v>IH02.CFE</v>
      </c>
      <c r="N35" s="29">
        <f t="shared" si="6"/>
        <v>2669.2000000000003</v>
      </c>
      <c r="O35" s="29">
        <f>N35-N$32+$K35</f>
        <v>-50.6899999999996</v>
      </c>
      <c r="P35" s="47">
        <f>O35/N32</f>
        <v>-1.8636783105198961E-2</v>
      </c>
      <c r="Q35" s="59">
        <f t="shared" si="3"/>
        <v>2661</v>
      </c>
      <c r="R35" s="29">
        <f>Q35-Q$32+$K35</f>
        <v>-53.789999999999964</v>
      </c>
      <c r="S35" s="47">
        <f>R35/Q32</f>
        <v>-1.9813687246527344E-2</v>
      </c>
      <c r="T35" s="47">
        <f>S35-P35</f>
        <v>-1.1769041413283825E-3</v>
      </c>
      <c r="U35" s="88">
        <f ca="1">S35*30/(Z35-Z32)</f>
        <v>-7.5241850303268401E-3</v>
      </c>
      <c r="V35" s="88">
        <f>LEFT(V$21,4)*S35</f>
        <v>-1.3869581072569139E-2</v>
      </c>
      <c r="W35" s="29">
        <f>Q35-Q33</f>
        <v>-42.800000000000182</v>
      </c>
      <c r="X35" s="47">
        <f>W35/Q32</f>
        <v>-1.5765491990172419E-2</v>
      </c>
      <c r="Y35" s="47">
        <f>X35-(N35-N33)/N32</f>
        <v>-3.2369103498673148E-4</v>
      </c>
      <c r="Z35" s="79">
        <f>Z30</f>
        <v>44003</v>
      </c>
      <c r="AA35" s="81">
        <f t="shared" si="4"/>
        <v>798300</v>
      </c>
      <c r="AB35" s="1">
        <v>50</v>
      </c>
      <c r="AC35" s="117"/>
      <c r="AD35" s="112"/>
      <c r="AE35" s="113"/>
      <c r="AF35" s="117"/>
      <c r="AG35" s="112"/>
      <c r="AH35" s="113"/>
      <c r="AI35" s="117"/>
      <c r="AJ35" s="112"/>
      <c r="AK35" s="108"/>
    </row>
    <row r="36" spans="1:39" ht="12" customHeight="1" thickBot="1">
      <c r="A36" s="40" t="str">
        <f>LEFT(B36,2)&amp;RIGHT(YEAR(Z36),2)&amp;RIGHT("00"&amp;MONTH(Z36),2)&amp;".CFE"</f>
        <v>IH2009.CFE</v>
      </c>
      <c r="B36" s="40" t="s">
        <v>80</v>
      </c>
      <c r="C36" s="10"/>
      <c r="D36" s="31">
        <f>IF(RTD($C$21,,$A36,D$21)=0,IF(RTD($C$21,,$B36,D$21)=0,NA(),RTD($C$21,,$B36,D$21)),RTD($C$21,,$A36,D$21))</f>
        <v>2626</v>
      </c>
      <c r="E36" s="31"/>
      <c r="F36" s="31">
        <f>IF(RTD($C$21,,$A36,F$21)=0,IF(RTD($C$21,,$B36,F$21)=0,D36,RTD($C$21,,$B36,F$21)),RTD($C$21,,$A36,F$21))</f>
        <v>2618</v>
      </c>
      <c r="G36" s="147">
        <f>RTD($C$21,,$A36,G$21)/1000000</f>
        <v>1049.7725399999999</v>
      </c>
      <c r="H36" s="11"/>
      <c r="I36" s="24">
        <f>IF(AND(D36&gt;0,F36&gt;0),F36/D36-1,"")</f>
        <v>-3.0464584920030235E-3</v>
      </c>
      <c r="J36" s="11">
        <v>300</v>
      </c>
      <c r="K36" s="26">
        <f t="shared" si="7"/>
        <v>0</v>
      </c>
      <c r="L36" s="71" t="str">
        <f>A36</f>
        <v>IH2009.CFE</v>
      </c>
      <c r="M36" s="101" t="str">
        <f t="shared" si="5"/>
        <v>IH03.CFE</v>
      </c>
      <c r="N36" s="52">
        <f t="shared" si="6"/>
        <v>2626</v>
      </c>
      <c r="O36" s="52">
        <f>N36-N$32+$K36</f>
        <v>-93.889999999999873</v>
      </c>
      <c r="P36" s="49">
        <f>O36/N32</f>
        <v>-3.4519778373390056E-2</v>
      </c>
      <c r="Q36" s="61">
        <f t="shared" si="3"/>
        <v>2618</v>
      </c>
      <c r="R36" s="52">
        <f>Q36-Q$32+$K36</f>
        <v>-96.789999999999964</v>
      </c>
      <c r="S36" s="49">
        <f>R36/Q32</f>
        <v>-3.5652849760018257E-2</v>
      </c>
      <c r="T36" s="49">
        <f>S36-P36</f>
        <v>-1.1330713866282011E-3</v>
      </c>
      <c r="U36" s="90">
        <f ca="1">S36*30/(Z36-Z32)</f>
        <v>-6.328908241423359E-3</v>
      </c>
      <c r="V36" s="90">
        <f>LEFT(V$21,4)*S36</f>
        <v>-2.4956994832012778E-2</v>
      </c>
      <c r="W36" s="52">
        <f>Q36-Q33</f>
        <v>-85.800000000000182</v>
      </c>
      <c r="X36" s="49">
        <f>W36/Q32</f>
        <v>-3.1604654503663336E-2</v>
      </c>
      <c r="Y36" s="49">
        <f>X36-(N36-N33)/N32</f>
        <v>-2.798582802865518E-4</v>
      </c>
      <c r="Z36" s="102">
        <f>Z31</f>
        <v>44093</v>
      </c>
      <c r="AA36" s="84">
        <f t="shared" si="4"/>
        <v>785400</v>
      </c>
      <c r="AB36" s="37">
        <v>50</v>
      </c>
      <c r="AC36" s="72"/>
      <c r="AD36" s="95"/>
      <c r="AE36" s="118"/>
      <c r="AF36" s="72"/>
      <c r="AG36" s="95"/>
      <c r="AH36" s="118"/>
      <c r="AI36" s="72"/>
      <c r="AJ36" s="95"/>
      <c r="AK36" s="122"/>
      <c r="AL36" s="42"/>
    </row>
    <row r="37" spans="1:39" ht="12" customHeight="1">
      <c r="A37" s="26" t="s">
        <v>161</v>
      </c>
      <c r="B37" s="26" t="str">
        <f>[1]!s_info_name(A37)</f>
        <v>500ETF</v>
      </c>
      <c r="D37" s="30">
        <f>IF(RTD($C$21,,$A37,D$21)=0,NA(),RTD($C$21,,$A37,D$21))</f>
        <v>5.5890000000000004</v>
      </c>
      <c r="F37" s="30">
        <f>IF(RTD($C$21,,$A37,F$21)=0,IF(RTD($C$21,,$B37,F$21)=0,D37,RTD($C$21,,$B37,F$21)),RTD($C$21,,$A37,F$21))</f>
        <v>5.532</v>
      </c>
      <c r="G37" s="146">
        <f>RTD($C$21,,$A37,G$21)/1000000</f>
        <v>582.53420600000004</v>
      </c>
      <c r="I37" s="7">
        <f>IF(AND(D37&gt;0,F37&gt;0),F37/D37-1,RTD($C$21,,$A37,I$21)/100)</f>
        <v>-1.0198604401502998E-2</v>
      </c>
      <c r="J37" s="5">
        <v>1</v>
      </c>
      <c r="K37" s="43"/>
      <c r="L37" s="43"/>
      <c r="M37" s="43"/>
      <c r="N37" s="41"/>
      <c r="O37" s="41"/>
      <c r="P37" s="41"/>
      <c r="Q37"/>
      <c r="R37" s="41"/>
      <c r="S37"/>
      <c r="T37" s="41"/>
      <c r="U37" s="85"/>
      <c r="V37" s="85"/>
      <c r="W37" s="41"/>
      <c r="X37"/>
      <c r="Y37" s="41"/>
      <c r="Z37" t="s">
        <v>158</v>
      </c>
      <c r="AA37"/>
      <c r="AB37" s="41"/>
      <c r="AC37" s="92" t="s">
        <v>120</v>
      </c>
      <c r="AD37" s="92" t="s">
        <v>101</v>
      </c>
      <c r="AE37" s="92"/>
      <c r="AF37" s="92" t="s">
        <v>99</v>
      </c>
      <c r="AG37" s="92" t="s">
        <v>97</v>
      </c>
      <c r="AH37" s="92"/>
      <c r="AI37" s="92" t="s">
        <v>100</v>
      </c>
      <c r="AJ37" s="92" t="s">
        <v>102</v>
      </c>
      <c r="AK37" s="92" t="s">
        <v>98</v>
      </c>
      <c r="AL37" s="136" t="s">
        <v>103</v>
      </c>
      <c r="AM37" s="136"/>
    </row>
    <row r="38" spans="1:39" ht="12" customHeight="1">
      <c r="A38" s="28" t="s">
        <v>92</v>
      </c>
      <c r="B38" s="21" t="s">
        <v>17</v>
      </c>
      <c r="C38" s="21"/>
      <c r="D38" s="30">
        <f>IF(RTD($C$21,,$A38,D$21)=0,NA(),RTD($C$21,,$A38,D$21))</f>
        <v>3.7229999999999999</v>
      </c>
      <c r="E38" s="30"/>
      <c r="F38" s="30">
        <f>IF(RTD($C$21,,$A38,F$21)=0,IF(RTD($C$21,,$B38,F$21)=0,D38,RTD($C$21,,$B38,F$21)),RTD($C$21,,$A38,F$21))</f>
        <v>3.7110000000000003</v>
      </c>
      <c r="G38" s="146">
        <f>RTD($C$21,,$A38,G$21)/1000000</f>
        <v>545.75017300000002</v>
      </c>
      <c r="I38" s="7">
        <f>IF(AND(D38&gt;0,F38&gt;0),F38/D38-1,RTD($C$21,,$A38,I$21)/100)</f>
        <v>-3.2232070910555022E-3</v>
      </c>
      <c r="J38" s="5">
        <v>1</v>
      </c>
      <c r="K38" s="43"/>
      <c r="L38" s="141">
        <v>42748</v>
      </c>
      <c r="M38" s="43" t="s">
        <v>126</v>
      </c>
      <c r="N38" s="41">
        <f>ROUND(N24/N28,2)</f>
        <v>1.36</v>
      </c>
      <c r="O38" s="41">
        <f>N24-N28*N38</f>
        <v>12.751999999999498</v>
      </c>
      <c r="P38" s="41"/>
      <c r="Q38" s="123">
        <f>Q24-Q28*N38</f>
        <v>-22.504000000000815</v>
      </c>
      <c r="R38" s="41"/>
      <c r="S38" t="s">
        <v>160</v>
      </c>
      <c r="T38" s="41"/>
      <c r="U38" s="85"/>
      <c r="V38" s="85"/>
      <c r="W38" s="41"/>
      <c r="X38"/>
      <c r="Y38" s="41"/>
      <c r="Z38"/>
      <c r="AA38"/>
      <c r="AB38" s="41"/>
      <c r="AC38" s="92"/>
      <c r="AD38" s="92"/>
      <c r="AE38" s="92"/>
      <c r="AF38" s="136"/>
      <c r="AG38" s="136"/>
      <c r="AH38" s="92"/>
      <c r="AI38" s="136"/>
      <c r="AJ38" s="92"/>
      <c r="AK38" s="136"/>
      <c r="AL38" s="136"/>
      <c r="AM38" s="136"/>
    </row>
    <row r="39" spans="1:39" s="41" customFormat="1" ht="12" customHeight="1">
      <c r="A39" s="28" t="s">
        <v>125</v>
      </c>
      <c r="B39" s="21" t="str">
        <f>[1]!s_info_name(A39)</f>
        <v>50ETF</v>
      </c>
      <c r="C39" s="21"/>
      <c r="D39" s="30">
        <f>IF(RTD($C$21,,$A39,D$21)=0,NA(),RTD($C$21,,$A39,D$21))</f>
        <v>2.706</v>
      </c>
      <c r="E39" s="30"/>
      <c r="F39" s="30">
        <f>IF(RTD($C$21,,$A39,F$21)=0,IF(RTD($C$21,,$B39,F$21)=0,D39,RTD($C$21,,$B39,F$21)),RTD($C$21,,$A39,F$21))</f>
        <v>2.7</v>
      </c>
      <c r="G39" s="146">
        <f>RTD($C$21,,$A39,G$21)/1000000</f>
        <v>410.10875900000002</v>
      </c>
      <c r="H39" s="5"/>
      <c r="I39" s="7">
        <f>IF(AND(D39&gt;0,F39&gt;0),F39/D39-1,RTD($C$21,,$A39,I$21)/100)</f>
        <v>-2.2172949002216003E-3</v>
      </c>
      <c r="J39" s="5">
        <v>1</v>
      </c>
      <c r="K39" s="43"/>
      <c r="L39" s="141">
        <v>42735</v>
      </c>
      <c r="M39" s="43" t="s">
        <v>127</v>
      </c>
      <c r="N39" s="41">
        <f>ROUND(N23/N33,2)</f>
        <v>1.89</v>
      </c>
      <c r="Q39" s="123">
        <f>Q23-Q33*N39</f>
        <v>-41.781999999999243</v>
      </c>
      <c r="U39" s="85"/>
      <c r="V39" s="85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</row>
    <row r="40" spans="1:39" ht="12" customHeight="1">
      <c r="A40" s="25" t="s">
        <v>159</v>
      </c>
      <c r="B40" s="27" t="str">
        <f>[1]!s_info_name(A40)</f>
        <v>创业板指</v>
      </c>
      <c r="C40" s="10"/>
      <c r="D40" s="31">
        <f>IF(RTD($C$21,,$A40,D$21)=0,NA(),RTD($C$21,,$A40,D$21))</f>
        <v>1916.95</v>
      </c>
      <c r="E40" s="31"/>
      <c r="F40" s="31">
        <f>IF(RTD($C$21,,$A40,F$21)=0,IF(RTD($C$21,,$B40,F$21)=0,D40,RTD($C$21,,$B40,F$21)),RTD($C$21,,$A40,F$21))</f>
        <v>1911.2</v>
      </c>
      <c r="G40" s="147">
        <f>RTD($C$21,,$A40,G$21)/1000000</f>
        <v>71463.633100000006</v>
      </c>
      <c r="H40" s="11"/>
      <c r="I40" s="24">
        <f>IF(AND(D40&gt;0,F40&gt;0),F40/D40-1,RTD($C$21,,$A40,I$21)/100)</f>
        <v>-2.9995565872871222E-3</v>
      </c>
      <c r="J40" s="5">
        <v>1</v>
      </c>
      <c r="K40" s="43"/>
      <c r="L40" s="43"/>
      <c r="M40" s="1" t="s">
        <v>128</v>
      </c>
      <c r="N40" s="41">
        <f>ROUND(N28/N33,2)</f>
        <v>1.37</v>
      </c>
      <c r="O40" s="41"/>
      <c r="P40" s="41"/>
      <c r="Q40" s="123">
        <f>Q28-N40*Q33</f>
        <v>2.1939999999995052</v>
      </c>
      <c r="R40" s="41"/>
      <c r="S40"/>
      <c r="T40" s="41"/>
      <c r="U40" s="85"/>
      <c r="V40" s="85"/>
      <c r="W40" s="41"/>
      <c r="X40"/>
      <c r="Y40" s="41"/>
      <c r="Z40"/>
      <c r="AA40"/>
      <c r="AB40" s="41"/>
      <c r="AC40" s="92"/>
      <c r="AD40" s="92"/>
      <c r="AE40" s="92"/>
      <c r="AF40" s="136"/>
      <c r="AG40" s="136"/>
      <c r="AH40" s="92"/>
      <c r="AI40" s="136"/>
      <c r="AJ40" s="92"/>
      <c r="AK40" s="136"/>
      <c r="AL40" s="136"/>
      <c r="AM40" s="136"/>
    </row>
    <row r="41" spans="1:39" ht="12" customHeight="1">
      <c r="A41" s="22" t="s">
        <v>152</v>
      </c>
      <c r="B41" s="21" t="str">
        <f>[1]!s_info_name(A41)</f>
        <v>上证综指</v>
      </c>
      <c r="D41" s="30">
        <f>IF(RTD($C$21,,$A41,D$21)=0,NA(),RTD($C$21,,$A41,D$21))</f>
        <v>2780.64</v>
      </c>
      <c r="E41" s="30"/>
      <c r="F41" s="30">
        <f>IF(RTD($C$21,,$A41,F$21)=0,IF(RTD($C$21,,$B41,F$21)=0,D41,RTD($C$21,,$B41,F$21)),RTD($C$21,,$A41,F$21))</f>
        <v>2771.34</v>
      </c>
      <c r="G41" s="146">
        <f>RTD($C$21,,$A41,G$21)/1000000</f>
        <v>131466.98360000001</v>
      </c>
      <c r="I41" s="7">
        <f>IF(AND(D41&gt;0,F41&gt;0),F41/D41-1,RTD($C$21,,$A41,I$21)/100)</f>
        <v>-3.3445537717934348E-3</v>
      </c>
    </row>
    <row r="42" spans="1:39" ht="12" customHeight="1">
      <c r="A42" s="22" t="s">
        <v>1633</v>
      </c>
      <c r="B42" s="21" t="str">
        <f>[1]!s_info_name(A42)</f>
        <v>中证1000</v>
      </c>
      <c r="D42" s="30">
        <f>IF(RTD($C$21,,$A42,D$21)=0,NA(),RTD($C$21,,$A42,D$21))</f>
        <v>5538.6</v>
      </c>
      <c r="E42" s="30"/>
      <c r="F42" s="30">
        <f>IF(RTD($C$21,,$A42,F$21)=0,IF(RTD($C$21,,$B42,F$21)=0,D42,RTD($C$21,,$B42,F$21)),RTD($C$21,,$A42,F$21))</f>
        <v>5518.45</v>
      </c>
      <c r="G42" s="146">
        <f>RTD($C$21,,$A42,G$21)/1000000</f>
        <v>88776.574800000002</v>
      </c>
      <c r="I42" s="7">
        <f>IF(AND(D42&gt;0,F42&gt;0),F42/D42-1,RTD($C$21,,$A42,I$21)/100)</f>
        <v>-3.6381034918572253E-3</v>
      </c>
    </row>
    <row r="47" spans="1:39" s="41" customFormat="1" ht="12" customHeight="1">
      <c r="A47" s="22"/>
      <c r="B47" s="22"/>
      <c r="C47" s="8"/>
      <c r="D47" s="30"/>
      <c r="E47" s="5"/>
      <c r="F47" s="6"/>
      <c r="G47" s="6"/>
      <c r="H47" s="5"/>
      <c r="I47" s="7"/>
      <c r="L47" s="1"/>
      <c r="M47" s="1"/>
      <c r="N47" s="1"/>
      <c r="O47" s="1"/>
      <c r="P47" s="1"/>
      <c r="Q47" s="1"/>
      <c r="R47" s="1"/>
      <c r="S47" s="1"/>
      <c r="T47" s="3"/>
      <c r="U47" s="86"/>
      <c r="V47" s="86"/>
      <c r="W47" s="3"/>
      <c r="X47" s="3"/>
      <c r="Y47" s="3"/>
      <c r="Z47" s="1"/>
      <c r="AA47" s="1"/>
      <c r="AB47" s="1"/>
      <c r="AC47" s="1"/>
      <c r="AD47" s="1"/>
      <c r="AE47" s="1"/>
      <c r="AF47" s="1"/>
    </row>
    <row r="48" spans="1:39" s="41" customFormat="1" ht="12" customHeight="1">
      <c r="A48" s="22"/>
      <c r="B48" s="22"/>
      <c r="C48" s="8"/>
      <c r="D48" s="30"/>
      <c r="E48" s="5"/>
      <c r="F48" s="6"/>
      <c r="G48" s="6"/>
      <c r="H48" s="5"/>
      <c r="I48" s="7"/>
      <c r="L48" s="1"/>
      <c r="M48" s="1"/>
      <c r="N48" s="1"/>
      <c r="O48" s="1"/>
      <c r="P48" s="1"/>
      <c r="Q48" s="1"/>
      <c r="R48" s="1"/>
      <c r="S48" s="1"/>
      <c r="T48" s="3"/>
      <c r="U48" s="86"/>
      <c r="V48" s="86"/>
      <c r="W48" s="3"/>
      <c r="X48" s="3"/>
      <c r="Y48" s="3"/>
      <c r="Z48" s="1"/>
      <c r="AA48" s="1"/>
      <c r="AB48" s="1"/>
      <c r="AC48" s="1"/>
      <c r="AD48" s="1"/>
      <c r="AE48" s="1"/>
      <c r="AF48" s="1"/>
    </row>
    <row r="49" spans="1:32" s="41" customFormat="1" ht="12" customHeight="1">
      <c r="A49" s="22"/>
      <c r="B49" s="22"/>
      <c r="C49" s="8"/>
      <c r="D49" s="30"/>
      <c r="E49" s="5"/>
      <c r="F49" s="6"/>
      <c r="G49" s="6"/>
      <c r="H49" s="5"/>
      <c r="I49" s="7"/>
      <c r="L49" s="1"/>
      <c r="M49" s="1"/>
      <c r="N49" s="1"/>
      <c r="O49" s="1"/>
      <c r="P49" s="1"/>
      <c r="Q49" s="1"/>
      <c r="R49" s="1"/>
      <c r="S49" s="1"/>
      <c r="T49" s="3"/>
      <c r="U49" s="86"/>
      <c r="V49" s="86"/>
      <c r="W49" s="3"/>
      <c r="X49" s="3"/>
      <c r="Y49" s="3"/>
      <c r="Z49" s="1"/>
      <c r="AA49" s="1"/>
      <c r="AB49" s="1"/>
      <c r="AC49" s="1"/>
      <c r="AD49" s="1"/>
      <c r="AE49" s="1"/>
      <c r="AF49" s="1"/>
    </row>
    <row r="50" spans="1:32" s="41" customFormat="1" ht="12" customHeight="1">
      <c r="A50" s="22"/>
      <c r="B50" s="22"/>
      <c r="C50" s="8"/>
      <c r="D50" s="30"/>
      <c r="E50" s="5"/>
      <c r="F50" s="6"/>
      <c r="G50" s="6"/>
      <c r="H50" s="5"/>
      <c r="I50" s="7"/>
      <c r="L50" s="1"/>
      <c r="M50" s="1"/>
      <c r="N50" s="1"/>
      <c r="O50" s="1"/>
      <c r="P50" s="1"/>
      <c r="Q50" s="1"/>
      <c r="R50" s="1"/>
      <c r="S50" s="1"/>
      <c r="T50" s="3"/>
      <c r="U50" s="86"/>
      <c r="V50" s="86"/>
      <c r="W50" s="3"/>
      <c r="X50" s="3"/>
      <c r="Y50" s="3"/>
      <c r="Z50" s="1"/>
      <c r="AA50" s="1"/>
      <c r="AB50" s="1"/>
      <c r="AC50" s="1"/>
      <c r="AD50" s="1"/>
      <c r="AE50" s="1"/>
      <c r="AF50" s="1"/>
    </row>
    <row r="51" spans="1:32" s="41" customFormat="1" ht="12" customHeight="1">
      <c r="A51" s="22"/>
      <c r="B51" s="22"/>
      <c r="C51" s="8"/>
      <c r="D51" s="30"/>
      <c r="E51" s="5"/>
      <c r="F51" s="6"/>
      <c r="G51" s="6"/>
      <c r="H51" s="5"/>
      <c r="I51" s="7"/>
      <c r="L51" s="1"/>
      <c r="M51" s="1"/>
      <c r="N51" s="1"/>
      <c r="O51" s="1"/>
      <c r="P51" s="1"/>
      <c r="Q51" s="1"/>
      <c r="R51" s="1"/>
      <c r="S51" s="1"/>
      <c r="T51" s="3"/>
      <c r="U51" s="86"/>
      <c r="V51" s="86"/>
      <c r="W51" s="3"/>
      <c r="X51" s="3"/>
      <c r="Y51" s="3"/>
      <c r="Z51" s="1"/>
      <c r="AA51" s="1"/>
      <c r="AB51" s="1"/>
      <c r="AC51" s="1"/>
      <c r="AD51" s="1"/>
      <c r="AE51" s="1"/>
      <c r="AF51" s="1"/>
    </row>
    <row r="52" spans="1:32" s="41" customFormat="1" ht="12" customHeight="1">
      <c r="A52" s="22"/>
      <c r="B52" s="22"/>
      <c r="C52" s="8"/>
      <c r="D52" s="30"/>
      <c r="E52" s="5"/>
      <c r="F52" s="6"/>
      <c r="G52" s="6"/>
      <c r="H52" s="5"/>
      <c r="I52" s="7"/>
      <c r="L52" s="1"/>
      <c r="M52" s="1"/>
      <c r="N52" s="1"/>
      <c r="O52" s="1"/>
      <c r="P52" s="1"/>
      <c r="Q52" s="1"/>
      <c r="R52" s="1"/>
      <c r="S52" s="1"/>
      <c r="T52" s="3"/>
      <c r="U52" s="86"/>
      <c r="V52" s="86"/>
      <c r="W52" s="3"/>
      <c r="X52" s="3"/>
      <c r="Y52" s="3"/>
      <c r="Z52" s="1"/>
      <c r="AA52" s="1"/>
      <c r="AB52" s="1"/>
      <c r="AC52" s="1"/>
      <c r="AD52" s="1"/>
      <c r="AE52" s="1"/>
      <c r="AF52" s="1"/>
    </row>
    <row r="53" spans="1:32" s="41" customFormat="1" ht="12" customHeight="1">
      <c r="A53" s="22"/>
      <c r="B53" s="22"/>
      <c r="C53" s="8"/>
      <c r="D53" s="30"/>
      <c r="E53" s="5"/>
      <c r="F53" s="6"/>
      <c r="G53" s="6"/>
      <c r="H53" s="5"/>
      <c r="I53" s="7"/>
      <c r="L53" s="1"/>
      <c r="M53" s="1"/>
      <c r="N53" s="1"/>
      <c r="O53" s="1"/>
      <c r="P53" s="1"/>
      <c r="Q53" s="1"/>
      <c r="R53" s="1"/>
      <c r="S53" s="1"/>
      <c r="T53" s="3"/>
      <c r="U53" s="86"/>
      <c r="V53" s="86"/>
      <c r="W53" s="3"/>
      <c r="X53" s="3"/>
      <c r="Y53" s="3"/>
      <c r="Z53" s="1"/>
      <c r="AA53" s="1"/>
      <c r="AB53" s="1"/>
      <c r="AC53" s="1"/>
      <c r="AD53" s="1"/>
      <c r="AE53" s="1"/>
      <c r="AF53" s="1"/>
    </row>
    <row r="54" spans="1:32" s="41" customFormat="1" ht="12" customHeight="1">
      <c r="A54" s="22"/>
      <c r="B54" s="22"/>
      <c r="C54" s="8"/>
      <c r="D54" s="30"/>
      <c r="E54" s="5"/>
      <c r="F54" s="6"/>
      <c r="G54" s="6"/>
      <c r="H54" s="5"/>
      <c r="I54" s="7"/>
      <c r="L54" s="1"/>
      <c r="M54" s="1"/>
      <c r="N54" s="1"/>
      <c r="O54" s="1"/>
      <c r="P54" s="1"/>
      <c r="Q54" s="1"/>
      <c r="R54" s="1"/>
      <c r="S54" s="1"/>
      <c r="T54" s="3"/>
      <c r="U54" s="86"/>
      <c r="V54" s="86"/>
      <c r="W54" s="3"/>
      <c r="X54" s="3"/>
      <c r="Y54" s="3"/>
      <c r="Z54" s="1"/>
      <c r="AA54" s="1"/>
      <c r="AB54" s="1"/>
      <c r="AC54" s="1"/>
      <c r="AD54" s="1"/>
      <c r="AE54" s="1"/>
      <c r="AF54" s="1"/>
    </row>
  </sheetData>
  <autoFilter ref="A1:P40"/>
  <phoneticPr fontId="2" type="noConversion"/>
  <conditionalFormatting sqref="W23:W26 P41:P46 P55:P1048576">
    <cfRule type="cellIs" dxfId="97" priority="259" operator="equal">
      <formula>"Sell"</formula>
    </cfRule>
    <cfRule type="cellIs" dxfId="96" priority="260" operator="equal">
      <formula>"Buy"</formula>
    </cfRule>
  </conditionalFormatting>
  <conditionalFormatting sqref="W23:X26 I43:I46 I55:I1048576">
    <cfRule type="cellIs" dxfId="95" priority="251" operator="lessThan">
      <formula>0</formula>
    </cfRule>
    <cfRule type="cellIs" dxfId="94" priority="252" operator="greaterThan">
      <formula>0</formula>
    </cfRule>
  </conditionalFormatting>
  <conditionalFormatting sqref="S23:S26">
    <cfRule type="cellIs" dxfId="93" priority="247" operator="lessThan">
      <formula>0</formula>
    </cfRule>
    <cfRule type="cellIs" dxfId="92" priority="248" operator="greaterThan">
      <formula>0</formula>
    </cfRule>
  </conditionalFormatting>
  <conditionalFormatting sqref="S28:S31">
    <cfRule type="cellIs" dxfId="91" priority="221" operator="lessThan">
      <formula>0</formula>
    </cfRule>
    <cfRule type="cellIs" dxfId="90" priority="222" operator="greaterThan">
      <formula>0</formula>
    </cfRule>
  </conditionalFormatting>
  <conditionalFormatting sqref="S33:S36">
    <cfRule type="cellIs" dxfId="89" priority="211" operator="lessThan">
      <formula>0</formula>
    </cfRule>
    <cfRule type="cellIs" dxfId="88" priority="212" operator="greaterThan">
      <formula>0</formula>
    </cfRule>
  </conditionalFormatting>
  <conditionalFormatting sqref="I2:I20 I32 I27 I37:I38 I40 I22">
    <cfRule type="cellIs" dxfId="87" priority="187" operator="lessThan">
      <formula>0</formula>
    </cfRule>
    <cfRule type="cellIs" dxfId="86" priority="188" operator="greaterThan">
      <formula>0</formula>
    </cfRule>
  </conditionalFormatting>
  <conditionalFormatting sqref="P23:P26">
    <cfRule type="cellIs" dxfId="85" priority="130" operator="lessThan">
      <formula>0</formula>
    </cfRule>
    <cfRule type="cellIs" dxfId="84" priority="131" operator="greaterThan">
      <formula>0</formula>
    </cfRule>
  </conditionalFormatting>
  <conditionalFormatting sqref="P22">
    <cfRule type="cellIs" dxfId="83" priority="132" operator="lessThan">
      <formula>0</formula>
    </cfRule>
    <cfRule type="cellIs" dxfId="82" priority="133" operator="greaterThan">
      <formula>0</formula>
    </cfRule>
  </conditionalFormatting>
  <conditionalFormatting sqref="P22">
    <cfRule type="cellIs" dxfId="81" priority="134" operator="equal">
      <formula>"Sell"</formula>
    </cfRule>
    <cfRule type="cellIs" dxfId="80" priority="135" operator="equal">
      <formula>"Buy"</formula>
    </cfRule>
  </conditionalFormatting>
  <conditionalFormatting sqref="P27">
    <cfRule type="cellIs" dxfId="79" priority="128" operator="equal">
      <formula>"Sell"</formula>
    </cfRule>
    <cfRule type="cellIs" dxfId="78" priority="129" operator="equal">
      <formula>"Buy"</formula>
    </cfRule>
  </conditionalFormatting>
  <conditionalFormatting sqref="P32">
    <cfRule type="cellIs" dxfId="77" priority="120" operator="lessThan">
      <formula>0</formula>
    </cfRule>
    <cfRule type="cellIs" dxfId="76" priority="121" operator="greaterThan">
      <formula>0</formula>
    </cfRule>
  </conditionalFormatting>
  <conditionalFormatting sqref="P27">
    <cfRule type="cellIs" dxfId="75" priority="126" operator="lessThan">
      <formula>0</formula>
    </cfRule>
    <cfRule type="cellIs" dxfId="74" priority="127" operator="greaterThan">
      <formula>0</formula>
    </cfRule>
  </conditionalFormatting>
  <conditionalFormatting sqref="P28:P31">
    <cfRule type="cellIs" dxfId="73" priority="124" operator="lessThan">
      <formula>0</formula>
    </cfRule>
    <cfRule type="cellIs" dxfId="72" priority="125" operator="greaterThan">
      <formula>0</formula>
    </cfRule>
  </conditionalFormatting>
  <conditionalFormatting sqref="P32">
    <cfRule type="cellIs" dxfId="71" priority="122" operator="equal">
      <formula>"Sell"</formula>
    </cfRule>
    <cfRule type="cellIs" dxfId="70" priority="123" operator="equal">
      <formula>"Buy"</formula>
    </cfRule>
  </conditionalFormatting>
  <conditionalFormatting sqref="P33:P36">
    <cfRule type="cellIs" dxfId="69" priority="118" operator="lessThan">
      <formula>0</formula>
    </cfRule>
    <cfRule type="cellIs" dxfId="68" priority="119" operator="greaterThan">
      <formula>0</formula>
    </cfRule>
  </conditionalFormatting>
  <conditionalFormatting sqref="V23:V26">
    <cfRule type="cellIs" dxfId="67" priority="96" operator="lessThan">
      <formula>0</formula>
    </cfRule>
    <cfRule type="cellIs" dxfId="66" priority="97" operator="greaterThan">
      <formula>0</formula>
    </cfRule>
  </conditionalFormatting>
  <conditionalFormatting sqref="V28:V31">
    <cfRule type="cellIs" dxfId="65" priority="94" operator="lessThan">
      <formula>0</formula>
    </cfRule>
    <cfRule type="cellIs" dxfId="64" priority="95" operator="greaterThan">
      <formula>0</formula>
    </cfRule>
  </conditionalFormatting>
  <conditionalFormatting sqref="V33:V36">
    <cfRule type="cellIs" dxfId="63" priority="92" operator="lessThan">
      <formula>0</formula>
    </cfRule>
    <cfRule type="cellIs" dxfId="62" priority="93" operator="greaterThan">
      <formula>0</formula>
    </cfRule>
  </conditionalFormatting>
  <conditionalFormatting sqref="Y23:Y26">
    <cfRule type="cellIs" dxfId="61" priority="86" operator="lessThan">
      <formula>0</formula>
    </cfRule>
    <cfRule type="cellIs" dxfId="60" priority="87" operator="greaterThan">
      <formula>0</formula>
    </cfRule>
  </conditionalFormatting>
  <conditionalFormatting sqref="U23:U26">
    <cfRule type="cellIs" dxfId="59" priority="80" operator="lessThan">
      <formula>0</formula>
    </cfRule>
    <cfRule type="cellIs" dxfId="58" priority="81" operator="greaterThan">
      <formula>0</formula>
    </cfRule>
  </conditionalFormatting>
  <conditionalFormatting sqref="U28:U31">
    <cfRule type="cellIs" dxfId="57" priority="78" operator="lessThan">
      <formula>0</formula>
    </cfRule>
    <cfRule type="cellIs" dxfId="56" priority="79" operator="greaterThan">
      <formula>0</formula>
    </cfRule>
  </conditionalFormatting>
  <conditionalFormatting sqref="U33:U36">
    <cfRule type="cellIs" dxfId="55" priority="76" operator="lessThan">
      <formula>0</formula>
    </cfRule>
    <cfRule type="cellIs" dxfId="54" priority="77" operator="greaterThan">
      <formula>0</formula>
    </cfRule>
  </conditionalFormatting>
  <conditionalFormatting sqref="T23:T26">
    <cfRule type="cellIs" dxfId="53" priority="74" operator="lessThan">
      <formula>0</formula>
    </cfRule>
    <cfRule type="cellIs" dxfId="52" priority="75" operator="greaterThan">
      <formula>0</formula>
    </cfRule>
  </conditionalFormatting>
  <conditionalFormatting sqref="T28:T31">
    <cfRule type="cellIs" dxfId="51" priority="72" operator="lessThan">
      <formula>0</formula>
    </cfRule>
    <cfRule type="cellIs" dxfId="50" priority="73" operator="greaterThan">
      <formula>0</formula>
    </cfRule>
  </conditionalFormatting>
  <conditionalFormatting sqref="T33:T36">
    <cfRule type="cellIs" dxfId="49" priority="70" operator="lessThan">
      <formula>0</formula>
    </cfRule>
    <cfRule type="cellIs" dxfId="48" priority="71" operator="greaterThan">
      <formula>0</formula>
    </cfRule>
  </conditionalFormatting>
  <conditionalFormatting sqref="W28:W31">
    <cfRule type="cellIs" dxfId="47" priority="68" operator="equal">
      <formula>"Sell"</formula>
    </cfRule>
    <cfRule type="cellIs" dxfId="46" priority="69" operator="equal">
      <formula>"Buy"</formula>
    </cfRule>
  </conditionalFormatting>
  <conditionalFormatting sqref="W28:X31">
    <cfRule type="cellIs" dxfId="45" priority="66" operator="lessThan">
      <formula>0</formula>
    </cfRule>
    <cfRule type="cellIs" dxfId="44" priority="67" operator="greaterThan">
      <formula>0</formula>
    </cfRule>
  </conditionalFormatting>
  <conditionalFormatting sqref="Y28:Y31">
    <cfRule type="cellIs" dxfId="43" priority="64" operator="lessThan">
      <formula>0</formula>
    </cfRule>
    <cfRule type="cellIs" dxfId="42" priority="65" operator="greaterThan">
      <formula>0</formula>
    </cfRule>
  </conditionalFormatting>
  <conditionalFormatting sqref="W33:W36">
    <cfRule type="cellIs" dxfId="41" priority="62" operator="equal">
      <formula>"Sell"</formula>
    </cfRule>
    <cfRule type="cellIs" dxfId="40" priority="63" operator="equal">
      <formula>"Buy"</formula>
    </cfRule>
  </conditionalFormatting>
  <conditionalFormatting sqref="W33:X36">
    <cfRule type="cellIs" dxfId="39" priority="60" operator="lessThan">
      <formula>0</formula>
    </cfRule>
    <cfRule type="cellIs" dxfId="38" priority="61" operator="greaterThan">
      <formula>0</formula>
    </cfRule>
  </conditionalFormatting>
  <conditionalFormatting sqref="Y33:Y36">
    <cfRule type="cellIs" dxfId="37" priority="58" operator="lessThan">
      <formula>0</formula>
    </cfRule>
    <cfRule type="cellIs" dxfId="36" priority="59" operator="greaterThan">
      <formula>0</formula>
    </cfRule>
  </conditionalFormatting>
  <conditionalFormatting sqref="R23:R26">
    <cfRule type="cellIs" dxfId="35" priority="49" operator="equal">
      <formula>"Sell"</formula>
    </cfRule>
    <cfRule type="cellIs" dxfId="34" priority="50" operator="equal">
      <formula>"Buy"</formula>
    </cfRule>
  </conditionalFormatting>
  <conditionalFormatting sqref="R28:R31">
    <cfRule type="cellIs" dxfId="33" priority="45" operator="equal">
      <formula>"Sell"</formula>
    </cfRule>
    <cfRule type="cellIs" dxfId="32" priority="46" operator="equal">
      <formula>"Buy"</formula>
    </cfRule>
  </conditionalFormatting>
  <conditionalFormatting sqref="R23:R26">
    <cfRule type="cellIs" dxfId="31" priority="47" operator="lessThan">
      <formula>0</formula>
    </cfRule>
    <cfRule type="cellIs" dxfId="30" priority="48" operator="greaterThan">
      <formula>0</formula>
    </cfRule>
  </conditionalFormatting>
  <conditionalFormatting sqref="R28:R31">
    <cfRule type="cellIs" dxfId="29" priority="43" operator="lessThan">
      <formula>0</formula>
    </cfRule>
    <cfRule type="cellIs" dxfId="28" priority="44" operator="greaterThan">
      <formula>0</formula>
    </cfRule>
  </conditionalFormatting>
  <conditionalFormatting sqref="R33:R36">
    <cfRule type="cellIs" dxfId="27" priority="41" operator="equal">
      <formula>"Sell"</formula>
    </cfRule>
    <cfRule type="cellIs" dxfId="26" priority="42" operator="equal">
      <formula>"Buy"</formula>
    </cfRule>
  </conditionalFormatting>
  <conditionalFormatting sqref="R33:R36">
    <cfRule type="cellIs" dxfId="25" priority="39" operator="lessThan">
      <formula>0</formula>
    </cfRule>
    <cfRule type="cellIs" dxfId="24" priority="40" operator="greaterThan">
      <formula>0</formula>
    </cfRule>
  </conditionalFormatting>
  <conditionalFormatting sqref="O23:O26">
    <cfRule type="cellIs" dxfId="23" priority="37" operator="equal">
      <formula>"Sell"</formula>
    </cfRule>
    <cfRule type="cellIs" dxfId="22" priority="38" operator="equal">
      <formula>"Buy"</formula>
    </cfRule>
  </conditionalFormatting>
  <conditionalFormatting sqref="O28:O31">
    <cfRule type="cellIs" dxfId="21" priority="33" operator="equal">
      <formula>"Sell"</formula>
    </cfRule>
    <cfRule type="cellIs" dxfId="20" priority="34" operator="equal">
      <formula>"Buy"</formula>
    </cfRule>
  </conditionalFormatting>
  <conditionalFormatting sqref="O23:O26">
    <cfRule type="cellIs" dxfId="19" priority="35" operator="lessThan">
      <formula>0</formula>
    </cfRule>
    <cfRule type="cellIs" dxfId="18" priority="36" operator="greaterThan">
      <formula>0</formula>
    </cfRule>
  </conditionalFormatting>
  <conditionalFormatting sqref="O28:O31">
    <cfRule type="cellIs" dxfId="17" priority="31" operator="lessThan">
      <formula>0</formula>
    </cfRule>
    <cfRule type="cellIs" dxfId="16" priority="32" operator="greaterThan">
      <formula>0</formula>
    </cfRule>
  </conditionalFormatting>
  <conditionalFormatting sqref="O33:O36">
    <cfRule type="cellIs" dxfId="15" priority="29" operator="equal">
      <formula>"Sell"</formula>
    </cfRule>
    <cfRule type="cellIs" dxfId="14" priority="30" operator="equal">
      <formula>"Buy"</formula>
    </cfRule>
  </conditionalFormatting>
  <conditionalFormatting sqref="O33:O36">
    <cfRule type="cellIs" dxfId="13" priority="27" operator="lessThan">
      <formula>0</formula>
    </cfRule>
    <cfRule type="cellIs" dxfId="12" priority="28" operator="greaterThan">
      <formula>0</formula>
    </cfRule>
  </conditionalFormatting>
  <conditionalFormatting sqref="I39">
    <cfRule type="cellIs" dxfId="11" priority="22" operator="lessThan">
      <formula>0</formula>
    </cfRule>
    <cfRule type="cellIs" dxfId="10" priority="23" operator="greaterThan">
      <formula>0</formula>
    </cfRule>
  </conditionalFormatting>
  <conditionalFormatting sqref="I1">
    <cfRule type="cellIs" dxfId="9" priority="15" operator="equal">
      <formula>0</formula>
    </cfRule>
  </conditionalFormatting>
  <conditionalFormatting sqref="I21">
    <cfRule type="cellIs" dxfId="8" priority="14" operator="equal">
      <formula>0</formula>
    </cfRule>
  </conditionalFormatting>
  <conditionalFormatting sqref="I41">
    <cfRule type="cellIs" dxfId="7" priority="12" operator="lessThan">
      <formula>0</formula>
    </cfRule>
    <cfRule type="cellIs" dxfId="6" priority="13" operator="greaterThan">
      <formula>0</formula>
    </cfRule>
  </conditionalFormatting>
  <conditionalFormatting sqref="P47:P54">
    <cfRule type="cellIs" dxfId="5" priority="7" operator="equal">
      <formula>"Sell"</formula>
    </cfRule>
    <cfRule type="cellIs" dxfId="4" priority="8" operator="equal">
      <formula>"Buy"</formula>
    </cfRule>
  </conditionalFormatting>
  <conditionalFormatting sqref="I47:I54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I4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A10:A12" numberStoredAsText="1"/>
    <ignoredError sqref="Q22 AA22:AA36 AI25:AJ28 AI21:AJ22 D2:D9 N22:O22 N23:P36 Q27 Q23:Q26 S23:Y25 Q32 Q28:Q31 S28:Y31 Q33:Q36 S33:Y36 F8:G9 F2:J7 G40:J40 G22:I22 J27:J31 F12:J18 H8:J10 L9 AD26:AD28 AD21:AD23 AG23 AF25:AG27 AG33 AF21:AG22 AF30:AG32 AG28 AD30 AI30:AJ33 G11:J11 G19:J21 G37:J38 G27:I27 G23:I23 G24:I26 G32:I32 G28:I31 G33:I36 AD32:AD33 AJ23 T22:Y22 T27:Y27 T32:Y32 T26:Y26" evalError="1"/>
    <ignoredError sqref="E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9"/>
  <sheetViews>
    <sheetView workbookViewId="0">
      <selection activeCell="H13" sqref="H13"/>
    </sheetView>
  </sheetViews>
  <sheetFormatPr defaultRowHeight="14.4"/>
  <cols>
    <col min="1" max="1" width="10" customWidth="1"/>
    <col min="3" max="3" width="10" customWidth="1"/>
    <col min="4" max="4" width="8.21875" style="34" customWidth="1"/>
    <col min="5" max="5" width="9.6640625" style="34" customWidth="1"/>
  </cols>
  <sheetData>
    <row r="1" spans="1:5">
      <c r="A1" t="s">
        <v>3</v>
      </c>
      <c r="B1" t="s">
        <v>18</v>
      </c>
      <c r="C1" t="s">
        <v>3</v>
      </c>
      <c r="D1" s="34" t="s">
        <v>19</v>
      </c>
      <c r="E1" s="34" t="s">
        <v>20</v>
      </c>
    </row>
    <row r="2" spans="1:5">
      <c r="A2">
        <v>801020</v>
      </c>
      <c r="B2" t="s">
        <v>21</v>
      </c>
      <c r="C2" t="s">
        <v>22</v>
      </c>
      <c r="D2" s="34">
        <f>RTD("wdf.rtq",,C2,"PctChg")</f>
        <v>-1.03</v>
      </c>
      <c r="E2" s="34" t="e">
        <f>RTD("tdf.quote","",A2,"price","1")</f>
        <v>#N/A</v>
      </c>
    </row>
    <row r="3" spans="1:5">
      <c r="A3">
        <v>801760</v>
      </c>
      <c r="B3" t="s">
        <v>23</v>
      </c>
      <c r="C3" t="s">
        <v>24</v>
      </c>
      <c r="D3" s="34">
        <f>RTD("wdf.rtq",,C3,"PctChg")</f>
        <v>-1.29</v>
      </c>
      <c r="E3" s="34" t="e">
        <f>RTD("tdf.quote","",A3,"price","1")</f>
        <v>#N/A</v>
      </c>
    </row>
    <row r="4" spans="1:5">
      <c r="A4">
        <v>801730</v>
      </c>
      <c r="B4" t="s">
        <v>25</v>
      </c>
      <c r="C4" t="s">
        <v>26</v>
      </c>
      <c r="D4" s="34">
        <f>RTD("wdf.rtq",,C4,"PctChg")</f>
        <v>-1.46</v>
      </c>
      <c r="E4" s="34" t="e">
        <f>RTD("tdf.quote","",A4,"price","1")</f>
        <v>#N/A</v>
      </c>
    </row>
    <row r="5" spans="1:5">
      <c r="A5">
        <v>801080</v>
      </c>
      <c r="B5" t="s">
        <v>27</v>
      </c>
      <c r="C5" t="s">
        <v>28</v>
      </c>
      <c r="D5" s="34">
        <f>RTD("wdf.rtq",,C5,"PctChg")</f>
        <v>-1.4400000000000002</v>
      </c>
      <c r="E5" s="34" t="e">
        <f>RTD("tdf.quote","",A5,"price","1")</f>
        <v>#N/A</v>
      </c>
    </row>
    <row r="6" spans="1:5">
      <c r="A6">
        <v>801180</v>
      </c>
      <c r="B6" t="s">
        <v>29</v>
      </c>
      <c r="C6" t="s">
        <v>30</v>
      </c>
      <c r="D6" s="34">
        <f>RTD("wdf.rtq",,C6,"PctChg")</f>
        <v>-0.04</v>
      </c>
      <c r="E6" s="34" t="e">
        <f>RTD("tdf.quote","",A6,"price","1")</f>
        <v>#N/A</v>
      </c>
    </row>
    <row r="7" spans="1:5">
      <c r="A7">
        <v>801130</v>
      </c>
      <c r="B7" t="s">
        <v>31</v>
      </c>
      <c r="C7" t="s">
        <v>32</v>
      </c>
      <c r="D7" s="34">
        <f>RTD("wdf.rtq",,C7,"PctChg")</f>
        <v>0.52</v>
      </c>
      <c r="E7" s="34" t="e">
        <f>RTD("tdf.quote","",A7,"price","1")</f>
        <v>#N/A</v>
      </c>
    </row>
    <row r="8" spans="1:5">
      <c r="A8">
        <v>801790</v>
      </c>
      <c r="B8" t="s">
        <v>33</v>
      </c>
      <c r="C8" t="s">
        <v>34</v>
      </c>
      <c r="D8" s="34">
        <f>RTD("wdf.rtq",,C8,"PctChg")</f>
        <v>-1.1199999999999999</v>
      </c>
      <c r="E8" s="34" t="e">
        <f>RTD("tdf.quote","",A8,"price","1")</f>
        <v>#N/A</v>
      </c>
    </row>
    <row r="9" spans="1:5">
      <c r="A9">
        <v>801040</v>
      </c>
      <c r="B9" t="s">
        <v>35</v>
      </c>
      <c r="C9" t="s">
        <v>36</v>
      </c>
      <c r="D9" s="34">
        <f>RTD("wdf.rtq",,C9,"PctChg")</f>
        <v>-0.32</v>
      </c>
      <c r="E9" s="34" t="e">
        <f>RTD("tdf.quote","",A9,"price","1")</f>
        <v>#N/A</v>
      </c>
    </row>
    <row r="10" spans="1:5">
      <c r="A10">
        <v>801160</v>
      </c>
      <c r="B10" t="s">
        <v>37</v>
      </c>
      <c r="C10" t="s">
        <v>38</v>
      </c>
      <c r="D10" s="34">
        <f>RTD("wdf.rtq",,C10,"PctChg")</f>
        <v>-0.44</v>
      </c>
      <c r="E10" s="34" t="e">
        <f>RTD("tdf.quote","",A10,"price","1")</f>
        <v>#N/A</v>
      </c>
    </row>
    <row r="11" spans="1:5">
      <c r="A11">
        <v>801740</v>
      </c>
      <c r="B11" t="s">
        <v>39</v>
      </c>
      <c r="C11" t="s">
        <v>40</v>
      </c>
      <c r="D11" s="34">
        <f>RTD("wdf.rtq",,C11,"PctChg")</f>
        <v>-0.73</v>
      </c>
      <c r="E11" s="34" t="e">
        <f>RTD("tdf.quote","",A11,"price","1")</f>
        <v>#N/A</v>
      </c>
    </row>
    <row r="12" spans="1:5">
      <c r="A12">
        <v>801030</v>
      </c>
      <c r="B12" t="s">
        <v>41</v>
      </c>
      <c r="C12" t="s">
        <v>42</v>
      </c>
      <c r="D12" s="34">
        <f>RTD("wdf.rtq",,C12,"PctChg")</f>
        <v>-0.11</v>
      </c>
      <c r="E12" s="34" t="e">
        <f>RTD("tdf.quote","",A12,"price","1")</f>
        <v>#N/A</v>
      </c>
    </row>
    <row r="13" spans="1:5">
      <c r="A13">
        <v>801890</v>
      </c>
      <c r="B13" t="s">
        <v>43</v>
      </c>
      <c r="C13" t="s">
        <v>44</v>
      </c>
      <c r="D13" s="34">
        <f>RTD("wdf.rtq",,C13,"PctChg")</f>
        <v>-0.39</v>
      </c>
      <c r="E13" s="34" t="e">
        <f>RTD("tdf.quote","",A13,"price","1")</f>
        <v>#N/A</v>
      </c>
    </row>
    <row r="14" spans="1:5">
      <c r="A14">
        <v>801750</v>
      </c>
      <c r="B14" t="s">
        <v>45</v>
      </c>
      <c r="C14" t="s">
        <v>46</v>
      </c>
      <c r="D14" s="34">
        <f>RTD("wdf.rtq",,C14,"PctChg")</f>
        <v>-1.28</v>
      </c>
      <c r="E14" s="34" t="e">
        <f>RTD("tdf.quote","",A14,"price","1")</f>
        <v>#N/A</v>
      </c>
    </row>
    <row r="15" spans="1:5">
      <c r="A15">
        <v>801110</v>
      </c>
      <c r="B15" t="s">
        <v>47</v>
      </c>
      <c r="C15" t="s">
        <v>48</v>
      </c>
      <c r="D15" s="34">
        <f>RTD("wdf.rtq",,C15,"PctChg")</f>
        <v>-0.22999999999999998</v>
      </c>
      <c r="E15" s="34" t="e">
        <f>RTD("tdf.quote","",A15,"price","1")</f>
        <v>#N/A</v>
      </c>
    </row>
    <row r="16" spans="1:5">
      <c r="A16">
        <v>801710</v>
      </c>
      <c r="B16" t="s">
        <v>49</v>
      </c>
      <c r="C16" t="s">
        <v>50</v>
      </c>
      <c r="D16" s="34">
        <f>RTD("wdf.rtq",,C16,"PctChg")</f>
        <v>-0.57000000000000006</v>
      </c>
      <c r="E16" s="34" t="e">
        <f>RTD("tdf.quote","",A16,"price","1")</f>
        <v>#N/A</v>
      </c>
    </row>
    <row r="17" spans="1:5">
      <c r="A17">
        <v>801720</v>
      </c>
      <c r="B17" t="s">
        <v>51</v>
      </c>
      <c r="C17" t="s">
        <v>52</v>
      </c>
      <c r="D17" s="34">
        <f>RTD("wdf.rtq",,C17,"PctChg")</f>
        <v>-0.86</v>
      </c>
      <c r="E17" s="34" t="e">
        <f>RTD("tdf.quote","",A17,"price","1")</f>
        <v>#N/A</v>
      </c>
    </row>
    <row r="18" spans="1:5">
      <c r="A18">
        <v>801170</v>
      </c>
      <c r="B18" t="s">
        <v>53</v>
      </c>
      <c r="C18" t="s">
        <v>54</v>
      </c>
      <c r="D18" s="34">
        <f>RTD("wdf.rtq",,C18,"PctChg")</f>
        <v>0.08</v>
      </c>
      <c r="E18" s="34" t="e">
        <f>RTD("tdf.quote","",A18,"price","1")</f>
        <v>#N/A</v>
      </c>
    </row>
    <row r="19" spans="1:5">
      <c r="A19">
        <v>801010</v>
      </c>
      <c r="B19" t="s">
        <v>55</v>
      </c>
      <c r="C19" t="s">
        <v>56</v>
      </c>
      <c r="D19" s="34">
        <f>RTD("wdf.rtq",,C19,"PctChg")</f>
        <v>2.2600000000000002</v>
      </c>
      <c r="E19" s="34" t="e">
        <f>RTD("tdf.quote","",A19,"price","1")</f>
        <v>#N/A</v>
      </c>
    </row>
    <row r="20" spans="1:5">
      <c r="A20">
        <v>801880</v>
      </c>
      <c r="B20" t="s">
        <v>57</v>
      </c>
      <c r="C20" t="s">
        <v>58</v>
      </c>
      <c r="D20" s="34">
        <f>RTD("wdf.rtq",,C20,"PctChg")</f>
        <v>-0.64</v>
      </c>
      <c r="E20" s="34" t="e">
        <f>RTD("tdf.quote","",A20,"price","1")</f>
        <v>#N/A</v>
      </c>
    </row>
    <row r="21" spans="1:5">
      <c r="A21">
        <v>801140</v>
      </c>
      <c r="B21" t="s">
        <v>59</v>
      </c>
      <c r="C21" t="s">
        <v>60</v>
      </c>
      <c r="D21" s="34">
        <f>RTD("wdf.rtq",,C21,"PctChg")</f>
        <v>-0.31000000000000005</v>
      </c>
      <c r="E21" s="34" t="e">
        <f>RTD("tdf.quote","",A21,"price","1")</f>
        <v>#N/A</v>
      </c>
    </row>
    <row r="22" spans="1:5">
      <c r="A22">
        <v>801200</v>
      </c>
      <c r="B22" t="s">
        <v>61</v>
      </c>
      <c r="C22" t="s">
        <v>62</v>
      </c>
      <c r="D22" s="34">
        <f>RTD("wdf.rtq",,C22,"PctChg")</f>
        <v>0.18000000000000002</v>
      </c>
      <c r="E22" s="34" t="e">
        <f>RTD("tdf.quote","",A22,"price","1")</f>
        <v>#N/A</v>
      </c>
    </row>
    <row r="23" spans="1:5">
      <c r="A23">
        <v>801120</v>
      </c>
      <c r="B23" t="s">
        <v>63</v>
      </c>
      <c r="C23" t="s">
        <v>64</v>
      </c>
      <c r="D23" s="34">
        <f>RTD("wdf.rtq",,C23,"PctChg")</f>
        <v>0.8</v>
      </c>
      <c r="E23" s="34" t="e">
        <f>RTD("tdf.quote","",A23,"price","1")</f>
        <v>#N/A</v>
      </c>
    </row>
    <row r="24" spans="1:5">
      <c r="A24">
        <v>801770</v>
      </c>
      <c r="B24" t="s">
        <v>65</v>
      </c>
      <c r="C24" t="s">
        <v>66</v>
      </c>
      <c r="D24" s="34">
        <f>RTD("wdf.rtq",,C24,"PctChg")</f>
        <v>-2</v>
      </c>
      <c r="E24" s="34" t="e">
        <f>RTD("tdf.quote","",A24,"price","1")</f>
        <v>#N/A</v>
      </c>
    </row>
    <row r="25" spans="1:5">
      <c r="A25">
        <v>801210</v>
      </c>
      <c r="B25" t="s">
        <v>67</v>
      </c>
      <c r="C25" t="s">
        <v>68</v>
      </c>
      <c r="D25" s="34">
        <f>RTD("wdf.rtq",,C25,"PctChg")</f>
        <v>0.95</v>
      </c>
      <c r="E25" s="34" t="e">
        <f>RTD("tdf.quote","",A25,"price","1")</f>
        <v>#N/A</v>
      </c>
    </row>
    <row r="26" spans="1:5">
      <c r="A26">
        <v>801150</v>
      </c>
      <c r="B26" t="s">
        <v>69</v>
      </c>
      <c r="C26" t="s">
        <v>70</v>
      </c>
      <c r="D26" s="34">
        <f>RTD("wdf.rtq",,C26,"PctChg")</f>
        <v>1.52</v>
      </c>
      <c r="E26" s="34" t="e">
        <f>RTD("tdf.quote","",A26,"price","1")</f>
        <v>#N/A</v>
      </c>
    </row>
    <row r="27" spans="1:5">
      <c r="A27">
        <v>801780</v>
      </c>
      <c r="B27" t="s">
        <v>71</v>
      </c>
      <c r="C27" t="s">
        <v>72</v>
      </c>
      <c r="D27" s="34">
        <f>RTD("wdf.rtq",,C27,"PctChg")</f>
        <v>-0.51</v>
      </c>
      <c r="E27" s="34" t="e">
        <f>RTD("tdf.quote","",A27,"price","1")</f>
        <v>#N/A</v>
      </c>
    </row>
    <row r="28" spans="1:5">
      <c r="A28">
        <v>801050</v>
      </c>
      <c r="B28" t="s">
        <v>73</v>
      </c>
      <c r="C28" t="s">
        <v>74</v>
      </c>
      <c r="D28" s="34">
        <f>RTD("wdf.rtq",,C28,"PctChg")</f>
        <v>6.9999999999999993E-2</v>
      </c>
      <c r="E28" s="34" t="e">
        <f>RTD("tdf.quote","",A28,"price","1")</f>
        <v>#N/A</v>
      </c>
    </row>
    <row r="29" spans="1:5">
      <c r="A29">
        <v>801230</v>
      </c>
      <c r="B29" t="s">
        <v>75</v>
      </c>
      <c r="C29" t="s">
        <v>76</v>
      </c>
      <c r="D29" s="34">
        <f>RTD("wdf.rtq",,C29,"PctChg")</f>
        <v>0.62000000000000011</v>
      </c>
      <c r="E29" s="34" t="e">
        <f>RTD("tdf.quote","",A29,"price","1")</f>
        <v>#N/A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2849"/>
  <sheetViews>
    <sheetView workbookViewId="0">
      <selection activeCell="E44" sqref="E44"/>
    </sheetView>
  </sheetViews>
  <sheetFormatPr defaultRowHeight="14.4"/>
  <cols>
    <col min="7" max="7" width="11" customWidth="1"/>
    <col min="8" max="8" width="17.77734375" style="127" customWidth="1"/>
    <col min="9" max="9" width="11.88671875" customWidth="1"/>
  </cols>
  <sheetData>
    <row r="1" spans="1:9">
      <c r="A1" s="100"/>
      <c r="B1" s="100"/>
    </row>
    <row r="2" spans="1:9">
      <c r="A2" s="100"/>
      <c r="B2" s="100"/>
    </row>
    <row r="3" spans="1:9">
      <c r="A3" s="100"/>
      <c r="B3" s="100"/>
    </row>
    <row r="4" spans="1:9">
      <c r="A4" s="100"/>
      <c r="B4" s="100"/>
      <c r="G4" s="108" t="s">
        <v>129</v>
      </c>
      <c r="H4" s="127" t="s">
        <v>140</v>
      </c>
      <c r="I4" s="127" t="s">
        <v>140</v>
      </c>
    </row>
    <row r="5" spans="1:9">
      <c r="A5" s="100"/>
      <c r="B5" s="100"/>
      <c r="G5" s="122" t="s">
        <v>146</v>
      </c>
      <c r="H5" s="130" t="s">
        <v>145</v>
      </c>
      <c r="I5" s="133">
        <v>42752</v>
      </c>
    </row>
    <row r="6" spans="1:9">
      <c r="A6" s="100"/>
      <c r="B6" s="100"/>
      <c r="G6" s="108" t="s">
        <v>130</v>
      </c>
      <c r="H6" s="128">
        <v>-9.2567624520842369</v>
      </c>
      <c r="I6" s="128">
        <v>-1.035672134873</v>
      </c>
    </row>
    <row r="7" spans="1:9">
      <c r="A7" s="100"/>
      <c r="B7" s="100"/>
      <c r="G7" s="108" t="s">
        <v>131</v>
      </c>
      <c r="H7" s="128">
        <v>-8.9857325036122884</v>
      </c>
      <c r="I7" s="128">
        <v>-0.13779739580525074</v>
      </c>
    </row>
    <row r="8" spans="1:9">
      <c r="A8" s="100"/>
      <c r="B8" s="100"/>
      <c r="G8" s="108" t="s">
        <v>132</v>
      </c>
      <c r="H8" s="128">
        <v>-8.4881623591563251</v>
      </c>
      <c r="I8" s="128">
        <v>-0.10476302961108014</v>
      </c>
    </row>
    <row r="9" spans="1:9">
      <c r="A9" s="100"/>
      <c r="B9" s="100"/>
      <c r="G9" s="108" t="s">
        <v>133</v>
      </c>
      <c r="H9" s="128">
        <v>-8.4280868726948679</v>
      </c>
      <c r="I9" s="128">
        <v>-0.21944471821106842</v>
      </c>
    </row>
    <row r="10" spans="1:9">
      <c r="A10" s="100"/>
      <c r="B10" s="100"/>
      <c r="G10" s="108" t="s">
        <v>134</v>
      </c>
      <c r="H10" s="128">
        <v>-7.9650634649883312</v>
      </c>
      <c r="I10" s="131" t="s">
        <v>148</v>
      </c>
    </row>
    <row r="11" spans="1:9">
      <c r="A11" s="100"/>
      <c r="B11" s="100"/>
      <c r="G11" s="108" t="s">
        <v>135</v>
      </c>
      <c r="H11" s="128">
        <v>-7.5227100844356896</v>
      </c>
      <c r="I11" s="128">
        <v>-0.14420416492929924</v>
      </c>
    </row>
    <row r="12" spans="1:9">
      <c r="A12" s="100"/>
      <c r="B12" s="100"/>
      <c r="G12" s="108" t="s">
        <v>136</v>
      </c>
      <c r="H12" s="128">
        <v>-7.2271548249235531</v>
      </c>
      <c r="I12" s="131" t="s">
        <v>149</v>
      </c>
    </row>
    <row r="13" spans="1:9">
      <c r="A13" s="100"/>
      <c r="B13" s="100"/>
      <c r="G13" s="108" t="s">
        <v>137</v>
      </c>
      <c r="H13" s="128">
        <v>-6.6020674916995361</v>
      </c>
      <c r="I13" s="128">
        <v>-0.20607936182353356</v>
      </c>
    </row>
    <row r="14" spans="1:9">
      <c r="A14" s="100"/>
      <c r="B14" s="100"/>
      <c r="G14" s="108" t="s">
        <v>138</v>
      </c>
      <c r="H14" s="128">
        <v>-4.798875208126236</v>
      </c>
      <c r="I14" s="128">
        <v>-0.27202148925622094</v>
      </c>
    </row>
    <row r="15" spans="1:9">
      <c r="A15" s="100"/>
      <c r="B15" s="100"/>
      <c r="G15" s="122" t="s">
        <v>139</v>
      </c>
      <c r="H15" s="129">
        <v>-2.2093554037096159</v>
      </c>
      <c r="I15" s="129">
        <v>-0.27427981843724136</v>
      </c>
    </row>
    <row r="16" spans="1:9">
      <c r="A16" s="100"/>
      <c r="B16" s="100"/>
      <c r="G16" s="108" t="s">
        <v>141</v>
      </c>
      <c r="H16" s="128">
        <v>-5.672364202144708</v>
      </c>
      <c r="I16" s="128">
        <v>-0.17</v>
      </c>
    </row>
    <row r="17" spans="1:9">
      <c r="A17" s="100"/>
      <c r="B17" s="100"/>
      <c r="G17" s="108" t="s">
        <v>96</v>
      </c>
      <c r="H17" s="128">
        <v>-1.15613341100822</v>
      </c>
      <c r="I17" s="128">
        <v>-0.22</v>
      </c>
    </row>
    <row r="18" spans="1:9">
      <c r="A18" s="100"/>
      <c r="B18" s="100"/>
      <c r="G18" s="108" t="s">
        <v>142</v>
      </c>
      <c r="H18" s="131" t="s">
        <v>143</v>
      </c>
      <c r="I18" s="128">
        <v>-0.4</v>
      </c>
    </row>
    <row r="19" spans="1:9">
      <c r="A19" s="100"/>
      <c r="B19" s="100"/>
      <c r="G19" s="132" t="s">
        <v>144</v>
      </c>
      <c r="H19" s="131">
        <v>-5.2517101156889456</v>
      </c>
      <c r="I19" s="131" t="s">
        <v>147</v>
      </c>
    </row>
    <row r="20" spans="1:9">
      <c r="A20" s="100"/>
      <c r="B20" s="100"/>
    </row>
    <row r="21" spans="1:9">
      <c r="A21" s="100"/>
      <c r="B21" s="100"/>
    </row>
    <row r="22" spans="1:9">
      <c r="A22" s="100"/>
      <c r="B22" s="100"/>
    </row>
    <row r="23" spans="1:9">
      <c r="A23" s="100"/>
      <c r="B23" s="100"/>
    </row>
    <row r="24" spans="1:9">
      <c r="A24" s="100"/>
      <c r="B24" s="100"/>
    </row>
    <row r="25" spans="1:9">
      <c r="A25" s="100"/>
      <c r="B25" s="100"/>
    </row>
    <row r="26" spans="1:9">
      <c r="A26" s="100"/>
      <c r="B26" s="100"/>
    </row>
    <row r="27" spans="1:9">
      <c r="A27" s="100"/>
      <c r="B27" s="100"/>
    </row>
    <row r="28" spans="1:9">
      <c r="A28" s="100"/>
      <c r="B28" s="100"/>
    </row>
    <row r="29" spans="1:9">
      <c r="A29" s="100"/>
      <c r="B29" s="100"/>
    </row>
    <row r="30" spans="1:9">
      <c r="A30" s="100"/>
      <c r="B30" s="100"/>
    </row>
    <row r="31" spans="1:9">
      <c r="A31" s="100"/>
      <c r="B31" s="100"/>
    </row>
    <row r="32" spans="1:9">
      <c r="A32" s="100"/>
      <c r="B32" s="100"/>
    </row>
    <row r="33" spans="1:2">
      <c r="A33" s="100"/>
      <c r="B33" s="100"/>
    </row>
    <row r="34" spans="1:2">
      <c r="A34" s="100"/>
      <c r="B34" s="100"/>
    </row>
    <row r="35" spans="1:2">
      <c r="A35" s="100"/>
      <c r="B35" s="100"/>
    </row>
    <row r="36" spans="1:2">
      <c r="A36" s="100"/>
      <c r="B36" s="100"/>
    </row>
    <row r="37" spans="1:2">
      <c r="A37" s="100"/>
      <c r="B37" s="100"/>
    </row>
    <row r="38" spans="1:2">
      <c r="A38" s="100"/>
      <c r="B38" s="100"/>
    </row>
    <row r="39" spans="1:2">
      <c r="A39" s="100"/>
      <c r="B39" s="100"/>
    </row>
    <row r="40" spans="1:2">
      <c r="A40" s="100"/>
      <c r="B40" s="100"/>
    </row>
    <row r="41" spans="1:2">
      <c r="A41" s="100"/>
      <c r="B41" s="100"/>
    </row>
    <row r="42" spans="1:2">
      <c r="A42" s="100"/>
      <c r="B42" s="100"/>
    </row>
    <row r="43" spans="1:2">
      <c r="A43" s="100"/>
      <c r="B43" s="100"/>
    </row>
    <row r="44" spans="1:2">
      <c r="A44" s="100"/>
      <c r="B44" s="100"/>
    </row>
    <row r="45" spans="1:2">
      <c r="A45" s="100"/>
      <c r="B45" s="100"/>
    </row>
    <row r="46" spans="1:2">
      <c r="A46" s="100"/>
      <c r="B46" s="100"/>
    </row>
    <row r="47" spans="1:2">
      <c r="A47" s="100"/>
      <c r="B47" s="100"/>
    </row>
    <row r="48" spans="1:2">
      <c r="A48" s="100"/>
      <c r="B48" s="100"/>
    </row>
    <row r="49" spans="1:2">
      <c r="A49" s="100"/>
      <c r="B49" s="100"/>
    </row>
    <row r="50" spans="1:2">
      <c r="A50" s="100"/>
      <c r="B50" s="100"/>
    </row>
    <row r="51" spans="1:2">
      <c r="A51" s="100"/>
      <c r="B51" s="100"/>
    </row>
    <row r="52" spans="1:2">
      <c r="A52" s="100"/>
      <c r="B52" s="100"/>
    </row>
    <row r="53" spans="1:2">
      <c r="A53" s="100"/>
      <c r="B53" s="100"/>
    </row>
    <row r="54" spans="1:2">
      <c r="A54" s="100"/>
      <c r="B54" s="100"/>
    </row>
    <row r="55" spans="1:2">
      <c r="A55" s="100"/>
      <c r="B55" s="100"/>
    </row>
    <row r="56" spans="1:2">
      <c r="A56" s="100"/>
      <c r="B56" s="100"/>
    </row>
    <row r="57" spans="1:2">
      <c r="A57" s="100"/>
      <c r="B57" s="100"/>
    </row>
    <row r="58" spans="1:2">
      <c r="A58" s="100"/>
      <c r="B58" s="100"/>
    </row>
    <row r="59" spans="1:2">
      <c r="A59" s="100"/>
      <c r="B59" s="100"/>
    </row>
    <row r="60" spans="1:2">
      <c r="A60" s="100"/>
      <c r="B60" s="100"/>
    </row>
    <row r="61" spans="1:2">
      <c r="A61" s="100"/>
      <c r="B61" s="100"/>
    </row>
    <row r="62" spans="1:2">
      <c r="A62" s="100"/>
      <c r="B62" s="100"/>
    </row>
    <row r="63" spans="1:2">
      <c r="A63" s="100"/>
      <c r="B63" s="100"/>
    </row>
    <row r="64" spans="1:2">
      <c r="A64" s="100"/>
      <c r="B64" s="100"/>
    </row>
    <row r="65" spans="1:2">
      <c r="A65" s="100"/>
      <c r="B65" s="100"/>
    </row>
    <row r="66" spans="1:2">
      <c r="A66" s="100"/>
      <c r="B66" s="100"/>
    </row>
    <row r="67" spans="1:2">
      <c r="A67" s="100"/>
      <c r="B67" s="100"/>
    </row>
    <row r="68" spans="1:2">
      <c r="A68" s="100"/>
      <c r="B68" s="100"/>
    </row>
    <row r="69" spans="1:2">
      <c r="A69" s="100"/>
      <c r="B69" s="100"/>
    </row>
    <row r="70" spans="1:2">
      <c r="A70" s="100"/>
      <c r="B70" s="100"/>
    </row>
    <row r="71" spans="1:2">
      <c r="A71" s="100"/>
      <c r="B71" s="100"/>
    </row>
    <row r="72" spans="1:2">
      <c r="A72" s="100"/>
      <c r="B72" s="100"/>
    </row>
    <row r="73" spans="1:2">
      <c r="A73" s="100"/>
      <c r="B73" s="100"/>
    </row>
    <row r="74" spans="1:2">
      <c r="A74" s="100"/>
      <c r="B74" s="100"/>
    </row>
    <row r="75" spans="1:2">
      <c r="A75" s="100"/>
      <c r="B75" s="100"/>
    </row>
    <row r="76" spans="1:2">
      <c r="A76" s="100"/>
      <c r="B76" s="100"/>
    </row>
    <row r="77" spans="1:2">
      <c r="A77" s="100"/>
      <c r="B77" s="100"/>
    </row>
    <row r="78" spans="1:2">
      <c r="A78" s="100"/>
      <c r="B78" s="100"/>
    </row>
    <row r="79" spans="1:2">
      <c r="A79" s="100"/>
      <c r="B79" s="100"/>
    </row>
    <row r="80" spans="1:2">
      <c r="A80" s="100"/>
      <c r="B80" s="100"/>
    </row>
    <row r="81" spans="1:2">
      <c r="A81" s="100"/>
      <c r="B81" s="100"/>
    </row>
    <row r="82" spans="1:2">
      <c r="A82" s="100"/>
      <c r="B82" s="100"/>
    </row>
    <row r="83" spans="1:2">
      <c r="A83" s="100"/>
      <c r="B83" s="100"/>
    </row>
    <row r="84" spans="1:2">
      <c r="A84" s="100"/>
      <c r="B84" s="100"/>
    </row>
    <row r="85" spans="1:2">
      <c r="A85" s="100"/>
      <c r="B85" s="100"/>
    </row>
    <row r="86" spans="1:2">
      <c r="A86" s="100"/>
      <c r="B86" s="100"/>
    </row>
    <row r="87" spans="1:2">
      <c r="A87" s="100"/>
      <c r="B87" s="100"/>
    </row>
    <row r="88" spans="1:2">
      <c r="A88" s="100"/>
      <c r="B88" s="100"/>
    </row>
    <row r="89" spans="1:2">
      <c r="A89" s="100"/>
      <c r="B89" s="100"/>
    </row>
    <row r="90" spans="1:2">
      <c r="A90" s="100"/>
      <c r="B90" s="100"/>
    </row>
    <row r="91" spans="1:2">
      <c r="A91" s="100"/>
      <c r="B91" s="100"/>
    </row>
    <row r="92" spans="1:2">
      <c r="A92" s="100"/>
      <c r="B92" s="100"/>
    </row>
    <row r="93" spans="1:2">
      <c r="A93" s="100"/>
      <c r="B93" s="100"/>
    </row>
    <row r="94" spans="1:2">
      <c r="A94" s="100"/>
      <c r="B94" s="100"/>
    </row>
    <row r="95" spans="1:2">
      <c r="A95" s="100"/>
      <c r="B95" s="100"/>
    </row>
    <row r="96" spans="1:2">
      <c r="A96" s="100"/>
      <c r="B96" s="100"/>
    </row>
    <row r="97" spans="1:2">
      <c r="A97" s="100"/>
      <c r="B97" s="100"/>
    </row>
    <row r="98" spans="1:2">
      <c r="A98" s="100"/>
      <c r="B98" s="100"/>
    </row>
    <row r="99" spans="1:2">
      <c r="A99" s="100"/>
      <c r="B99" s="100"/>
    </row>
    <row r="100" spans="1:2">
      <c r="A100" s="100"/>
      <c r="B100" s="100"/>
    </row>
    <row r="101" spans="1:2">
      <c r="A101" s="100"/>
      <c r="B101" s="100"/>
    </row>
    <row r="102" spans="1:2">
      <c r="A102" s="100"/>
      <c r="B102" s="100"/>
    </row>
    <row r="103" spans="1:2">
      <c r="A103" s="100"/>
      <c r="B103" s="100"/>
    </row>
    <row r="104" spans="1:2">
      <c r="A104" s="100"/>
      <c r="B104" s="100"/>
    </row>
    <row r="105" spans="1:2">
      <c r="A105" s="100"/>
      <c r="B105" s="100"/>
    </row>
    <row r="106" spans="1:2">
      <c r="A106" s="100"/>
      <c r="B106" s="100"/>
    </row>
    <row r="107" spans="1:2">
      <c r="A107" s="100"/>
      <c r="B107" s="100"/>
    </row>
    <row r="108" spans="1:2">
      <c r="A108" s="100"/>
      <c r="B108" s="100"/>
    </row>
    <row r="109" spans="1:2">
      <c r="A109" s="100"/>
      <c r="B109" s="100"/>
    </row>
    <row r="110" spans="1:2">
      <c r="A110" s="100"/>
      <c r="B110" s="100"/>
    </row>
    <row r="111" spans="1:2">
      <c r="A111" s="100"/>
      <c r="B111" s="100"/>
    </row>
    <row r="112" spans="1:2">
      <c r="A112" s="100"/>
      <c r="B112" s="100"/>
    </row>
    <row r="113" spans="1:2">
      <c r="A113" s="100"/>
      <c r="B113" s="100"/>
    </row>
    <row r="114" spans="1:2">
      <c r="A114" s="100"/>
      <c r="B114" s="100"/>
    </row>
    <row r="115" spans="1:2">
      <c r="A115" s="100"/>
      <c r="B115" s="100"/>
    </row>
    <row r="116" spans="1:2">
      <c r="A116" s="100"/>
      <c r="B116" s="100"/>
    </row>
    <row r="117" spans="1:2">
      <c r="A117" s="100"/>
      <c r="B117" s="100"/>
    </row>
    <row r="118" spans="1:2">
      <c r="A118" s="100"/>
      <c r="B118" s="100"/>
    </row>
    <row r="119" spans="1:2">
      <c r="A119" s="100"/>
      <c r="B119" s="100"/>
    </row>
    <row r="120" spans="1:2">
      <c r="A120" s="100"/>
      <c r="B120" s="100"/>
    </row>
    <row r="121" spans="1:2">
      <c r="A121" s="100"/>
      <c r="B121" s="100"/>
    </row>
    <row r="122" spans="1:2">
      <c r="A122" s="100"/>
      <c r="B122" s="100"/>
    </row>
    <row r="123" spans="1:2">
      <c r="A123" s="100"/>
      <c r="B123" s="100"/>
    </row>
    <row r="124" spans="1:2">
      <c r="A124" s="100"/>
      <c r="B124" s="100"/>
    </row>
    <row r="125" spans="1:2">
      <c r="A125" s="100"/>
      <c r="B125" s="100"/>
    </row>
    <row r="126" spans="1:2">
      <c r="A126" s="100"/>
      <c r="B126" s="100"/>
    </row>
    <row r="127" spans="1:2">
      <c r="A127" s="100"/>
      <c r="B127" s="100"/>
    </row>
    <row r="128" spans="1:2">
      <c r="A128" s="100"/>
      <c r="B128" s="100"/>
    </row>
    <row r="129" spans="1:2">
      <c r="A129" s="100"/>
      <c r="B129" s="100"/>
    </row>
    <row r="130" spans="1:2">
      <c r="A130" s="100"/>
      <c r="B130" s="100"/>
    </row>
    <row r="131" spans="1:2">
      <c r="A131" s="100"/>
      <c r="B131" s="100"/>
    </row>
    <row r="132" spans="1:2">
      <c r="A132" s="100"/>
      <c r="B132" s="100"/>
    </row>
    <row r="133" spans="1:2">
      <c r="A133" s="100"/>
      <c r="B133" s="100"/>
    </row>
    <row r="134" spans="1:2">
      <c r="A134" s="100"/>
      <c r="B134" s="100"/>
    </row>
    <row r="135" spans="1:2">
      <c r="A135" s="100"/>
      <c r="B135" s="100"/>
    </row>
    <row r="136" spans="1:2">
      <c r="A136" s="100"/>
      <c r="B136" s="100"/>
    </row>
    <row r="137" spans="1:2">
      <c r="A137" s="100"/>
      <c r="B137" s="100"/>
    </row>
    <row r="138" spans="1:2">
      <c r="A138" s="100"/>
      <c r="B138" s="100"/>
    </row>
    <row r="139" spans="1:2">
      <c r="A139" s="100"/>
      <c r="B139" s="100"/>
    </row>
    <row r="140" spans="1:2">
      <c r="A140" s="100"/>
      <c r="B140" s="100"/>
    </row>
    <row r="141" spans="1:2">
      <c r="A141" s="100"/>
      <c r="B141" s="100"/>
    </row>
    <row r="142" spans="1:2">
      <c r="A142" s="100"/>
      <c r="B142" s="100"/>
    </row>
    <row r="143" spans="1:2">
      <c r="A143" s="100"/>
      <c r="B143" s="100"/>
    </row>
    <row r="144" spans="1:2">
      <c r="A144" s="100"/>
      <c r="B144" s="100"/>
    </row>
    <row r="145" spans="1:2">
      <c r="A145" s="100"/>
      <c r="B145" s="100"/>
    </row>
    <row r="146" spans="1:2">
      <c r="A146" s="100"/>
      <c r="B146" s="100"/>
    </row>
    <row r="147" spans="1:2">
      <c r="A147" s="100"/>
      <c r="B147" s="100"/>
    </row>
    <row r="148" spans="1:2">
      <c r="A148" s="100"/>
      <c r="B148" s="100"/>
    </row>
    <row r="149" spans="1:2">
      <c r="A149" s="100"/>
      <c r="B149" s="100"/>
    </row>
    <row r="150" spans="1:2">
      <c r="A150" s="100"/>
      <c r="B150" s="100"/>
    </row>
    <row r="151" spans="1:2">
      <c r="A151" s="100"/>
      <c r="B151" s="100"/>
    </row>
    <row r="152" spans="1:2">
      <c r="A152" s="100"/>
      <c r="B152" s="100"/>
    </row>
    <row r="153" spans="1:2">
      <c r="A153" s="100"/>
      <c r="B153" s="100"/>
    </row>
    <row r="154" spans="1:2">
      <c r="A154" s="100"/>
      <c r="B154" s="100"/>
    </row>
    <row r="155" spans="1:2">
      <c r="A155" s="100"/>
      <c r="B155" s="100"/>
    </row>
    <row r="156" spans="1:2">
      <c r="A156" s="100"/>
      <c r="B156" s="100"/>
    </row>
    <row r="157" spans="1:2">
      <c r="A157" s="100"/>
      <c r="B157" s="100"/>
    </row>
    <row r="158" spans="1:2">
      <c r="A158" s="100"/>
      <c r="B158" s="100"/>
    </row>
    <row r="159" spans="1:2">
      <c r="A159" s="100"/>
      <c r="B159" s="100"/>
    </row>
    <row r="160" spans="1:2">
      <c r="A160" s="100"/>
      <c r="B160" s="100"/>
    </row>
    <row r="161" spans="1:2">
      <c r="A161" s="100"/>
      <c r="B161" s="100"/>
    </row>
    <row r="162" spans="1:2">
      <c r="A162" s="100"/>
      <c r="B162" s="100"/>
    </row>
    <row r="163" spans="1:2">
      <c r="A163" s="100"/>
      <c r="B163" s="100"/>
    </row>
    <row r="164" spans="1:2">
      <c r="A164" s="100"/>
      <c r="B164" s="100"/>
    </row>
    <row r="165" spans="1:2">
      <c r="A165" s="100"/>
      <c r="B165" s="100"/>
    </row>
    <row r="166" spans="1:2">
      <c r="A166" s="100"/>
      <c r="B166" s="100"/>
    </row>
    <row r="167" spans="1:2">
      <c r="A167" s="100"/>
      <c r="B167" s="100"/>
    </row>
    <row r="168" spans="1:2">
      <c r="A168" s="100"/>
      <c r="B168" s="100"/>
    </row>
    <row r="169" spans="1:2">
      <c r="A169" s="100"/>
      <c r="B169" s="100"/>
    </row>
    <row r="170" spans="1:2">
      <c r="A170" s="100"/>
      <c r="B170" s="100"/>
    </row>
    <row r="171" spans="1:2">
      <c r="A171" s="100"/>
      <c r="B171" s="100"/>
    </row>
    <row r="172" spans="1:2">
      <c r="A172" s="100"/>
      <c r="B172" s="100"/>
    </row>
    <row r="173" spans="1:2">
      <c r="A173" s="100"/>
      <c r="B173" s="100"/>
    </row>
    <row r="174" spans="1:2">
      <c r="A174" s="100"/>
      <c r="B174" s="100"/>
    </row>
    <row r="175" spans="1:2">
      <c r="A175" s="100"/>
      <c r="B175" s="100"/>
    </row>
    <row r="176" spans="1:2">
      <c r="A176" s="100"/>
      <c r="B176" s="100"/>
    </row>
    <row r="177" spans="1:2">
      <c r="A177" s="100"/>
      <c r="B177" s="100"/>
    </row>
    <row r="178" spans="1:2">
      <c r="A178" s="100"/>
      <c r="B178" s="100"/>
    </row>
    <row r="179" spans="1:2">
      <c r="A179" s="100"/>
      <c r="B179" s="100"/>
    </row>
    <row r="180" spans="1:2">
      <c r="A180" s="100"/>
      <c r="B180" s="100"/>
    </row>
    <row r="181" spans="1:2">
      <c r="A181" s="100"/>
      <c r="B181" s="100"/>
    </row>
    <row r="182" spans="1:2">
      <c r="A182" s="100"/>
      <c r="B182" s="100"/>
    </row>
    <row r="183" spans="1:2">
      <c r="A183" s="100"/>
      <c r="B183" s="100"/>
    </row>
    <row r="184" spans="1:2">
      <c r="A184" s="100"/>
      <c r="B184" s="100"/>
    </row>
    <row r="185" spans="1:2">
      <c r="A185" s="100"/>
      <c r="B185" s="100"/>
    </row>
    <row r="186" spans="1:2">
      <c r="A186" s="100"/>
      <c r="B186" s="100"/>
    </row>
    <row r="187" spans="1:2">
      <c r="A187" s="100"/>
      <c r="B187" s="100"/>
    </row>
    <row r="188" spans="1:2">
      <c r="A188" s="100"/>
      <c r="B188" s="100"/>
    </row>
    <row r="189" spans="1:2">
      <c r="A189" s="100"/>
      <c r="B189" s="100"/>
    </row>
    <row r="190" spans="1:2">
      <c r="A190" s="100"/>
      <c r="B190" s="100"/>
    </row>
    <row r="191" spans="1:2">
      <c r="A191" s="100"/>
      <c r="B191" s="100"/>
    </row>
    <row r="192" spans="1:2">
      <c r="A192" s="100"/>
      <c r="B192" s="100"/>
    </row>
    <row r="193" spans="1:2">
      <c r="A193" s="100"/>
      <c r="B193" s="100"/>
    </row>
    <row r="194" spans="1:2">
      <c r="A194" s="100"/>
      <c r="B194" s="100"/>
    </row>
    <row r="195" spans="1:2">
      <c r="A195" s="100"/>
      <c r="B195" s="100"/>
    </row>
    <row r="196" spans="1:2">
      <c r="A196" s="100"/>
      <c r="B196" s="100"/>
    </row>
    <row r="197" spans="1:2">
      <c r="A197" s="100"/>
      <c r="B197" s="100"/>
    </row>
    <row r="198" spans="1:2">
      <c r="A198" s="100"/>
      <c r="B198" s="100"/>
    </row>
    <row r="199" spans="1:2">
      <c r="A199" s="100"/>
      <c r="B199" s="100"/>
    </row>
    <row r="200" spans="1:2">
      <c r="A200" s="100"/>
      <c r="B200" s="100"/>
    </row>
    <row r="201" spans="1:2">
      <c r="A201" s="100"/>
      <c r="B201" s="100"/>
    </row>
    <row r="202" spans="1:2">
      <c r="A202" s="100"/>
      <c r="B202" s="100"/>
    </row>
    <row r="203" spans="1:2">
      <c r="A203" s="100"/>
      <c r="B203" s="100"/>
    </row>
    <row r="204" spans="1:2">
      <c r="A204" s="100"/>
      <c r="B204" s="100"/>
    </row>
    <row r="205" spans="1:2">
      <c r="A205" s="100"/>
      <c r="B205" s="100"/>
    </row>
    <row r="206" spans="1:2">
      <c r="A206" s="100"/>
      <c r="B206" s="100"/>
    </row>
    <row r="207" spans="1:2">
      <c r="A207" s="100"/>
      <c r="B207" s="100"/>
    </row>
    <row r="208" spans="1:2">
      <c r="A208" s="100"/>
      <c r="B208" s="100"/>
    </row>
    <row r="209" spans="1:2">
      <c r="A209" s="100"/>
      <c r="B209" s="100"/>
    </row>
    <row r="210" spans="1:2">
      <c r="A210" s="100"/>
      <c r="B210" s="100"/>
    </row>
    <row r="211" spans="1:2">
      <c r="A211" s="100"/>
      <c r="B211" s="100"/>
    </row>
    <row r="212" spans="1:2">
      <c r="A212" s="100"/>
      <c r="B212" s="100"/>
    </row>
    <row r="213" spans="1:2">
      <c r="A213" s="100"/>
      <c r="B213" s="100"/>
    </row>
    <row r="214" spans="1:2">
      <c r="A214" s="100"/>
      <c r="B214" s="100"/>
    </row>
    <row r="215" spans="1:2">
      <c r="A215" s="100"/>
      <c r="B215" s="100"/>
    </row>
    <row r="216" spans="1:2">
      <c r="A216" s="100"/>
      <c r="B216" s="100"/>
    </row>
    <row r="217" spans="1:2">
      <c r="A217" s="100"/>
      <c r="B217" s="100"/>
    </row>
    <row r="218" spans="1:2">
      <c r="A218" s="100"/>
      <c r="B218" s="100"/>
    </row>
    <row r="219" spans="1:2">
      <c r="A219" s="100"/>
      <c r="B219" s="100"/>
    </row>
    <row r="220" spans="1:2">
      <c r="A220" s="100"/>
      <c r="B220" s="100"/>
    </row>
    <row r="221" spans="1:2">
      <c r="A221" s="100"/>
      <c r="B221" s="100"/>
    </row>
    <row r="222" spans="1:2">
      <c r="A222" s="100"/>
      <c r="B222" s="100"/>
    </row>
    <row r="223" spans="1:2">
      <c r="A223" s="100"/>
      <c r="B223" s="100"/>
    </row>
    <row r="224" spans="1:2">
      <c r="A224" s="100"/>
      <c r="B224" s="100"/>
    </row>
    <row r="225" spans="1:2">
      <c r="A225" s="100"/>
      <c r="B225" s="100"/>
    </row>
    <row r="226" spans="1:2">
      <c r="A226" s="100"/>
      <c r="B226" s="100"/>
    </row>
    <row r="227" spans="1:2">
      <c r="A227" s="100"/>
      <c r="B227" s="100"/>
    </row>
    <row r="228" spans="1:2">
      <c r="A228" s="100"/>
      <c r="B228" s="100"/>
    </row>
    <row r="229" spans="1:2">
      <c r="A229" s="100"/>
      <c r="B229" s="100"/>
    </row>
    <row r="230" spans="1:2">
      <c r="A230" s="100"/>
      <c r="B230" s="100"/>
    </row>
    <row r="231" spans="1:2">
      <c r="A231" s="100"/>
      <c r="B231" s="100"/>
    </row>
    <row r="232" spans="1:2">
      <c r="A232" s="100"/>
      <c r="B232" s="100"/>
    </row>
    <row r="233" spans="1:2">
      <c r="A233" s="100"/>
      <c r="B233" s="100"/>
    </row>
    <row r="234" spans="1:2">
      <c r="A234" s="100"/>
      <c r="B234" s="100"/>
    </row>
    <row r="235" spans="1:2">
      <c r="A235" s="100"/>
      <c r="B235" s="100"/>
    </row>
    <row r="236" spans="1:2">
      <c r="A236" s="100"/>
      <c r="B236" s="100"/>
    </row>
    <row r="237" spans="1:2">
      <c r="A237" s="100"/>
      <c r="B237" s="100"/>
    </row>
    <row r="238" spans="1:2">
      <c r="A238" s="100"/>
      <c r="B238" s="100"/>
    </row>
    <row r="239" spans="1:2">
      <c r="A239" s="100"/>
      <c r="B239" s="100"/>
    </row>
    <row r="240" spans="1:2">
      <c r="A240" s="100"/>
      <c r="B240" s="100"/>
    </row>
    <row r="241" spans="1:2">
      <c r="A241" s="100"/>
      <c r="B241" s="100"/>
    </row>
    <row r="242" spans="1:2">
      <c r="A242" s="100"/>
      <c r="B242" s="100"/>
    </row>
    <row r="243" spans="1:2">
      <c r="A243" s="100"/>
      <c r="B243" s="100"/>
    </row>
    <row r="244" spans="1:2">
      <c r="A244" s="100"/>
      <c r="B244" s="100"/>
    </row>
    <row r="245" spans="1:2">
      <c r="A245" s="100"/>
      <c r="B245" s="100"/>
    </row>
    <row r="246" spans="1:2">
      <c r="A246" s="100"/>
      <c r="B246" s="100"/>
    </row>
    <row r="247" spans="1:2">
      <c r="A247" s="100"/>
      <c r="B247" s="100"/>
    </row>
    <row r="248" spans="1:2">
      <c r="A248" s="100"/>
      <c r="B248" s="100"/>
    </row>
    <row r="249" spans="1:2">
      <c r="A249" s="100"/>
      <c r="B249" s="100"/>
    </row>
    <row r="250" spans="1:2">
      <c r="A250" s="100"/>
      <c r="B250" s="100"/>
    </row>
    <row r="251" spans="1:2">
      <c r="A251" s="100"/>
      <c r="B251" s="100"/>
    </row>
    <row r="252" spans="1:2">
      <c r="A252" s="100"/>
      <c r="B252" s="100"/>
    </row>
    <row r="253" spans="1:2">
      <c r="A253" s="100"/>
      <c r="B253" s="100"/>
    </row>
    <row r="254" spans="1:2">
      <c r="A254" s="100"/>
      <c r="B254" s="100"/>
    </row>
    <row r="255" spans="1:2">
      <c r="A255" s="100"/>
      <c r="B255" s="100"/>
    </row>
    <row r="256" spans="1:2">
      <c r="A256" s="100"/>
      <c r="B256" s="100"/>
    </row>
    <row r="257" spans="1:2">
      <c r="A257" s="100"/>
      <c r="B257" s="100"/>
    </row>
    <row r="258" spans="1:2">
      <c r="A258" s="100"/>
      <c r="B258" s="100"/>
    </row>
    <row r="259" spans="1:2">
      <c r="A259" s="100"/>
      <c r="B259" s="100"/>
    </row>
    <row r="260" spans="1:2">
      <c r="A260" s="100"/>
      <c r="B260" s="100"/>
    </row>
    <row r="261" spans="1:2">
      <c r="A261" s="100"/>
      <c r="B261" s="100"/>
    </row>
    <row r="262" spans="1:2">
      <c r="A262" s="100"/>
      <c r="B262" s="100"/>
    </row>
    <row r="263" spans="1:2">
      <c r="A263" s="100"/>
      <c r="B263" s="100"/>
    </row>
    <row r="264" spans="1:2">
      <c r="A264" s="100"/>
      <c r="B264" s="100"/>
    </row>
    <row r="265" spans="1:2">
      <c r="A265" s="100"/>
      <c r="B265" s="100"/>
    </row>
    <row r="266" spans="1:2">
      <c r="A266" s="100"/>
      <c r="B266" s="100"/>
    </row>
    <row r="267" spans="1:2">
      <c r="A267" s="100"/>
      <c r="B267" s="100"/>
    </row>
    <row r="268" spans="1:2">
      <c r="A268" s="100"/>
      <c r="B268" s="100"/>
    </row>
    <row r="269" spans="1:2">
      <c r="A269" s="100"/>
      <c r="B269" s="100"/>
    </row>
    <row r="270" spans="1:2">
      <c r="A270" s="100"/>
      <c r="B270" s="100"/>
    </row>
    <row r="271" spans="1:2">
      <c r="A271" s="100"/>
      <c r="B271" s="100"/>
    </row>
    <row r="272" spans="1:2">
      <c r="A272" s="100"/>
      <c r="B272" s="100"/>
    </row>
    <row r="273" spans="1:2">
      <c r="A273" s="100"/>
      <c r="B273" s="100"/>
    </row>
    <row r="274" spans="1:2">
      <c r="A274" s="100"/>
      <c r="B274" s="100"/>
    </row>
    <row r="275" spans="1:2">
      <c r="A275" s="100"/>
      <c r="B275" s="100"/>
    </row>
    <row r="276" spans="1:2">
      <c r="A276" s="100"/>
      <c r="B276" s="100"/>
    </row>
    <row r="277" spans="1:2">
      <c r="A277" s="100"/>
      <c r="B277" s="100"/>
    </row>
    <row r="278" spans="1:2">
      <c r="A278" s="100"/>
      <c r="B278" s="100"/>
    </row>
    <row r="279" spans="1:2">
      <c r="A279" s="100"/>
      <c r="B279" s="100"/>
    </row>
    <row r="280" spans="1:2">
      <c r="A280" s="100"/>
      <c r="B280" s="100"/>
    </row>
    <row r="281" spans="1:2">
      <c r="A281" s="100"/>
      <c r="B281" s="100"/>
    </row>
    <row r="282" spans="1:2">
      <c r="A282" s="100"/>
      <c r="B282" s="100"/>
    </row>
    <row r="283" spans="1:2">
      <c r="A283" s="100"/>
      <c r="B283" s="100"/>
    </row>
    <row r="284" spans="1:2">
      <c r="A284" s="100"/>
      <c r="B284" s="100"/>
    </row>
    <row r="285" spans="1:2">
      <c r="A285" s="100"/>
      <c r="B285" s="100"/>
    </row>
    <row r="286" spans="1:2">
      <c r="A286" s="100"/>
      <c r="B286" s="100"/>
    </row>
    <row r="287" spans="1:2">
      <c r="A287" s="100"/>
      <c r="B287" s="100"/>
    </row>
    <row r="288" spans="1:2">
      <c r="A288" s="100"/>
      <c r="B288" s="100"/>
    </row>
    <row r="289" spans="1:2">
      <c r="A289" s="100"/>
      <c r="B289" s="100"/>
    </row>
    <row r="290" spans="1:2">
      <c r="A290" s="100"/>
      <c r="B290" s="100"/>
    </row>
    <row r="291" spans="1:2">
      <c r="A291" s="100"/>
      <c r="B291" s="100"/>
    </row>
    <row r="292" spans="1:2">
      <c r="A292" s="100"/>
      <c r="B292" s="100"/>
    </row>
    <row r="293" spans="1:2">
      <c r="A293" s="100"/>
      <c r="B293" s="100"/>
    </row>
    <row r="294" spans="1:2">
      <c r="A294" s="100"/>
      <c r="B294" s="100"/>
    </row>
    <row r="295" spans="1:2">
      <c r="A295" s="100"/>
      <c r="B295" s="100"/>
    </row>
    <row r="296" spans="1:2">
      <c r="A296" s="100"/>
      <c r="B296" s="100"/>
    </row>
    <row r="297" spans="1:2">
      <c r="A297" s="100"/>
      <c r="B297" s="100"/>
    </row>
    <row r="298" spans="1:2">
      <c r="A298" s="100"/>
      <c r="B298" s="100"/>
    </row>
    <row r="299" spans="1:2">
      <c r="A299" s="100"/>
      <c r="B299" s="100"/>
    </row>
    <row r="300" spans="1:2">
      <c r="A300" s="100"/>
      <c r="B300" s="100"/>
    </row>
    <row r="301" spans="1:2">
      <c r="A301" s="100"/>
      <c r="B301" s="100"/>
    </row>
    <row r="302" spans="1:2">
      <c r="A302" s="100"/>
      <c r="B302" s="100"/>
    </row>
    <row r="303" spans="1:2">
      <c r="A303" s="100"/>
      <c r="B303" s="100"/>
    </row>
    <row r="304" spans="1:2">
      <c r="A304" s="100"/>
      <c r="B304" s="100"/>
    </row>
    <row r="305" spans="1:2">
      <c r="A305" s="100"/>
      <c r="B305" s="100"/>
    </row>
    <row r="306" spans="1:2">
      <c r="A306" s="100"/>
      <c r="B306" s="100"/>
    </row>
    <row r="307" spans="1:2">
      <c r="A307" s="100"/>
      <c r="B307" s="100"/>
    </row>
    <row r="308" spans="1:2">
      <c r="A308" s="100"/>
      <c r="B308" s="100"/>
    </row>
    <row r="309" spans="1:2">
      <c r="A309" s="100"/>
      <c r="B309" s="100"/>
    </row>
    <row r="310" spans="1:2">
      <c r="A310" s="100"/>
      <c r="B310" s="100"/>
    </row>
    <row r="311" spans="1:2">
      <c r="A311" s="100"/>
      <c r="B311" s="100"/>
    </row>
    <row r="312" spans="1:2">
      <c r="A312" s="100"/>
      <c r="B312" s="100"/>
    </row>
    <row r="313" spans="1:2">
      <c r="A313" s="100"/>
      <c r="B313" s="100"/>
    </row>
    <row r="314" spans="1:2">
      <c r="A314" s="100"/>
      <c r="B314" s="100"/>
    </row>
    <row r="315" spans="1:2">
      <c r="A315" s="100"/>
      <c r="B315" s="100"/>
    </row>
    <row r="316" spans="1:2">
      <c r="A316" s="100"/>
      <c r="B316" s="100"/>
    </row>
    <row r="317" spans="1:2">
      <c r="A317" s="100"/>
      <c r="B317" s="100"/>
    </row>
    <row r="318" spans="1:2">
      <c r="A318" s="100"/>
      <c r="B318" s="100"/>
    </row>
    <row r="319" spans="1:2">
      <c r="A319" s="100"/>
      <c r="B319" s="100"/>
    </row>
    <row r="320" spans="1:2">
      <c r="A320" s="100"/>
      <c r="B320" s="100"/>
    </row>
    <row r="321" spans="1:2">
      <c r="A321" s="100"/>
      <c r="B321" s="100"/>
    </row>
    <row r="322" spans="1:2">
      <c r="A322" s="100"/>
      <c r="B322" s="100"/>
    </row>
    <row r="323" spans="1:2">
      <c r="A323" s="100"/>
      <c r="B323" s="100"/>
    </row>
    <row r="324" spans="1:2">
      <c r="A324" s="100"/>
      <c r="B324" s="100"/>
    </row>
    <row r="325" spans="1:2">
      <c r="A325" s="100"/>
      <c r="B325" s="100"/>
    </row>
    <row r="326" spans="1:2">
      <c r="A326" s="100"/>
      <c r="B326" s="100"/>
    </row>
    <row r="327" spans="1:2">
      <c r="A327" s="100"/>
      <c r="B327" s="100"/>
    </row>
    <row r="328" spans="1:2">
      <c r="A328" s="100"/>
      <c r="B328" s="100"/>
    </row>
    <row r="329" spans="1:2">
      <c r="A329" s="100"/>
      <c r="B329" s="100"/>
    </row>
    <row r="330" spans="1:2">
      <c r="A330" s="100"/>
      <c r="B330" s="100"/>
    </row>
    <row r="331" spans="1:2">
      <c r="A331" s="100"/>
      <c r="B331" s="100"/>
    </row>
    <row r="332" spans="1:2">
      <c r="A332" s="100"/>
      <c r="B332" s="100"/>
    </row>
    <row r="333" spans="1:2">
      <c r="A333" s="100"/>
      <c r="B333" s="100"/>
    </row>
    <row r="334" spans="1:2">
      <c r="A334" s="100"/>
      <c r="B334" s="100"/>
    </row>
    <row r="335" spans="1:2">
      <c r="A335" s="100"/>
      <c r="B335" s="100"/>
    </row>
    <row r="336" spans="1:2">
      <c r="A336" s="100"/>
      <c r="B336" s="100"/>
    </row>
    <row r="337" spans="1:2">
      <c r="A337" s="100"/>
      <c r="B337" s="100"/>
    </row>
    <row r="338" spans="1:2">
      <c r="A338" s="100"/>
      <c r="B338" s="100"/>
    </row>
    <row r="339" spans="1:2">
      <c r="A339" s="100"/>
      <c r="B339" s="100"/>
    </row>
    <row r="340" spans="1:2">
      <c r="A340" s="100"/>
      <c r="B340" s="100"/>
    </row>
    <row r="341" spans="1:2">
      <c r="A341" s="100"/>
      <c r="B341" s="100"/>
    </row>
    <row r="342" spans="1:2">
      <c r="A342" s="100"/>
      <c r="B342" s="100"/>
    </row>
    <row r="343" spans="1:2">
      <c r="A343" s="100"/>
      <c r="B343" s="100"/>
    </row>
    <row r="344" spans="1:2">
      <c r="A344" s="100"/>
      <c r="B344" s="100"/>
    </row>
    <row r="345" spans="1:2">
      <c r="A345" s="100"/>
      <c r="B345" s="100"/>
    </row>
    <row r="346" spans="1:2">
      <c r="A346" s="100"/>
      <c r="B346" s="100"/>
    </row>
    <row r="347" spans="1:2">
      <c r="A347" s="100"/>
      <c r="B347" s="100"/>
    </row>
    <row r="348" spans="1:2">
      <c r="A348" s="100"/>
      <c r="B348" s="100"/>
    </row>
    <row r="349" spans="1:2">
      <c r="A349" s="100"/>
      <c r="B349" s="100"/>
    </row>
    <row r="350" spans="1:2">
      <c r="A350" s="100"/>
      <c r="B350" s="100"/>
    </row>
    <row r="351" spans="1:2">
      <c r="A351" s="100"/>
      <c r="B351" s="100"/>
    </row>
    <row r="352" spans="1:2">
      <c r="A352" s="100"/>
      <c r="B352" s="100"/>
    </row>
    <row r="353" spans="1:2">
      <c r="A353" s="100"/>
      <c r="B353" s="100"/>
    </row>
    <row r="354" spans="1:2">
      <c r="A354" s="100"/>
      <c r="B354" s="100"/>
    </row>
    <row r="355" spans="1:2">
      <c r="A355" s="100"/>
      <c r="B355" s="100"/>
    </row>
    <row r="356" spans="1:2">
      <c r="A356" s="100"/>
      <c r="B356" s="100"/>
    </row>
    <row r="357" spans="1:2">
      <c r="A357" s="100"/>
      <c r="B357" s="100"/>
    </row>
    <row r="358" spans="1:2">
      <c r="A358" s="100"/>
      <c r="B358" s="100"/>
    </row>
    <row r="359" spans="1:2">
      <c r="A359" s="100"/>
      <c r="B359" s="100"/>
    </row>
    <row r="360" spans="1:2">
      <c r="A360" s="100"/>
      <c r="B360" s="100"/>
    </row>
    <row r="361" spans="1:2">
      <c r="A361" s="100"/>
      <c r="B361" s="100"/>
    </row>
    <row r="362" spans="1:2">
      <c r="A362" s="100"/>
      <c r="B362" s="100"/>
    </row>
    <row r="363" spans="1:2">
      <c r="A363" s="100"/>
      <c r="B363" s="100"/>
    </row>
    <row r="364" spans="1:2">
      <c r="A364" s="100"/>
      <c r="B364" s="100"/>
    </row>
    <row r="365" spans="1:2">
      <c r="A365" s="100"/>
      <c r="B365" s="100"/>
    </row>
    <row r="366" spans="1:2">
      <c r="A366" s="100"/>
      <c r="B366" s="100"/>
    </row>
    <row r="367" spans="1:2">
      <c r="A367" s="100"/>
      <c r="B367" s="100"/>
    </row>
    <row r="368" spans="1:2">
      <c r="A368" s="100"/>
      <c r="B368" s="100"/>
    </row>
    <row r="369" spans="1:2">
      <c r="A369" s="100"/>
      <c r="B369" s="100"/>
    </row>
    <row r="370" spans="1:2">
      <c r="A370" s="100"/>
      <c r="B370" s="100"/>
    </row>
    <row r="371" spans="1:2">
      <c r="A371" s="100"/>
      <c r="B371" s="100"/>
    </row>
    <row r="372" spans="1:2">
      <c r="A372" s="100"/>
      <c r="B372" s="100"/>
    </row>
    <row r="373" spans="1:2">
      <c r="A373" s="100"/>
      <c r="B373" s="100"/>
    </row>
    <row r="374" spans="1:2">
      <c r="A374" s="100"/>
      <c r="B374" s="100"/>
    </row>
    <row r="375" spans="1:2">
      <c r="A375" s="100"/>
      <c r="B375" s="100"/>
    </row>
    <row r="376" spans="1:2">
      <c r="A376" s="100"/>
      <c r="B376" s="100"/>
    </row>
    <row r="377" spans="1:2">
      <c r="A377" s="100"/>
      <c r="B377" s="100"/>
    </row>
    <row r="378" spans="1:2">
      <c r="A378" s="100"/>
      <c r="B378" s="100"/>
    </row>
    <row r="379" spans="1:2">
      <c r="A379" s="100"/>
      <c r="B379" s="100"/>
    </row>
    <row r="380" spans="1:2">
      <c r="A380" s="100"/>
      <c r="B380" s="100"/>
    </row>
    <row r="381" spans="1:2">
      <c r="A381" s="100"/>
      <c r="B381" s="100"/>
    </row>
    <row r="382" spans="1:2">
      <c r="A382" s="100"/>
      <c r="B382" s="100"/>
    </row>
    <row r="383" spans="1:2">
      <c r="A383" s="100"/>
      <c r="B383" s="100"/>
    </row>
    <row r="384" spans="1:2">
      <c r="A384" s="100"/>
      <c r="B384" s="100"/>
    </row>
    <row r="385" spans="1:2">
      <c r="A385" s="100"/>
      <c r="B385" s="100"/>
    </row>
    <row r="386" spans="1:2">
      <c r="A386" s="100"/>
      <c r="B386" s="100"/>
    </row>
    <row r="387" spans="1:2">
      <c r="A387" s="100"/>
      <c r="B387" s="100"/>
    </row>
    <row r="388" spans="1:2">
      <c r="A388" s="100"/>
      <c r="B388" s="100"/>
    </row>
    <row r="389" spans="1:2">
      <c r="A389" s="100"/>
      <c r="B389" s="100"/>
    </row>
    <row r="390" spans="1:2">
      <c r="A390" s="100"/>
      <c r="B390" s="100"/>
    </row>
    <row r="391" spans="1:2">
      <c r="A391" s="100"/>
      <c r="B391" s="100"/>
    </row>
    <row r="392" spans="1:2">
      <c r="A392" s="100"/>
      <c r="B392" s="100"/>
    </row>
    <row r="393" spans="1:2">
      <c r="A393" s="100"/>
      <c r="B393" s="100"/>
    </row>
    <row r="394" spans="1:2">
      <c r="A394" s="100"/>
      <c r="B394" s="100"/>
    </row>
    <row r="395" spans="1:2">
      <c r="A395" s="100"/>
      <c r="B395" s="100"/>
    </row>
    <row r="396" spans="1:2">
      <c r="A396" s="100"/>
      <c r="B396" s="100"/>
    </row>
    <row r="397" spans="1:2">
      <c r="A397" s="100"/>
      <c r="B397" s="100"/>
    </row>
    <row r="398" spans="1:2">
      <c r="A398" s="100"/>
      <c r="B398" s="100"/>
    </row>
    <row r="399" spans="1:2">
      <c r="A399" s="100"/>
      <c r="B399" s="100"/>
    </row>
    <row r="400" spans="1:2">
      <c r="A400" s="100"/>
      <c r="B400" s="100"/>
    </row>
    <row r="401" spans="1:2">
      <c r="A401" s="100"/>
      <c r="B401" s="100"/>
    </row>
    <row r="402" spans="1:2">
      <c r="A402" s="100"/>
      <c r="B402" s="100"/>
    </row>
    <row r="403" spans="1:2">
      <c r="A403" s="100"/>
      <c r="B403" s="100"/>
    </row>
    <row r="404" spans="1:2">
      <c r="A404" s="100"/>
      <c r="B404" s="100"/>
    </row>
    <row r="405" spans="1:2">
      <c r="A405" s="100"/>
      <c r="B405" s="100"/>
    </row>
    <row r="406" spans="1:2">
      <c r="A406" s="100"/>
      <c r="B406" s="100"/>
    </row>
    <row r="407" spans="1:2">
      <c r="A407" s="100"/>
      <c r="B407" s="100"/>
    </row>
    <row r="408" spans="1:2">
      <c r="A408" s="100"/>
      <c r="B408" s="100"/>
    </row>
    <row r="409" spans="1:2">
      <c r="A409" s="100"/>
      <c r="B409" s="100"/>
    </row>
    <row r="410" spans="1:2">
      <c r="A410" s="100"/>
      <c r="B410" s="100"/>
    </row>
    <row r="411" spans="1:2">
      <c r="A411" s="100"/>
      <c r="B411" s="100"/>
    </row>
    <row r="412" spans="1:2">
      <c r="A412" s="100"/>
      <c r="B412" s="100"/>
    </row>
    <row r="413" spans="1:2">
      <c r="A413" s="100"/>
      <c r="B413" s="100"/>
    </row>
    <row r="414" spans="1:2">
      <c r="A414" s="100"/>
      <c r="B414" s="100"/>
    </row>
    <row r="415" spans="1:2">
      <c r="A415" s="100"/>
      <c r="B415" s="100"/>
    </row>
    <row r="416" spans="1:2">
      <c r="A416" s="100"/>
      <c r="B416" s="100"/>
    </row>
    <row r="417" spans="1:2">
      <c r="A417" s="100"/>
      <c r="B417" s="100"/>
    </row>
    <row r="418" spans="1:2">
      <c r="A418" s="100"/>
      <c r="B418" s="100"/>
    </row>
    <row r="419" spans="1:2">
      <c r="A419" s="100"/>
      <c r="B419" s="100"/>
    </row>
    <row r="420" spans="1:2">
      <c r="A420" s="100"/>
      <c r="B420" s="100"/>
    </row>
    <row r="421" spans="1:2">
      <c r="A421" s="100"/>
      <c r="B421" s="100"/>
    </row>
    <row r="422" spans="1:2">
      <c r="A422" s="100"/>
      <c r="B422" s="100"/>
    </row>
    <row r="423" spans="1:2">
      <c r="A423" s="100"/>
      <c r="B423" s="100"/>
    </row>
    <row r="424" spans="1:2">
      <c r="A424" s="100"/>
      <c r="B424" s="100"/>
    </row>
    <row r="425" spans="1:2">
      <c r="A425" s="100"/>
      <c r="B425" s="100"/>
    </row>
    <row r="426" spans="1:2">
      <c r="A426" s="100"/>
      <c r="B426" s="100"/>
    </row>
    <row r="427" spans="1:2">
      <c r="A427" s="100"/>
      <c r="B427" s="100"/>
    </row>
    <row r="428" spans="1:2">
      <c r="A428" s="100"/>
      <c r="B428" s="100"/>
    </row>
    <row r="429" spans="1:2">
      <c r="A429" s="100"/>
      <c r="B429" s="100"/>
    </row>
    <row r="430" spans="1:2">
      <c r="A430" s="100"/>
      <c r="B430" s="100"/>
    </row>
    <row r="431" spans="1:2">
      <c r="A431" s="100"/>
      <c r="B431" s="100"/>
    </row>
    <row r="432" spans="1:2">
      <c r="A432" s="100"/>
      <c r="B432" s="100"/>
    </row>
    <row r="433" spans="1:2">
      <c r="A433" s="100"/>
      <c r="B433" s="100"/>
    </row>
    <row r="434" spans="1:2">
      <c r="A434" s="100"/>
      <c r="B434" s="100"/>
    </row>
    <row r="435" spans="1:2">
      <c r="A435" s="100"/>
      <c r="B435" s="100"/>
    </row>
    <row r="436" spans="1:2">
      <c r="A436" s="100"/>
      <c r="B436" s="100"/>
    </row>
    <row r="437" spans="1:2">
      <c r="A437" s="100"/>
      <c r="B437" s="100"/>
    </row>
    <row r="438" spans="1:2">
      <c r="A438" s="100"/>
      <c r="B438" s="100"/>
    </row>
    <row r="439" spans="1:2">
      <c r="A439" s="100"/>
      <c r="B439" s="100"/>
    </row>
    <row r="440" spans="1:2">
      <c r="A440" s="100"/>
      <c r="B440" s="100"/>
    </row>
    <row r="441" spans="1:2">
      <c r="A441" s="100"/>
      <c r="B441" s="100"/>
    </row>
    <row r="442" spans="1:2">
      <c r="A442" s="100"/>
      <c r="B442" s="100"/>
    </row>
    <row r="443" spans="1:2">
      <c r="A443" s="100"/>
      <c r="B443" s="100"/>
    </row>
    <row r="444" spans="1:2">
      <c r="A444" s="100"/>
      <c r="B444" s="100"/>
    </row>
    <row r="445" spans="1:2">
      <c r="A445" s="100"/>
      <c r="B445" s="100"/>
    </row>
    <row r="446" spans="1:2">
      <c r="A446" s="100"/>
      <c r="B446" s="100"/>
    </row>
    <row r="447" spans="1:2">
      <c r="A447" s="100"/>
      <c r="B447" s="100"/>
    </row>
    <row r="448" spans="1:2">
      <c r="A448" s="100"/>
      <c r="B448" s="100"/>
    </row>
    <row r="449" spans="1:2">
      <c r="A449" s="100"/>
      <c r="B449" s="100"/>
    </row>
    <row r="450" spans="1:2">
      <c r="A450" s="100"/>
      <c r="B450" s="100"/>
    </row>
    <row r="451" spans="1:2">
      <c r="A451" s="100"/>
      <c r="B451" s="100"/>
    </row>
    <row r="452" spans="1:2">
      <c r="A452" s="100"/>
      <c r="B452" s="100"/>
    </row>
    <row r="453" spans="1:2">
      <c r="A453" s="100"/>
      <c r="B453" s="100"/>
    </row>
    <row r="454" spans="1:2">
      <c r="A454" s="100"/>
      <c r="B454" s="100"/>
    </row>
    <row r="455" spans="1:2">
      <c r="A455" s="100"/>
      <c r="B455" s="100"/>
    </row>
    <row r="456" spans="1:2">
      <c r="A456" s="100"/>
      <c r="B456" s="100"/>
    </row>
    <row r="457" spans="1:2">
      <c r="A457" s="100"/>
      <c r="B457" s="100"/>
    </row>
    <row r="458" spans="1:2">
      <c r="A458" s="100"/>
      <c r="B458" s="100"/>
    </row>
    <row r="459" spans="1:2">
      <c r="A459" s="100"/>
      <c r="B459" s="100"/>
    </row>
    <row r="460" spans="1:2">
      <c r="A460" s="100"/>
      <c r="B460" s="100"/>
    </row>
    <row r="461" spans="1:2">
      <c r="A461" s="100"/>
      <c r="B461" s="100"/>
    </row>
    <row r="462" spans="1:2">
      <c r="A462" s="100"/>
      <c r="B462" s="100"/>
    </row>
    <row r="463" spans="1:2">
      <c r="A463" s="100"/>
      <c r="B463" s="100"/>
    </row>
    <row r="464" spans="1:2">
      <c r="A464" s="100"/>
      <c r="B464" s="100"/>
    </row>
    <row r="465" spans="1:2">
      <c r="A465" s="100"/>
      <c r="B465" s="100"/>
    </row>
    <row r="466" spans="1:2">
      <c r="A466" s="100"/>
      <c r="B466" s="100"/>
    </row>
    <row r="467" spans="1:2">
      <c r="A467" s="100"/>
      <c r="B467" s="100"/>
    </row>
    <row r="468" spans="1:2">
      <c r="A468" s="100"/>
      <c r="B468" s="100"/>
    </row>
    <row r="469" spans="1:2">
      <c r="A469" s="100"/>
      <c r="B469" s="100"/>
    </row>
    <row r="470" spans="1:2">
      <c r="A470" s="100"/>
      <c r="B470" s="100"/>
    </row>
    <row r="471" spans="1:2">
      <c r="A471" s="100"/>
      <c r="B471" s="100"/>
    </row>
    <row r="472" spans="1:2">
      <c r="A472" s="100"/>
      <c r="B472" s="100"/>
    </row>
    <row r="473" spans="1:2">
      <c r="A473" s="100"/>
      <c r="B473" s="100"/>
    </row>
    <row r="474" spans="1:2">
      <c r="A474" s="100"/>
      <c r="B474" s="100"/>
    </row>
    <row r="475" spans="1:2">
      <c r="A475" s="100"/>
      <c r="B475" s="100"/>
    </row>
    <row r="476" spans="1:2">
      <c r="A476" s="100"/>
      <c r="B476" s="100"/>
    </row>
    <row r="477" spans="1:2">
      <c r="A477" s="100"/>
      <c r="B477" s="100"/>
    </row>
    <row r="478" spans="1:2">
      <c r="A478" s="100"/>
      <c r="B478" s="100"/>
    </row>
    <row r="479" spans="1:2">
      <c r="A479" s="100"/>
      <c r="B479" s="100"/>
    </row>
    <row r="480" spans="1:2">
      <c r="A480" s="100"/>
      <c r="B480" s="100"/>
    </row>
    <row r="481" spans="1:2">
      <c r="A481" s="100"/>
      <c r="B481" s="100"/>
    </row>
    <row r="482" spans="1:2">
      <c r="A482" s="100"/>
      <c r="B482" s="100"/>
    </row>
    <row r="483" spans="1:2">
      <c r="A483" s="100"/>
      <c r="B483" s="100"/>
    </row>
    <row r="484" spans="1:2">
      <c r="A484" s="100"/>
      <c r="B484" s="100"/>
    </row>
    <row r="485" spans="1:2">
      <c r="A485" s="100"/>
      <c r="B485" s="100"/>
    </row>
    <row r="486" spans="1:2">
      <c r="A486" s="100"/>
      <c r="B486" s="100"/>
    </row>
    <row r="487" spans="1:2">
      <c r="A487" s="100"/>
      <c r="B487" s="100"/>
    </row>
    <row r="488" spans="1:2">
      <c r="A488" s="100"/>
      <c r="B488" s="100"/>
    </row>
    <row r="489" spans="1:2">
      <c r="A489" s="100"/>
      <c r="B489" s="100"/>
    </row>
    <row r="490" spans="1:2">
      <c r="A490" s="100"/>
      <c r="B490" s="100"/>
    </row>
    <row r="491" spans="1:2">
      <c r="A491" s="100"/>
      <c r="B491" s="100"/>
    </row>
    <row r="492" spans="1:2">
      <c r="A492" s="100"/>
      <c r="B492" s="100"/>
    </row>
    <row r="493" spans="1:2">
      <c r="A493" s="100"/>
      <c r="B493" s="100"/>
    </row>
    <row r="494" spans="1:2">
      <c r="A494" s="100"/>
      <c r="B494" s="100"/>
    </row>
    <row r="495" spans="1:2">
      <c r="A495" s="100"/>
      <c r="B495" s="100"/>
    </row>
    <row r="496" spans="1:2">
      <c r="A496" s="100"/>
      <c r="B496" s="100"/>
    </row>
    <row r="497" spans="1:2">
      <c r="A497" s="100"/>
      <c r="B497" s="100"/>
    </row>
    <row r="498" spans="1:2">
      <c r="A498" s="100"/>
      <c r="B498" s="100"/>
    </row>
    <row r="499" spans="1:2">
      <c r="A499" s="100"/>
      <c r="B499" s="100"/>
    </row>
    <row r="500" spans="1:2">
      <c r="A500" s="100"/>
      <c r="B500" s="100"/>
    </row>
    <row r="501" spans="1:2">
      <c r="A501" s="100"/>
      <c r="B501" s="100"/>
    </row>
    <row r="502" spans="1:2">
      <c r="A502" s="100"/>
      <c r="B502" s="100"/>
    </row>
    <row r="503" spans="1:2">
      <c r="A503" s="100"/>
      <c r="B503" s="100"/>
    </row>
    <row r="504" spans="1:2">
      <c r="A504" s="100"/>
      <c r="B504" s="100"/>
    </row>
    <row r="505" spans="1:2">
      <c r="A505" s="100"/>
      <c r="B505" s="100"/>
    </row>
    <row r="506" spans="1:2">
      <c r="A506" s="100"/>
      <c r="B506" s="100"/>
    </row>
    <row r="507" spans="1:2">
      <c r="A507" s="100"/>
      <c r="B507" s="100"/>
    </row>
    <row r="508" spans="1:2">
      <c r="A508" s="100"/>
      <c r="B508" s="100"/>
    </row>
    <row r="509" spans="1:2">
      <c r="A509" s="100"/>
      <c r="B509" s="100"/>
    </row>
    <row r="510" spans="1:2">
      <c r="A510" s="100"/>
      <c r="B510" s="100"/>
    </row>
    <row r="511" spans="1:2">
      <c r="A511" s="100"/>
      <c r="B511" s="100"/>
    </row>
    <row r="512" spans="1:2">
      <c r="A512" s="100"/>
      <c r="B512" s="100"/>
    </row>
    <row r="513" spans="1:2">
      <c r="A513" s="100"/>
      <c r="B513" s="100"/>
    </row>
    <row r="514" spans="1:2">
      <c r="A514" s="100"/>
      <c r="B514" s="100"/>
    </row>
    <row r="515" spans="1:2">
      <c r="A515" s="100"/>
      <c r="B515" s="100"/>
    </row>
    <row r="516" spans="1:2">
      <c r="A516" s="100"/>
      <c r="B516" s="100"/>
    </row>
    <row r="517" spans="1:2">
      <c r="A517" s="100"/>
      <c r="B517" s="100"/>
    </row>
    <row r="518" spans="1:2">
      <c r="A518" s="100"/>
      <c r="B518" s="100"/>
    </row>
    <row r="519" spans="1:2">
      <c r="A519" s="100"/>
      <c r="B519" s="100"/>
    </row>
    <row r="520" spans="1:2">
      <c r="A520" s="100"/>
      <c r="B520" s="100"/>
    </row>
    <row r="521" spans="1:2">
      <c r="A521" s="100"/>
      <c r="B521" s="100"/>
    </row>
    <row r="522" spans="1:2">
      <c r="A522" s="100"/>
      <c r="B522" s="100"/>
    </row>
    <row r="523" spans="1:2">
      <c r="A523" s="100"/>
      <c r="B523" s="100"/>
    </row>
    <row r="524" spans="1:2">
      <c r="A524" s="100"/>
      <c r="B524" s="100"/>
    </row>
    <row r="525" spans="1:2">
      <c r="A525" s="100"/>
      <c r="B525" s="100"/>
    </row>
    <row r="526" spans="1:2">
      <c r="A526" s="100"/>
      <c r="B526" s="100"/>
    </row>
    <row r="527" spans="1:2">
      <c r="A527" s="100"/>
      <c r="B527" s="100"/>
    </row>
    <row r="528" spans="1:2">
      <c r="A528" s="100"/>
      <c r="B528" s="100"/>
    </row>
    <row r="529" spans="1:2">
      <c r="A529" s="100"/>
      <c r="B529" s="100"/>
    </row>
    <row r="530" spans="1:2">
      <c r="A530" s="100"/>
      <c r="B530" s="100"/>
    </row>
    <row r="531" spans="1:2">
      <c r="A531" s="100"/>
      <c r="B531" s="100"/>
    </row>
    <row r="532" spans="1:2">
      <c r="A532" s="100"/>
      <c r="B532" s="100"/>
    </row>
    <row r="533" spans="1:2">
      <c r="A533" s="100"/>
      <c r="B533" s="100"/>
    </row>
    <row r="534" spans="1:2">
      <c r="A534" s="100"/>
      <c r="B534" s="100"/>
    </row>
    <row r="535" spans="1:2">
      <c r="A535" s="100"/>
      <c r="B535" s="100"/>
    </row>
    <row r="536" spans="1:2">
      <c r="A536" s="100"/>
      <c r="B536" s="100"/>
    </row>
    <row r="537" spans="1:2">
      <c r="A537" s="100"/>
      <c r="B537" s="100"/>
    </row>
    <row r="538" spans="1:2">
      <c r="A538" s="100"/>
      <c r="B538" s="100"/>
    </row>
    <row r="539" spans="1:2">
      <c r="A539" s="100"/>
      <c r="B539" s="100"/>
    </row>
    <row r="540" spans="1:2">
      <c r="A540" s="100"/>
      <c r="B540" s="100"/>
    </row>
    <row r="541" spans="1:2">
      <c r="A541" s="100"/>
      <c r="B541" s="100"/>
    </row>
    <row r="542" spans="1:2">
      <c r="A542" s="100"/>
      <c r="B542" s="100"/>
    </row>
    <row r="543" spans="1:2">
      <c r="A543" s="100"/>
      <c r="B543" s="100"/>
    </row>
    <row r="544" spans="1:2">
      <c r="A544" s="100"/>
      <c r="B544" s="100"/>
    </row>
    <row r="545" spans="1:2">
      <c r="A545" s="100"/>
      <c r="B545" s="100"/>
    </row>
    <row r="546" spans="1:2">
      <c r="A546" s="100"/>
      <c r="B546" s="100"/>
    </row>
    <row r="547" spans="1:2">
      <c r="A547" s="100"/>
      <c r="B547" s="100"/>
    </row>
    <row r="548" spans="1:2">
      <c r="A548" s="100"/>
      <c r="B548" s="100"/>
    </row>
    <row r="549" spans="1:2">
      <c r="A549" s="100"/>
      <c r="B549" s="100"/>
    </row>
    <row r="550" spans="1:2">
      <c r="A550" s="100"/>
      <c r="B550" s="100"/>
    </row>
    <row r="551" spans="1:2">
      <c r="A551" s="100"/>
      <c r="B551" s="100"/>
    </row>
    <row r="552" spans="1:2">
      <c r="A552" s="100"/>
      <c r="B552" s="100"/>
    </row>
    <row r="553" spans="1:2">
      <c r="A553" s="100"/>
      <c r="B553" s="100"/>
    </row>
    <row r="554" spans="1:2">
      <c r="A554" s="100"/>
      <c r="B554" s="100"/>
    </row>
    <row r="555" spans="1:2">
      <c r="A555" s="100"/>
      <c r="B555" s="100"/>
    </row>
    <row r="556" spans="1:2">
      <c r="A556" s="100"/>
      <c r="B556" s="100"/>
    </row>
    <row r="557" spans="1:2">
      <c r="A557" s="100"/>
      <c r="B557" s="100"/>
    </row>
    <row r="558" spans="1:2">
      <c r="A558" s="100"/>
      <c r="B558" s="100"/>
    </row>
    <row r="559" spans="1:2">
      <c r="A559" s="100"/>
      <c r="B559" s="100"/>
    </row>
    <row r="560" spans="1:2">
      <c r="A560" s="100"/>
      <c r="B560" s="100"/>
    </row>
    <row r="561" spans="1:2">
      <c r="A561" s="100"/>
      <c r="B561" s="100"/>
    </row>
    <row r="562" spans="1:2">
      <c r="A562" s="100"/>
      <c r="B562" s="100"/>
    </row>
    <row r="563" spans="1:2">
      <c r="A563" s="100"/>
      <c r="B563" s="100"/>
    </row>
    <row r="564" spans="1:2">
      <c r="A564" s="100"/>
      <c r="B564" s="100"/>
    </row>
    <row r="565" spans="1:2">
      <c r="A565" s="100"/>
      <c r="B565" s="100"/>
    </row>
    <row r="566" spans="1:2">
      <c r="A566" s="100"/>
      <c r="B566" s="100"/>
    </row>
    <row r="567" spans="1:2">
      <c r="A567" s="100"/>
      <c r="B567" s="100"/>
    </row>
    <row r="568" spans="1:2">
      <c r="A568" s="100"/>
      <c r="B568" s="100"/>
    </row>
    <row r="569" spans="1:2">
      <c r="A569" s="100"/>
      <c r="B569" s="100"/>
    </row>
    <row r="570" spans="1:2">
      <c r="A570" s="100"/>
      <c r="B570" s="100"/>
    </row>
    <row r="571" spans="1:2">
      <c r="A571" s="100"/>
      <c r="B571" s="100"/>
    </row>
    <row r="572" spans="1:2">
      <c r="A572" s="100"/>
      <c r="B572" s="100"/>
    </row>
    <row r="573" spans="1:2">
      <c r="A573" s="100"/>
      <c r="B573" s="100"/>
    </row>
    <row r="574" spans="1:2">
      <c r="A574" s="100"/>
      <c r="B574" s="100"/>
    </row>
    <row r="575" spans="1:2">
      <c r="A575" s="100"/>
      <c r="B575" s="100"/>
    </row>
    <row r="576" spans="1:2">
      <c r="A576" s="100"/>
      <c r="B576" s="100"/>
    </row>
    <row r="577" spans="1:2">
      <c r="A577" s="100"/>
      <c r="B577" s="100"/>
    </row>
    <row r="578" spans="1:2">
      <c r="A578" s="100"/>
      <c r="B578" s="100"/>
    </row>
    <row r="579" spans="1:2">
      <c r="A579" s="100"/>
      <c r="B579" s="100"/>
    </row>
    <row r="580" spans="1:2">
      <c r="A580" s="100"/>
      <c r="B580" s="100"/>
    </row>
    <row r="581" spans="1:2">
      <c r="A581" s="100"/>
      <c r="B581" s="100"/>
    </row>
    <row r="582" spans="1:2">
      <c r="A582" s="100"/>
      <c r="B582" s="100"/>
    </row>
    <row r="583" spans="1:2">
      <c r="A583" s="100"/>
      <c r="B583" s="100"/>
    </row>
    <row r="584" spans="1:2">
      <c r="A584" s="100"/>
      <c r="B584" s="100"/>
    </row>
    <row r="585" spans="1:2">
      <c r="A585" s="100"/>
      <c r="B585" s="100"/>
    </row>
    <row r="586" spans="1:2">
      <c r="A586" s="100"/>
      <c r="B586" s="100"/>
    </row>
    <row r="587" spans="1:2">
      <c r="A587" s="100"/>
      <c r="B587" s="100"/>
    </row>
    <row r="588" spans="1:2">
      <c r="A588" s="100"/>
      <c r="B588" s="100"/>
    </row>
    <row r="589" spans="1:2">
      <c r="A589" s="100"/>
      <c r="B589" s="100"/>
    </row>
    <row r="590" spans="1:2">
      <c r="A590" s="100"/>
      <c r="B590" s="100"/>
    </row>
    <row r="591" spans="1:2">
      <c r="A591" s="100"/>
      <c r="B591" s="100"/>
    </row>
    <row r="592" spans="1:2">
      <c r="A592" s="100"/>
      <c r="B592" s="100"/>
    </row>
    <row r="593" spans="1:2">
      <c r="A593" s="100"/>
      <c r="B593" s="100"/>
    </row>
    <row r="594" spans="1:2">
      <c r="A594" s="100"/>
      <c r="B594" s="100"/>
    </row>
    <row r="595" spans="1:2">
      <c r="A595" s="100"/>
      <c r="B595" s="100"/>
    </row>
    <row r="596" spans="1:2">
      <c r="A596" s="100"/>
      <c r="B596" s="100"/>
    </row>
    <row r="597" spans="1:2">
      <c r="A597" s="100"/>
      <c r="B597" s="100"/>
    </row>
    <row r="598" spans="1:2">
      <c r="A598" s="100"/>
      <c r="B598" s="100"/>
    </row>
    <row r="599" spans="1:2">
      <c r="A599" s="100"/>
      <c r="B599" s="100"/>
    </row>
    <row r="600" spans="1:2">
      <c r="A600" s="100"/>
      <c r="B600" s="100"/>
    </row>
    <row r="601" spans="1:2">
      <c r="A601" s="100"/>
      <c r="B601" s="100"/>
    </row>
    <row r="602" spans="1:2">
      <c r="A602" s="100"/>
      <c r="B602" s="100"/>
    </row>
    <row r="603" spans="1:2">
      <c r="A603" s="100"/>
      <c r="B603" s="100"/>
    </row>
    <row r="604" spans="1:2">
      <c r="A604" s="100"/>
      <c r="B604" s="100"/>
    </row>
    <row r="605" spans="1:2">
      <c r="A605" s="100"/>
      <c r="B605" s="100"/>
    </row>
    <row r="606" spans="1:2">
      <c r="A606" s="100"/>
      <c r="B606" s="100"/>
    </row>
    <row r="607" spans="1:2">
      <c r="A607" s="100"/>
      <c r="B607" s="100"/>
    </row>
    <row r="608" spans="1:2">
      <c r="A608" s="100"/>
      <c r="B608" s="100"/>
    </row>
    <row r="609" spans="1:2">
      <c r="A609" s="100"/>
      <c r="B609" s="100"/>
    </row>
    <row r="610" spans="1:2">
      <c r="A610" s="100"/>
      <c r="B610" s="100"/>
    </row>
    <row r="611" spans="1:2">
      <c r="A611" s="100"/>
      <c r="B611" s="100"/>
    </row>
    <row r="612" spans="1:2">
      <c r="A612" s="100"/>
      <c r="B612" s="100"/>
    </row>
    <row r="613" spans="1:2">
      <c r="A613" s="100"/>
      <c r="B613" s="100"/>
    </row>
    <row r="614" spans="1:2">
      <c r="A614" s="100"/>
      <c r="B614" s="100"/>
    </row>
    <row r="615" spans="1:2">
      <c r="A615" s="100"/>
      <c r="B615" s="100"/>
    </row>
    <row r="616" spans="1:2">
      <c r="A616" s="100"/>
      <c r="B616" s="100"/>
    </row>
    <row r="617" spans="1:2">
      <c r="A617" s="100"/>
      <c r="B617" s="100"/>
    </row>
    <row r="618" spans="1:2">
      <c r="A618" s="100"/>
      <c r="B618" s="100"/>
    </row>
    <row r="619" spans="1:2">
      <c r="A619" s="100"/>
      <c r="B619" s="100"/>
    </row>
    <row r="620" spans="1:2">
      <c r="A620" s="100"/>
      <c r="B620" s="100"/>
    </row>
    <row r="621" spans="1:2">
      <c r="A621" s="100"/>
      <c r="B621" s="100"/>
    </row>
    <row r="622" spans="1:2">
      <c r="A622" s="100"/>
      <c r="B622" s="100"/>
    </row>
    <row r="623" spans="1:2">
      <c r="A623" s="100"/>
      <c r="B623" s="100"/>
    </row>
    <row r="624" spans="1:2">
      <c r="A624" s="100"/>
      <c r="B624" s="100"/>
    </row>
    <row r="625" spans="1:2">
      <c r="A625" s="100"/>
      <c r="B625" s="100"/>
    </row>
    <row r="626" spans="1:2">
      <c r="A626" s="100"/>
      <c r="B626" s="100"/>
    </row>
    <row r="627" spans="1:2">
      <c r="A627" s="100"/>
      <c r="B627" s="100"/>
    </row>
    <row r="628" spans="1:2">
      <c r="A628" s="100"/>
      <c r="B628" s="100"/>
    </row>
    <row r="629" spans="1:2">
      <c r="A629" s="100"/>
      <c r="B629" s="100"/>
    </row>
    <row r="630" spans="1:2">
      <c r="A630" s="100"/>
      <c r="B630" s="100"/>
    </row>
    <row r="631" spans="1:2">
      <c r="A631" s="100"/>
      <c r="B631" s="100"/>
    </row>
    <row r="632" spans="1:2">
      <c r="A632" s="100"/>
      <c r="B632" s="100"/>
    </row>
    <row r="633" spans="1:2">
      <c r="A633" s="100"/>
      <c r="B633" s="100"/>
    </row>
    <row r="634" spans="1:2">
      <c r="A634" s="100"/>
      <c r="B634" s="100"/>
    </row>
    <row r="635" spans="1:2">
      <c r="A635" s="100"/>
      <c r="B635" s="100"/>
    </row>
    <row r="636" spans="1:2">
      <c r="A636" s="100"/>
      <c r="B636" s="100"/>
    </row>
    <row r="637" spans="1:2">
      <c r="A637" s="100"/>
      <c r="B637" s="100"/>
    </row>
    <row r="638" spans="1:2">
      <c r="A638" s="100"/>
      <c r="B638" s="100"/>
    </row>
    <row r="639" spans="1:2">
      <c r="A639" s="100"/>
      <c r="B639" s="100"/>
    </row>
    <row r="640" spans="1:2">
      <c r="A640" s="100"/>
      <c r="B640" s="100"/>
    </row>
    <row r="641" spans="1:2">
      <c r="A641" s="100"/>
      <c r="B641" s="100"/>
    </row>
    <row r="642" spans="1:2">
      <c r="A642" s="100"/>
      <c r="B642" s="100"/>
    </row>
    <row r="643" spans="1:2">
      <c r="A643" s="100"/>
      <c r="B643" s="100"/>
    </row>
    <row r="644" spans="1:2">
      <c r="A644" s="100"/>
      <c r="B644" s="100"/>
    </row>
    <row r="645" spans="1:2">
      <c r="A645" s="100"/>
      <c r="B645" s="100"/>
    </row>
    <row r="646" spans="1:2">
      <c r="A646" s="100"/>
      <c r="B646" s="100"/>
    </row>
    <row r="647" spans="1:2">
      <c r="A647" s="100"/>
      <c r="B647" s="100"/>
    </row>
    <row r="648" spans="1:2">
      <c r="A648" s="100"/>
      <c r="B648" s="100"/>
    </row>
    <row r="649" spans="1:2">
      <c r="A649" s="100"/>
      <c r="B649" s="100"/>
    </row>
    <row r="650" spans="1:2">
      <c r="A650" s="100"/>
      <c r="B650" s="100"/>
    </row>
    <row r="651" spans="1:2">
      <c r="A651" s="100"/>
      <c r="B651" s="100"/>
    </row>
    <row r="652" spans="1:2">
      <c r="A652" s="100"/>
      <c r="B652" s="100"/>
    </row>
    <row r="653" spans="1:2">
      <c r="A653" s="100"/>
      <c r="B653" s="100"/>
    </row>
    <row r="654" spans="1:2">
      <c r="A654" s="100"/>
      <c r="B654" s="100"/>
    </row>
    <row r="655" spans="1:2">
      <c r="A655" s="100"/>
      <c r="B655" s="100"/>
    </row>
    <row r="656" spans="1:2">
      <c r="A656" s="100"/>
      <c r="B656" s="100"/>
    </row>
    <row r="657" spans="1:2">
      <c r="A657" s="100"/>
      <c r="B657" s="100"/>
    </row>
    <row r="658" spans="1:2">
      <c r="A658" s="100"/>
      <c r="B658" s="100"/>
    </row>
    <row r="659" spans="1:2">
      <c r="A659" s="100"/>
      <c r="B659" s="100"/>
    </row>
    <row r="660" spans="1:2">
      <c r="A660" s="100"/>
      <c r="B660" s="100"/>
    </row>
    <row r="661" spans="1:2">
      <c r="A661" s="100"/>
      <c r="B661" s="100"/>
    </row>
    <row r="662" spans="1:2">
      <c r="A662" s="100"/>
      <c r="B662" s="100"/>
    </row>
    <row r="663" spans="1:2">
      <c r="A663" s="100"/>
      <c r="B663" s="100"/>
    </row>
    <row r="664" spans="1:2">
      <c r="A664" s="100"/>
      <c r="B664" s="100"/>
    </row>
    <row r="665" spans="1:2">
      <c r="A665" s="100"/>
      <c r="B665" s="100"/>
    </row>
    <row r="666" spans="1:2">
      <c r="A666" s="100"/>
      <c r="B666" s="100"/>
    </row>
    <row r="667" spans="1:2">
      <c r="A667" s="100"/>
      <c r="B667" s="100"/>
    </row>
    <row r="668" spans="1:2">
      <c r="A668" s="100"/>
      <c r="B668" s="100"/>
    </row>
    <row r="669" spans="1:2">
      <c r="A669" s="100"/>
      <c r="B669" s="100"/>
    </row>
    <row r="670" spans="1:2">
      <c r="A670" s="100"/>
      <c r="B670" s="100"/>
    </row>
    <row r="671" spans="1:2">
      <c r="A671" s="100"/>
      <c r="B671" s="100"/>
    </row>
    <row r="672" spans="1:2">
      <c r="A672" s="100"/>
      <c r="B672" s="100"/>
    </row>
    <row r="673" spans="1:2">
      <c r="A673" s="100"/>
      <c r="B673" s="100"/>
    </row>
    <row r="674" spans="1:2">
      <c r="A674" s="100"/>
      <c r="B674" s="100"/>
    </row>
    <row r="675" spans="1:2">
      <c r="A675" s="100"/>
      <c r="B675" s="100"/>
    </row>
    <row r="676" spans="1:2">
      <c r="A676" s="100"/>
      <c r="B676" s="100"/>
    </row>
    <row r="677" spans="1:2">
      <c r="A677" s="100"/>
      <c r="B677" s="100"/>
    </row>
    <row r="678" spans="1:2">
      <c r="A678" s="100"/>
      <c r="B678" s="100"/>
    </row>
    <row r="679" spans="1:2">
      <c r="A679" s="100"/>
      <c r="B679" s="100"/>
    </row>
    <row r="680" spans="1:2">
      <c r="A680" s="100"/>
      <c r="B680" s="100"/>
    </row>
    <row r="681" spans="1:2">
      <c r="A681" s="100"/>
      <c r="B681" s="100"/>
    </row>
    <row r="682" spans="1:2">
      <c r="A682" s="100"/>
      <c r="B682" s="100"/>
    </row>
    <row r="683" spans="1:2">
      <c r="A683" s="100"/>
      <c r="B683" s="100"/>
    </row>
    <row r="684" spans="1:2">
      <c r="A684" s="100"/>
      <c r="B684" s="100"/>
    </row>
    <row r="685" spans="1:2">
      <c r="A685" s="100"/>
      <c r="B685" s="100"/>
    </row>
    <row r="686" spans="1:2">
      <c r="A686" s="100"/>
      <c r="B686" s="100"/>
    </row>
    <row r="687" spans="1:2">
      <c r="A687" s="100"/>
      <c r="B687" s="100"/>
    </row>
    <row r="688" spans="1:2">
      <c r="A688" s="100"/>
      <c r="B688" s="100"/>
    </row>
    <row r="689" spans="1:2">
      <c r="A689" s="100"/>
      <c r="B689" s="100"/>
    </row>
    <row r="690" spans="1:2">
      <c r="A690" s="100"/>
      <c r="B690" s="100"/>
    </row>
    <row r="691" spans="1:2">
      <c r="A691" s="100"/>
      <c r="B691" s="100"/>
    </row>
    <row r="692" spans="1:2">
      <c r="A692" s="100"/>
      <c r="B692" s="100"/>
    </row>
    <row r="693" spans="1:2">
      <c r="A693" s="100"/>
      <c r="B693" s="100"/>
    </row>
    <row r="694" spans="1:2">
      <c r="A694" s="100"/>
      <c r="B694" s="100"/>
    </row>
    <row r="695" spans="1:2">
      <c r="A695" s="100"/>
      <c r="B695" s="100"/>
    </row>
    <row r="696" spans="1:2">
      <c r="A696" s="100"/>
      <c r="B696" s="100"/>
    </row>
    <row r="697" spans="1:2">
      <c r="A697" s="100"/>
      <c r="B697" s="100"/>
    </row>
    <row r="698" spans="1:2">
      <c r="A698" s="100"/>
      <c r="B698" s="100"/>
    </row>
    <row r="699" spans="1:2">
      <c r="A699" s="100"/>
      <c r="B699" s="100"/>
    </row>
    <row r="700" spans="1:2">
      <c r="A700" s="100"/>
      <c r="B700" s="100"/>
    </row>
    <row r="701" spans="1:2">
      <c r="A701" s="100"/>
      <c r="B701" s="100"/>
    </row>
    <row r="702" spans="1:2">
      <c r="A702" s="100"/>
      <c r="B702" s="100"/>
    </row>
    <row r="703" spans="1:2">
      <c r="A703" s="100"/>
      <c r="B703" s="100"/>
    </row>
    <row r="704" spans="1:2">
      <c r="A704" s="100"/>
      <c r="B704" s="100"/>
    </row>
    <row r="705" spans="1:2">
      <c r="A705" s="100"/>
      <c r="B705" s="100"/>
    </row>
    <row r="706" spans="1:2">
      <c r="A706" s="100"/>
      <c r="B706" s="100"/>
    </row>
    <row r="707" spans="1:2">
      <c r="A707" s="100"/>
      <c r="B707" s="100"/>
    </row>
    <row r="708" spans="1:2">
      <c r="A708" s="100"/>
      <c r="B708" s="100"/>
    </row>
    <row r="709" spans="1:2">
      <c r="A709" s="100"/>
      <c r="B709" s="100"/>
    </row>
    <row r="710" spans="1:2">
      <c r="A710" s="100"/>
      <c r="B710" s="100"/>
    </row>
    <row r="711" spans="1:2">
      <c r="A711" s="100"/>
      <c r="B711" s="100"/>
    </row>
    <row r="712" spans="1:2">
      <c r="A712" s="100"/>
      <c r="B712" s="100"/>
    </row>
    <row r="713" spans="1:2">
      <c r="A713" s="100"/>
      <c r="B713" s="100"/>
    </row>
    <row r="714" spans="1:2">
      <c r="A714" s="100"/>
      <c r="B714" s="100"/>
    </row>
    <row r="715" spans="1:2">
      <c r="A715" s="100"/>
      <c r="B715" s="100"/>
    </row>
    <row r="716" spans="1:2">
      <c r="A716" s="100"/>
      <c r="B716" s="100"/>
    </row>
    <row r="717" spans="1:2">
      <c r="A717" s="100"/>
      <c r="B717" s="100"/>
    </row>
    <row r="718" spans="1:2">
      <c r="A718" s="100"/>
      <c r="B718" s="100"/>
    </row>
    <row r="719" spans="1:2">
      <c r="A719" s="100"/>
      <c r="B719" s="100"/>
    </row>
    <row r="720" spans="1:2">
      <c r="A720" s="100"/>
      <c r="B720" s="100"/>
    </row>
    <row r="721" spans="1:2">
      <c r="A721" s="100"/>
      <c r="B721" s="100"/>
    </row>
    <row r="722" spans="1:2">
      <c r="A722" s="100"/>
      <c r="B722" s="100"/>
    </row>
    <row r="723" spans="1:2">
      <c r="A723" s="100"/>
      <c r="B723" s="100"/>
    </row>
    <row r="724" spans="1:2">
      <c r="A724" s="100"/>
      <c r="B724" s="100"/>
    </row>
    <row r="725" spans="1:2">
      <c r="A725" s="100"/>
      <c r="B725" s="100"/>
    </row>
    <row r="726" spans="1:2">
      <c r="A726" s="100"/>
      <c r="B726" s="100"/>
    </row>
    <row r="727" spans="1:2">
      <c r="A727" s="100"/>
      <c r="B727" s="100"/>
    </row>
    <row r="728" spans="1:2">
      <c r="A728" s="100"/>
      <c r="B728" s="100"/>
    </row>
    <row r="729" spans="1:2">
      <c r="A729" s="100"/>
      <c r="B729" s="100"/>
    </row>
    <row r="730" spans="1:2">
      <c r="A730" s="100"/>
      <c r="B730" s="100"/>
    </row>
    <row r="731" spans="1:2">
      <c r="A731" s="100"/>
      <c r="B731" s="100"/>
    </row>
    <row r="732" spans="1:2">
      <c r="A732" s="100"/>
      <c r="B732" s="100"/>
    </row>
    <row r="733" spans="1:2">
      <c r="A733" s="100"/>
      <c r="B733" s="100"/>
    </row>
    <row r="734" spans="1:2">
      <c r="A734" s="100"/>
      <c r="B734" s="100"/>
    </row>
    <row r="735" spans="1:2">
      <c r="A735" s="100"/>
      <c r="B735" s="100"/>
    </row>
    <row r="736" spans="1:2">
      <c r="A736" s="100"/>
      <c r="B736" s="100"/>
    </row>
    <row r="737" spans="1:2">
      <c r="A737" s="100"/>
      <c r="B737" s="100"/>
    </row>
    <row r="738" spans="1:2">
      <c r="A738" s="100"/>
      <c r="B738" s="100"/>
    </row>
    <row r="739" spans="1:2">
      <c r="A739" s="100"/>
      <c r="B739" s="100"/>
    </row>
    <row r="740" spans="1:2">
      <c r="A740" s="100"/>
      <c r="B740" s="100"/>
    </row>
    <row r="741" spans="1:2">
      <c r="A741" s="100"/>
      <c r="B741" s="100"/>
    </row>
    <row r="742" spans="1:2">
      <c r="A742" s="100"/>
      <c r="B742" s="100"/>
    </row>
    <row r="743" spans="1:2">
      <c r="A743" s="100"/>
      <c r="B743" s="100"/>
    </row>
    <row r="744" spans="1:2">
      <c r="A744" s="100"/>
      <c r="B744" s="100"/>
    </row>
    <row r="745" spans="1:2">
      <c r="A745" s="100"/>
      <c r="B745" s="100"/>
    </row>
    <row r="746" spans="1:2">
      <c r="A746" s="100"/>
      <c r="B746" s="100"/>
    </row>
    <row r="747" spans="1:2">
      <c r="A747" s="100"/>
      <c r="B747" s="100"/>
    </row>
    <row r="748" spans="1:2">
      <c r="A748" s="100"/>
      <c r="B748" s="100"/>
    </row>
    <row r="749" spans="1:2">
      <c r="A749" s="100"/>
      <c r="B749" s="100"/>
    </row>
    <row r="750" spans="1:2">
      <c r="A750" s="100"/>
      <c r="B750" s="100"/>
    </row>
    <row r="751" spans="1:2">
      <c r="A751" s="100"/>
      <c r="B751" s="100"/>
    </row>
    <row r="752" spans="1:2">
      <c r="A752" s="100"/>
      <c r="B752" s="100"/>
    </row>
    <row r="753" spans="1:2">
      <c r="A753" s="100"/>
      <c r="B753" s="100"/>
    </row>
    <row r="754" spans="1:2">
      <c r="A754" s="100"/>
      <c r="B754" s="100"/>
    </row>
    <row r="755" spans="1:2">
      <c r="A755" s="100"/>
      <c r="B755" s="100"/>
    </row>
    <row r="756" spans="1:2">
      <c r="A756" s="100"/>
      <c r="B756" s="100"/>
    </row>
    <row r="757" spans="1:2">
      <c r="A757" s="100"/>
      <c r="B757" s="100"/>
    </row>
    <row r="758" spans="1:2">
      <c r="A758" s="100"/>
      <c r="B758" s="100"/>
    </row>
    <row r="759" spans="1:2">
      <c r="A759" s="100"/>
      <c r="B759" s="100"/>
    </row>
    <row r="760" spans="1:2">
      <c r="A760" s="100"/>
      <c r="B760" s="100"/>
    </row>
    <row r="761" spans="1:2">
      <c r="A761" s="100"/>
      <c r="B761" s="100"/>
    </row>
    <row r="762" spans="1:2">
      <c r="A762" s="100"/>
      <c r="B762" s="100"/>
    </row>
    <row r="763" spans="1:2">
      <c r="A763" s="100"/>
      <c r="B763" s="100"/>
    </row>
    <row r="764" spans="1:2">
      <c r="A764" s="100"/>
      <c r="B764" s="100"/>
    </row>
    <row r="765" spans="1:2">
      <c r="A765" s="100"/>
      <c r="B765" s="100"/>
    </row>
    <row r="766" spans="1:2">
      <c r="A766" s="100"/>
      <c r="B766" s="100"/>
    </row>
    <row r="767" spans="1:2">
      <c r="A767" s="100"/>
      <c r="B767" s="100"/>
    </row>
    <row r="768" spans="1:2">
      <c r="A768" s="100"/>
      <c r="B768" s="100"/>
    </row>
    <row r="769" spans="1:2">
      <c r="A769" s="100"/>
      <c r="B769" s="100"/>
    </row>
    <row r="770" spans="1:2">
      <c r="A770" s="100"/>
      <c r="B770" s="100"/>
    </row>
    <row r="771" spans="1:2">
      <c r="A771" s="100"/>
      <c r="B771" s="100"/>
    </row>
    <row r="772" spans="1:2">
      <c r="A772" s="100"/>
      <c r="B772" s="100"/>
    </row>
    <row r="773" spans="1:2">
      <c r="A773" s="100"/>
      <c r="B773" s="100"/>
    </row>
    <row r="774" spans="1:2">
      <c r="A774" s="100"/>
      <c r="B774" s="100"/>
    </row>
    <row r="775" spans="1:2">
      <c r="A775" s="100"/>
      <c r="B775" s="100"/>
    </row>
    <row r="776" spans="1:2">
      <c r="A776" s="100"/>
      <c r="B776" s="100"/>
    </row>
    <row r="777" spans="1:2">
      <c r="A777" s="100"/>
      <c r="B777" s="100"/>
    </row>
    <row r="778" spans="1:2">
      <c r="A778" s="100"/>
      <c r="B778" s="100"/>
    </row>
    <row r="779" spans="1:2">
      <c r="A779" s="100"/>
      <c r="B779" s="100"/>
    </row>
    <row r="780" spans="1:2">
      <c r="A780" s="100"/>
      <c r="B780" s="100"/>
    </row>
    <row r="781" spans="1:2">
      <c r="A781" s="100"/>
      <c r="B781" s="100"/>
    </row>
    <row r="782" spans="1:2">
      <c r="A782" s="100"/>
      <c r="B782" s="100"/>
    </row>
    <row r="783" spans="1:2">
      <c r="A783" s="100"/>
      <c r="B783" s="100"/>
    </row>
    <row r="784" spans="1:2">
      <c r="A784" s="100"/>
      <c r="B784" s="100"/>
    </row>
    <row r="785" spans="1:2">
      <c r="A785" s="100"/>
      <c r="B785" s="100"/>
    </row>
    <row r="786" spans="1:2">
      <c r="A786" s="100"/>
      <c r="B786" s="100"/>
    </row>
    <row r="787" spans="1:2">
      <c r="A787" s="100"/>
      <c r="B787" s="100"/>
    </row>
    <row r="788" spans="1:2">
      <c r="A788" s="100"/>
      <c r="B788" s="100"/>
    </row>
    <row r="789" spans="1:2">
      <c r="A789" s="100"/>
      <c r="B789" s="100"/>
    </row>
    <row r="790" spans="1:2">
      <c r="A790" s="100"/>
      <c r="B790" s="100"/>
    </row>
    <row r="791" spans="1:2">
      <c r="A791" s="100"/>
      <c r="B791" s="100"/>
    </row>
    <row r="792" spans="1:2">
      <c r="A792" s="100"/>
      <c r="B792" s="100"/>
    </row>
    <row r="793" spans="1:2">
      <c r="A793" s="100"/>
      <c r="B793" s="100"/>
    </row>
    <row r="794" spans="1:2">
      <c r="A794" s="100"/>
      <c r="B794" s="100"/>
    </row>
    <row r="795" spans="1:2">
      <c r="A795" s="100"/>
      <c r="B795" s="100"/>
    </row>
    <row r="796" spans="1:2">
      <c r="A796" s="100"/>
      <c r="B796" s="100"/>
    </row>
    <row r="797" spans="1:2">
      <c r="A797" s="100"/>
      <c r="B797" s="100"/>
    </row>
    <row r="798" spans="1:2">
      <c r="A798" s="100"/>
      <c r="B798" s="100"/>
    </row>
    <row r="799" spans="1:2">
      <c r="A799" s="100"/>
      <c r="B799" s="100"/>
    </row>
    <row r="800" spans="1:2">
      <c r="A800" s="100"/>
      <c r="B800" s="100"/>
    </row>
    <row r="801" spans="1:2">
      <c r="A801" s="100"/>
      <c r="B801" s="100"/>
    </row>
    <row r="802" spans="1:2">
      <c r="A802" s="100"/>
      <c r="B802" s="100"/>
    </row>
    <row r="803" spans="1:2">
      <c r="A803" s="100"/>
      <c r="B803" s="100"/>
    </row>
    <row r="804" spans="1:2">
      <c r="A804" s="100"/>
      <c r="B804" s="100"/>
    </row>
    <row r="805" spans="1:2">
      <c r="A805" s="100"/>
      <c r="B805" s="100"/>
    </row>
    <row r="806" spans="1:2">
      <c r="A806" s="100"/>
      <c r="B806" s="100"/>
    </row>
    <row r="807" spans="1:2">
      <c r="A807" s="100"/>
      <c r="B807" s="100"/>
    </row>
    <row r="808" spans="1:2">
      <c r="A808" s="100"/>
      <c r="B808" s="100"/>
    </row>
    <row r="809" spans="1:2">
      <c r="A809" s="100"/>
      <c r="B809" s="100"/>
    </row>
    <row r="810" spans="1:2">
      <c r="A810" s="100"/>
      <c r="B810" s="100"/>
    </row>
    <row r="811" spans="1:2">
      <c r="A811" s="100"/>
      <c r="B811" s="100"/>
    </row>
    <row r="812" spans="1:2">
      <c r="A812" s="100"/>
      <c r="B812" s="100"/>
    </row>
    <row r="813" spans="1:2">
      <c r="A813" s="100"/>
      <c r="B813" s="100"/>
    </row>
    <row r="814" spans="1:2">
      <c r="A814" s="100"/>
      <c r="B814" s="100"/>
    </row>
    <row r="815" spans="1:2">
      <c r="A815" s="100"/>
      <c r="B815" s="100"/>
    </row>
    <row r="816" spans="1:2">
      <c r="A816" s="100"/>
      <c r="B816" s="100"/>
    </row>
    <row r="817" spans="1:2">
      <c r="A817" s="100"/>
      <c r="B817" s="100"/>
    </row>
    <row r="818" spans="1:2">
      <c r="A818" s="100"/>
      <c r="B818" s="100"/>
    </row>
    <row r="819" spans="1:2">
      <c r="A819" s="100"/>
      <c r="B819" s="100"/>
    </row>
    <row r="820" spans="1:2">
      <c r="A820" s="100"/>
      <c r="B820" s="100"/>
    </row>
    <row r="821" spans="1:2">
      <c r="A821" s="100"/>
      <c r="B821" s="100"/>
    </row>
    <row r="822" spans="1:2">
      <c r="A822" s="100"/>
      <c r="B822" s="100"/>
    </row>
    <row r="823" spans="1:2">
      <c r="A823" s="100"/>
      <c r="B823" s="100"/>
    </row>
    <row r="824" spans="1:2">
      <c r="A824" s="100"/>
      <c r="B824" s="100"/>
    </row>
    <row r="825" spans="1:2">
      <c r="A825" s="100"/>
      <c r="B825" s="100"/>
    </row>
    <row r="826" spans="1:2">
      <c r="A826" s="100"/>
      <c r="B826" s="100"/>
    </row>
    <row r="827" spans="1:2">
      <c r="A827" s="100"/>
      <c r="B827" s="100"/>
    </row>
    <row r="828" spans="1:2">
      <c r="A828" s="100"/>
      <c r="B828" s="100"/>
    </row>
    <row r="829" spans="1:2">
      <c r="A829" s="100"/>
      <c r="B829" s="100"/>
    </row>
    <row r="830" spans="1:2">
      <c r="A830" s="100"/>
      <c r="B830" s="100"/>
    </row>
    <row r="831" spans="1:2">
      <c r="A831" s="100"/>
      <c r="B831" s="100"/>
    </row>
    <row r="832" spans="1:2">
      <c r="A832" s="100"/>
      <c r="B832" s="100"/>
    </row>
    <row r="833" spans="1:2">
      <c r="A833" s="100"/>
      <c r="B833" s="100"/>
    </row>
    <row r="834" spans="1:2">
      <c r="A834" s="100"/>
      <c r="B834" s="100"/>
    </row>
    <row r="835" spans="1:2">
      <c r="A835" s="100"/>
      <c r="B835" s="100"/>
    </row>
    <row r="836" spans="1:2">
      <c r="A836" s="100"/>
      <c r="B836" s="100"/>
    </row>
    <row r="837" spans="1:2">
      <c r="A837" s="100"/>
      <c r="B837" s="100"/>
    </row>
    <row r="838" spans="1:2">
      <c r="A838" s="100"/>
      <c r="B838" s="100"/>
    </row>
    <row r="839" spans="1:2">
      <c r="A839" s="100"/>
      <c r="B839" s="100"/>
    </row>
    <row r="840" spans="1:2">
      <c r="A840" s="100"/>
      <c r="B840" s="100"/>
    </row>
    <row r="841" spans="1:2">
      <c r="A841" s="100"/>
      <c r="B841" s="100"/>
    </row>
    <row r="842" spans="1:2">
      <c r="A842" s="100"/>
      <c r="B842" s="100"/>
    </row>
    <row r="843" spans="1:2">
      <c r="A843" s="100"/>
      <c r="B843" s="100"/>
    </row>
    <row r="844" spans="1:2">
      <c r="A844" s="100"/>
      <c r="B844" s="100"/>
    </row>
    <row r="845" spans="1:2">
      <c r="A845" s="100"/>
      <c r="B845" s="100"/>
    </row>
    <row r="846" spans="1:2">
      <c r="A846" s="100"/>
      <c r="B846" s="100"/>
    </row>
    <row r="847" spans="1:2">
      <c r="A847" s="100"/>
      <c r="B847" s="100"/>
    </row>
    <row r="848" spans="1:2">
      <c r="A848" s="100"/>
      <c r="B848" s="100"/>
    </row>
    <row r="849" spans="1:2">
      <c r="A849" s="100"/>
      <c r="B849" s="100"/>
    </row>
    <row r="850" spans="1:2">
      <c r="A850" s="100"/>
      <c r="B850" s="100"/>
    </row>
    <row r="851" spans="1:2">
      <c r="A851" s="100"/>
      <c r="B851" s="100"/>
    </row>
    <row r="852" spans="1:2">
      <c r="A852" s="100"/>
      <c r="B852" s="100"/>
    </row>
    <row r="853" spans="1:2">
      <c r="A853" s="100"/>
      <c r="B853" s="100"/>
    </row>
    <row r="854" spans="1:2">
      <c r="A854" s="100"/>
      <c r="B854" s="100"/>
    </row>
    <row r="855" spans="1:2">
      <c r="A855" s="100"/>
      <c r="B855" s="100"/>
    </row>
    <row r="856" spans="1:2">
      <c r="A856" s="100"/>
      <c r="B856" s="100"/>
    </row>
    <row r="857" spans="1:2">
      <c r="A857" s="100"/>
      <c r="B857" s="100"/>
    </row>
    <row r="858" spans="1:2">
      <c r="A858" s="100"/>
      <c r="B858" s="100"/>
    </row>
    <row r="859" spans="1:2">
      <c r="A859" s="100"/>
      <c r="B859" s="100"/>
    </row>
    <row r="860" spans="1:2">
      <c r="A860" s="100"/>
      <c r="B860" s="100"/>
    </row>
    <row r="861" spans="1:2">
      <c r="A861" s="100"/>
      <c r="B861" s="100"/>
    </row>
    <row r="862" spans="1:2">
      <c r="A862" s="100"/>
      <c r="B862" s="100"/>
    </row>
    <row r="863" spans="1:2">
      <c r="A863" s="100"/>
      <c r="B863" s="100"/>
    </row>
    <row r="864" spans="1:2">
      <c r="A864" s="100"/>
      <c r="B864" s="100"/>
    </row>
    <row r="865" spans="1:2">
      <c r="A865" s="100"/>
      <c r="B865" s="100"/>
    </row>
    <row r="866" spans="1:2">
      <c r="A866" s="100"/>
      <c r="B866" s="100"/>
    </row>
    <row r="867" spans="1:2">
      <c r="A867" s="100"/>
      <c r="B867" s="100"/>
    </row>
    <row r="868" spans="1:2">
      <c r="A868" s="100"/>
      <c r="B868" s="100"/>
    </row>
    <row r="869" spans="1:2">
      <c r="A869" s="100"/>
      <c r="B869" s="100"/>
    </row>
    <row r="870" spans="1:2">
      <c r="A870" s="100"/>
      <c r="B870" s="100"/>
    </row>
    <row r="871" spans="1:2">
      <c r="A871" s="100"/>
      <c r="B871" s="100"/>
    </row>
    <row r="872" spans="1:2">
      <c r="A872" s="100"/>
      <c r="B872" s="100"/>
    </row>
    <row r="873" spans="1:2">
      <c r="A873" s="100"/>
      <c r="B873" s="100"/>
    </row>
    <row r="874" spans="1:2">
      <c r="A874" s="100"/>
      <c r="B874" s="100"/>
    </row>
    <row r="875" spans="1:2">
      <c r="A875" s="100"/>
      <c r="B875" s="100"/>
    </row>
    <row r="876" spans="1:2">
      <c r="A876" s="100"/>
      <c r="B876" s="100"/>
    </row>
    <row r="877" spans="1:2">
      <c r="A877" s="100"/>
      <c r="B877" s="100"/>
    </row>
    <row r="878" spans="1:2">
      <c r="A878" s="100"/>
      <c r="B878" s="100"/>
    </row>
    <row r="879" spans="1:2">
      <c r="A879" s="100"/>
      <c r="B879" s="100"/>
    </row>
    <row r="880" spans="1:2">
      <c r="A880" s="100"/>
      <c r="B880" s="100"/>
    </row>
    <row r="881" spans="1:2">
      <c r="A881" s="100"/>
      <c r="B881" s="100"/>
    </row>
    <row r="882" spans="1:2">
      <c r="A882" s="100"/>
      <c r="B882" s="100"/>
    </row>
    <row r="883" spans="1:2">
      <c r="A883" s="100"/>
      <c r="B883" s="100"/>
    </row>
    <row r="884" spans="1:2">
      <c r="A884" s="100"/>
      <c r="B884" s="100"/>
    </row>
    <row r="885" spans="1:2">
      <c r="A885" s="100"/>
      <c r="B885" s="100"/>
    </row>
    <row r="886" spans="1:2">
      <c r="A886" s="100"/>
      <c r="B886" s="100"/>
    </row>
    <row r="887" spans="1:2">
      <c r="A887" s="100"/>
      <c r="B887" s="100"/>
    </row>
    <row r="888" spans="1:2">
      <c r="A888" s="100"/>
      <c r="B888" s="100"/>
    </row>
    <row r="889" spans="1:2">
      <c r="A889" s="100"/>
      <c r="B889" s="100"/>
    </row>
    <row r="890" spans="1:2">
      <c r="A890" s="100"/>
      <c r="B890" s="100"/>
    </row>
    <row r="891" spans="1:2">
      <c r="A891" s="100"/>
      <c r="B891" s="100"/>
    </row>
    <row r="892" spans="1:2">
      <c r="A892" s="100"/>
      <c r="B892" s="100"/>
    </row>
    <row r="893" spans="1:2">
      <c r="A893" s="100"/>
      <c r="B893" s="100"/>
    </row>
    <row r="894" spans="1:2">
      <c r="A894" s="100"/>
      <c r="B894" s="100"/>
    </row>
    <row r="895" spans="1:2">
      <c r="A895" s="100"/>
      <c r="B895" s="100"/>
    </row>
    <row r="896" spans="1:2">
      <c r="A896" s="100"/>
      <c r="B896" s="100"/>
    </row>
    <row r="897" spans="1:2">
      <c r="A897" s="100"/>
      <c r="B897" s="100"/>
    </row>
    <row r="898" spans="1:2">
      <c r="A898" s="100"/>
      <c r="B898" s="100"/>
    </row>
    <row r="899" spans="1:2">
      <c r="A899" s="100"/>
      <c r="B899" s="100"/>
    </row>
    <row r="900" spans="1:2">
      <c r="A900" s="100"/>
      <c r="B900" s="100"/>
    </row>
    <row r="901" spans="1:2">
      <c r="A901" s="100"/>
      <c r="B901" s="100"/>
    </row>
    <row r="902" spans="1:2">
      <c r="A902" s="100"/>
      <c r="B902" s="100"/>
    </row>
    <row r="903" spans="1:2">
      <c r="A903" s="100"/>
      <c r="B903" s="100"/>
    </row>
    <row r="904" spans="1:2">
      <c r="A904" s="100"/>
      <c r="B904" s="100"/>
    </row>
    <row r="905" spans="1:2">
      <c r="A905" s="100"/>
      <c r="B905" s="100"/>
    </row>
    <row r="906" spans="1:2">
      <c r="A906" s="100"/>
      <c r="B906" s="100"/>
    </row>
    <row r="907" spans="1:2">
      <c r="A907" s="100"/>
      <c r="B907" s="100"/>
    </row>
    <row r="908" spans="1:2">
      <c r="A908" s="100"/>
      <c r="B908" s="100"/>
    </row>
    <row r="909" spans="1:2">
      <c r="A909" s="100"/>
      <c r="B909" s="100"/>
    </row>
    <row r="910" spans="1:2">
      <c r="A910" s="100"/>
      <c r="B910" s="100"/>
    </row>
    <row r="911" spans="1:2">
      <c r="A911" s="100"/>
      <c r="B911" s="100"/>
    </row>
    <row r="912" spans="1:2">
      <c r="A912" s="100"/>
      <c r="B912" s="100"/>
    </row>
    <row r="913" spans="1:2">
      <c r="A913" s="100"/>
      <c r="B913" s="100"/>
    </row>
    <row r="914" spans="1:2">
      <c r="A914" s="100"/>
      <c r="B914" s="100"/>
    </row>
    <row r="915" spans="1:2">
      <c r="A915" s="100"/>
      <c r="B915" s="100"/>
    </row>
    <row r="916" spans="1:2">
      <c r="A916" s="100"/>
      <c r="B916" s="100"/>
    </row>
    <row r="917" spans="1:2">
      <c r="A917" s="100"/>
      <c r="B917" s="100"/>
    </row>
    <row r="918" spans="1:2">
      <c r="A918" s="100"/>
      <c r="B918" s="100"/>
    </row>
    <row r="919" spans="1:2">
      <c r="A919" s="100"/>
      <c r="B919" s="100"/>
    </row>
    <row r="920" spans="1:2">
      <c r="A920" s="100"/>
      <c r="B920" s="100"/>
    </row>
    <row r="921" spans="1:2">
      <c r="A921" s="100"/>
      <c r="B921" s="100"/>
    </row>
    <row r="922" spans="1:2">
      <c r="A922" s="100"/>
      <c r="B922" s="100"/>
    </row>
    <row r="923" spans="1:2">
      <c r="A923" s="100"/>
      <c r="B923" s="100"/>
    </row>
    <row r="924" spans="1:2">
      <c r="A924" s="100"/>
      <c r="B924" s="100"/>
    </row>
    <row r="925" spans="1:2">
      <c r="A925" s="100"/>
      <c r="B925" s="100"/>
    </row>
    <row r="926" spans="1:2">
      <c r="A926" s="100"/>
      <c r="B926" s="100"/>
    </row>
    <row r="927" spans="1:2">
      <c r="A927" s="100"/>
      <c r="B927" s="100"/>
    </row>
    <row r="928" spans="1:2">
      <c r="A928" s="100"/>
      <c r="B928" s="100"/>
    </row>
    <row r="929" spans="1:2">
      <c r="A929" s="100"/>
      <c r="B929" s="100"/>
    </row>
    <row r="930" spans="1:2">
      <c r="A930" s="100"/>
      <c r="B930" s="100"/>
    </row>
    <row r="931" spans="1:2">
      <c r="A931" s="100"/>
      <c r="B931" s="100"/>
    </row>
    <row r="932" spans="1:2">
      <c r="A932" s="100"/>
      <c r="B932" s="100"/>
    </row>
    <row r="933" spans="1:2">
      <c r="A933" s="100"/>
      <c r="B933" s="100"/>
    </row>
    <row r="934" spans="1:2">
      <c r="A934" s="100"/>
      <c r="B934" s="100"/>
    </row>
    <row r="935" spans="1:2">
      <c r="A935" s="100"/>
      <c r="B935" s="100"/>
    </row>
    <row r="936" spans="1:2">
      <c r="A936" s="100"/>
      <c r="B936" s="100"/>
    </row>
    <row r="937" spans="1:2">
      <c r="A937" s="100"/>
      <c r="B937" s="100"/>
    </row>
    <row r="938" spans="1:2">
      <c r="A938" s="100"/>
      <c r="B938" s="100"/>
    </row>
    <row r="939" spans="1:2">
      <c r="A939" s="100"/>
      <c r="B939" s="100"/>
    </row>
    <row r="940" spans="1:2">
      <c r="A940" s="100"/>
      <c r="B940" s="100"/>
    </row>
    <row r="941" spans="1:2">
      <c r="A941" s="100"/>
      <c r="B941" s="100"/>
    </row>
    <row r="942" spans="1:2">
      <c r="A942" s="100"/>
      <c r="B942" s="100"/>
    </row>
    <row r="943" spans="1:2">
      <c r="A943" s="100"/>
      <c r="B943" s="100"/>
    </row>
    <row r="944" spans="1:2">
      <c r="A944" s="100"/>
      <c r="B944" s="100"/>
    </row>
    <row r="945" spans="1:2">
      <c r="A945" s="100"/>
      <c r="B945" s="100"/>
    </row>
    <row r="946" spans="1:2">
      <c r="A946" s="100"/>
      <c r="B946" s="100"/>
    </row>
    <row r="947" spans="1:2">
      <c r="A947" s="100"/>
      <c r="B947" s="100"/>
    </row>
    <row r="948" spans="1:2">
      <c r="A948" s="100"/>
      <c r="B948" s="100"/>
    </row>
    <row r="949" spans="1:2">
      <c r="A949" s="100"/>
      <c r="B949" s="100"/>
    </row>
    <row r="950" spans="1:2">
      <c r="A950" s="100"/>
      <c r="B950" s="100"/>
    </row>
    <row r="951" spans="1:2">
      <c r="A951" s="100"/>
      <c r="B951" s="100"/>
    </row>
    <row r="952" spans="1:2">
      <c r="A952" s="100"/>
      <c r="B952" s="100"/>
    </row>
    <row r="953" spans="1:2">
      <c r="A953" s="100"/>
      <c r="B953" s="100"/>
    </row>
    <row r="954" spans="1:2">
      <c r="A954" s="100"/>
      <c r="B954" s="100"/>
    </row>
    <row r="955" spans="1:2">
      <c r="A955" s="100"/>
      <c r="B955" s="100"/>
    </row>
    <row r="956" spans="1:2">
      <c r="A956" s="100"/>
      <c r="B956" s="100"/>
    </row>
    <row r="957" spans="1:2">
      <c r="A957" s="100"/>
      <c r="B957" s="100"/>
    </row>
    <row r="958" spans="1:2">
      <c r="A958" s="100"/>
      <c r="B958" s="100"/>
    </row>
    <row r="959" spans="1:2">
      <c r="A959" s="100"/>
      <c r="B959" s="100"/>
    </row>
    <row r="960" spans="1:2">
      <c r="A960" s="100"/>
      <c r="B960" s="100"/>
    </row>
    <row r="961" spans="1:2">
      <c r="A961" s="100"/>
      <c r="B961" s="100"/>
    </row>
    <row r="962" spans="1:2">
      <c r="A962" s="100"/>
      <c r="B962" s="100"/>
    </row>
    <row r="963" spans="1:2">
      <c r="A963" s="100"/>
      <c r="B963" s="100"/>
    </row>
    <row r="964" spans="1:2">
      <c r="A964" s="100"/>
      <c r="B964" s="100"/>
    </row>
    <row r="965" spans="1:2">
      <c r="A965" s="100"/>
      <c r="B965" s="100"/>
    </row>
    <row r="966" spans="1:2">
      <c r="A966" s="100"/>
      <c r="B966" s="100"/>
    </row>
    <row r="967" spans="1:2">
      <c r="A967" s="100"/>
      <c r="B967" s="100"/>
    </row>
    <row r="968" spans="1:2">
      <c r="A968" s="100"/>
      <c r="B968" s="100"/>
    </row>
    <row r="969" spans="1:2">
      <c r="A969" s="100"/>
      <c r="B969" s="100"/>
    </row>
    <row r="970" spans="1:2">
      <c r="A970" s="100"/>
      <c r="B970" s="100"/>
    </row>
    <row r="971" spans="1:2">
      <c r="A971" s="100"/>
      <c r="B971" s="100"/>
    </row>
    <row r="972" spans="1:2">
      <c r="A972" s="100"/>
      <c r="B972" s="100"/>
    </row>
    <row r="973" spans="1:2">
      <c r="A973" s="100"/>
      <c r="B973" s="100"/>
    </row>
    <row r="974" spans="1:2">
      <c r="A974" s="100"/>
      <c r="B974" s="100"/>
    </row>
    <row r="975" spans="1:2">
      <c r="A975" s="100"/>
      <c r="B975" s="100"/>
    </row>
    <row r="976" spans="1:2">
      <c r="A976" s="100"/>
      <c r="B976" s="100"/>
    </row>
    <row r="977" spans="1:2">
      <c r="A977" s="100"/>
      <c r="B977" s="100"/>
    </row>
    <row r="978" spans="1:2">
      <c r="A978" s="100"/>
      <c r="B978" s="100"/>
    </row>
    <row r="979" spans="1:2">
      <c r="A979" s="100"/>
      <c r="B979" s="100"/>
    </row>
    <row r="980" spans="1:2">
      <c r="A980" s="100"/>
      <c r="B980" s="100"/>
    </row>
    <row r="981" spans="1:2">
      <c r="A981" s="100"/>
      <c r="B981" s="100"/>
    </row>
    <row r="982" spans="1:2">
      <c r="A982" s="100"/>
      <c r="B982" s="100"/>
    </row>
    <row r="983" spans="1:2">
      <c r="A983" s="100"/>
      <c r="B983" s="100"/>
    </row>
    <row r="984" spans="1:2">
      <c r="A984" s="100"/>
      <c r="B984" s="100"/>
    </row>
    <row r="985" spans="1:2">
      <c r="A985" s="100"/>
      <c r="B985" s="100"/>
    </row>
    <row r="986" spans="1:2">
      <c r="A986" s="100"/>
      <c r="B986" s="100"/>
    </row>
    <row r="987" spans="1:2">
      <c r="A987" s="100"/>
      <c r="B987" s="100"/>
    </row>
    <row r="988" spans="1:2">
      <c r="A988" s="100"/>
      <c r="B988" s="100"/>
    </row>
    <row r="989" spans="1:2">
      <c r="A989" s="100"/>
      <c r="B989" s="100"/>
    </row>
    <row r="990" spans="1:2">
      <c r="A990" s="100"/>
      <c r="B990" s="100"/>
    </row>
    <row r="991" spans="1:2">
      <c r="A991" s="100"/>
      <c r="B991" s="100"/>
    </row>
    <row r="992" spans="1:2">
      <c r="A992" s="100"/>
      <c r="B992" s="100"/>
    </row>
    <row r="993" spans="1:2">
      <c r="A993" s="100"/>
      <c r="B993" s="100"/>
    </row>
    <row r="994" spans="1:2">
      <c r="A994" s="100"/>
      <c r="B994" s="100"/>
    </row>
    <row r="995" spans="1:2">
      <c r="A995" s="100"/>
      <c r="B995" s="100"/>
    </row>
    <row r="996" spans="1:2">
      <c r="A996" s="100"/>
      <c r="B996" s="100"/>
    </row>
    <row r="997" spans="1:2">
      <c r="A997" s="100"/>
      <c r="B997" s="100"/>
    </row>
    <row r="998" spans="1:2">
      <c r="A998" s="100"/>
      <c r="B998" s="100"/>
    </row>
    <row r="999" spans="1:2">
      <c r="A999" s="100"/>
      <c r="B999" s="100"/>
    </row>
    <row r="1000" spans="1:2">
      <c r="A1000" s="100"/>
      <c r="B1000" s="100"/>
    </row>
    <row r="1001" spans="1:2">
      <c r="A1001" s="100"/>
      <c r="B1001" s="100"/>
    </row>
    <row r="1002" spans="1:2">
      <c r="A1002" s="100"/>
      <c r="B1002" s="100"/>
    </row>
    <row r="1003" spans="1:2">
      <c r="A1003" s="100"/>
      <c r="B1003" s="100"/>
    </row>
    <row r="1004" spans="1:2">
      <c r="A1004" s="100"/>
      <c r="B1004" s="100"/>
    </row>
    <row r="1005" spans="1:2">
      <c r="A1005" s="100"/>
      <c r="B1005" s="100"/>
    </row>
    <row r="1006" spans="1:2">
      <c r="A1006" s="100"/>
      <c r="B1006" s="100"/>
    </row>
    <row r="1007" spans="1:2">
      <c r="A1007" s="100"/>
      <c r="B1007" s="100"/>
    </row>
    <row r="1008" spans="1:2">
      <c r="A1008" s="100"/>
      <c r="B1008" s="100"/>
    </row>
    <row r="1009" spans="1:2">
      <c r="A1009" s="100"/>
      <c r="B1009" s="100"/>
    </row>
    <row r="1010" spans="1:2">
      <c r="A1010" s="100"/>
      <c r="B1010" s="100"/>
    </row>
    <row r="1011" spans="1:2">
      <c r="A1011" s="100"/>
      <c r="B1011" s="100"/>
    </row>
    <row r="1012" spans="1:2">
      <c r="A1012" s="100"/>
      <c r="B1012" s="100"/>
    </row>
    <row r="1013" spans="1:2">
      <c r="A1013" s="100"/>
      <c r="B1013" s="100"/>
    </row>
    <row r="1014" spans="1:2">
      <c r="A1014" s="100"/>
      <c r="B1014" s="100"/>
    </row>
    <row r="1015" spans="1:2">
      <c r="A1015" s="100"/>
      <c r="B1015" s="100"/>
    </row>
    <row r="1016" spans="1:2">
      <c r="A1016" s="100"/>
      <c r="B1016" s="100"/>
    </row>
    <row r="1017" spans="1:2">
      <c r="A1017" s="100"/>
      <c r="B1017" s="100"/>
    </row>
    <row r="1018" spans="1:2">
      <c r="A1018" s="100"/>
      <c r="B1018" s="100"/>
    </row>
    <row r="1019" spans="1:2">
      <c r="A1019" s="100"/>
      <c r="B1019" s="100"/>
    </row>
    <row r="1020" spans="1:2">
      <c r="A1020" s="100"/>
      <c r="B1020" s="100"/>
    </row>
    <row r="1021" spans="1:2">
      <c r="A1021" s="100"/>
      <c r="B1021" s="100"/>
    </row>
    <row r="1022" spans="1:2">
      <c r="A1022" s="100"/>
      <c r="B1022" s="100"/>
    </row>
    <row r="1023" spans="1:2">
      <c r="A1023" s="100"/>
      <c r="B1023" s="100"/>
    </row>
    <row r="1024" spans="1:2">
      <c r="A1024" s="100"/>
      <c r="B1024" s="100"/>
    </row>
    <row r="1025" spans="1:2">
      <c r="A1025" s="100"/>
      <c r="B1025" s="100"/>
    </row>
    <row r="1026" spans="1:2">
      <c r="A1026" s="100"/>
      <c r="B1026" s="100"/>
    </row>
    <row r="1027" spans="1:2">
      <c r="A1027" s="100"/>
      <c r="B1027" s="100"/>
    </row>
    <row r="1028" spans="1:2">
      <c r="A1028" s="100"/>
      <c r="B1028" s="100"/>
    </row>
    <row r="1029" spans="1:2">
      <c r="A1029" s="100"/>
      <c r="B1029" s="100"/>
    </row>
    <row r="1030" spans="1:2">
      <c r="A1030" s="100"/>
      <c r="B1030" s="100"/>
    </row>
    <row r="1031" spans="1:2">
      <c r="A1031" s="100"/>
      <c r="B1031" s="100"/>
    </row>
    <row r="1032" spans="1:2">
      <c r="A1032" s="100"/>
      <c r="B1032" s="100"/>
    </row>
    <row r="1033" spans="1:2">
      <c r="A1033" s="100"/>
      <c r="B1033" s="100"/>
    </row>
    <row r="1034" spans="1:2">
      <c r="A1034" s="100"/>
      <c r="B1034" s="100"/>
    </row>
    <row r="1035" spans="1:2">
      <c r="A1035" s="100"/>
      <c r="B1035" s="100"/>
    </row>
    <row r="1036" spans="1:2">
      <c r="A1036" s="100"/>
      <c r="B1036" s="100"/>
    </row>
    <row r="1037" spans="1:2">
      <c r="A1037" s="100"/>
      <c r="B1037" s="100"/>
    </row>
    <row r="1038" spans="1:2">
      <c r="A1038" s="100"/>
      <c r="B1038" s="100"/>
    </row>
    <row r="1039" spans="1:2">
      <c r="A1039" s="100"/>
      <c r="B1039" s="100"/>
    </row>
    <row r="1040" spans="1:2">
      <c r="A1040" s="100"/>
      <c r="B1040" s="100"/>
    </row>
    <row r="1041" spans="1:2">
      <c r="A1041" s="100"/>
      <c r="B1041" s="100"/>
    </row>
    <row r="1042" spans="1:2">
      <c r="A1042" s="100"/>
      <c r="B1042" s="100"/>
    </row>
    <row r="1043" spans="1:2">
      <c r="A1043" s="100"/>
      <c r="B1043" s="100"/>
    </row>
    <row r="1044" spans="1:2">
      <c r="A1044" s="100"/>
      <c r="B1044" s="100"/>
    </row>
    <row r="1045" spans="1:2">
      <c r="A1045" s="100"/>
      <c r="B1045" s="100"/>
    </row>
    <row r="1046" spans="1:2">
      <c r="A1046" s="100"/>
      <c r="B1046" s="100"/>
    </row>
    <row r="1047" spans="1:2">
      <c r="A1047" s="100"/>
      <c r="B1047" s="100"/>
    </row>
    <row r="1048" spans="1:2">
      <c r="A1048" s="100"/>
      <c r="B1048" s="100"/>
    </row>
    <row r="1049" spans="1:2">
      <c r="A1049" s="100"/>
      <c r="B1049" s="100"/>
    </row>
    <row r="1050" spans="1:2">
      <c r="A1050" s="100"/>
      <c r="B1050" s="100"/>
    </row>
    <row r="1051" spans="1:2">
      <c r="A1051" s="100"/>
      <c r="B1051" s="100"/>
    </row>
    <row r="1052" spans="1:2">
      <c r="A1052" s="100"/>
      <c r="B1052" s="100"/>
    </row>
    <row r="1053" spans="1:2">
      <c r="A1053" s="100"/>
      <c r="B1053" s="100"/>
    </row>
    <row r="1054" spans="1:2">
      <c r="A1054" s="100"/>
      <c r="B1054" s="100"/>
    </row>
    <row r="1055" spans="1:2">
      <c r="A1055" s="100"/>
      <c r="B1055" s="100"/>
    </row>
    <row r="1056" spans="1:2">
      <c r="A1056" s="100"/>
      <c r="B1056" s="100"/>
    </row>
    <row r="1057" spans="1:2">
      <c r="A1057" s="100"/>
      <c r="B1057" s="100"/>
    </row>
    <row r="1058" spans="1:2">
      <c r="A1058" s="100"/>
      <c r="B1058" s="100"/>
    </row>
    <row r="1059" spans="1:2">
      <c r="A1059" s="100"/>
      <c r="B1059" s="100"/>
    </row>
    <row r="1060" spans="1:2">
      <c r="A1060" s="100"/>
      <c r="B1060" s="100"/>
    </row>
    <row r="1061" spans="1:2">
      <c r="A1061" s="100"/>
      <c r="B1061" s="100"/>
    </row>
    <row r="1062" spans="1:2">
      <c r="A1062" s="100"/>
      <c r="B1062" s="100"/>
    </row>
    <row r="1063" spans="1:2">
      <c r="A1063" s="100"/>
      <c r="B1063" s="100"/>
    </row>
    <row r="1064" spans="1:2">
      <c r="A1064" s="100"/>
      <c r="B1064" s="100"/>
    </row>
    <row r="1065" spans="1:2">
      <c r="A1065" s="100"/>
      <c r="B1065" s="100"/>
    </row>
    <row r="1066" spans="1:2">
      <c r="A1066" s="100"/>
      <c r="B1066" s="100"/>
    </row>
    <row r="1067" spans="1:2">
      <c r="A1067" s="100"/>
      <c r="B1067" s="100"/>
    </row>
    <row r="1068" spans="1:2">
      <c r="A1068" s="100"/>
      <c r="B1068" s="100"/>
    </row>
    <row r="1069" spans="1:2">
      <c r="A1069" s="100"/>
      <c r="B1069" s="100"/>
    </row>
    <row r="1070" spans="1:2">
      <c r="A1070" s="100"/>
      <c r="B1070" s="100"/>
    </row>
    <row r="1071" spans="1:2">
      <c r="A1071" s="100"/>
      <c r="B1071" s="100"/>
    </row>
    <row r="1072" spans="1:2">
      <c r="A1072" s="100"/>
      <c r="B1072" s="100"/>
    </row>
    <row r="1073" spans="1:2">
      <c r="A1073" s="100"/>
      <c r="B1073" s="100"/>
    </row>
    <row r="1074" spans="1:2">
      <c r="A1074" s="100"/>
      <c r="B1074" s="100"/>
    </row>
    <row r="1075" spans="1:2">
      <c r="A1075" s="100"/>
      <c r="B1075" s="100"/>
    </row>
    <row r="1076" spans="1:2">
      <c r="A1076" s="100"/>
      <c r="B1076" s="100"/>
    </row>
    <row r="1077" spans="1:2">
      <c r="A1077" s="100"/>
      <c r="B1077" s="100"/>
    </row>
    <row r="1078" spans="1:2">
      <c r="A1078" s="100"/>
      <c r="B1078" s="100"/>
    </row>
    <row r="1079" spans="1:2">
      <c r="A1079" s="100"/>
      <c r="B1079" s="100"/>
    </row>
    <row r="1080" spans="1:2">
      <c r="A1080" s="100"/>
      <c r="B1080" s="100"/>
    </row>
    <row r="1081" spans="1:2">
      <c r="A1081" s="100"/>
      <c r="B1081" s="100"/>
    </row>
    <row r="1082" spans="1:2">
      <c r="A1082" s="100"/>
      <c r="B1082" s="100"/>
    </row>
    <row r="1083" spans="1:2">
      <c r="A1083" s="100"/>
      <c r="B1083" s="100"/>
    </row>
    <row r="1084" spans="1:2">
      <c r="A1084" s="100"/>
      <c r="B1084" s="100"/>
    </row>
    <row r="1085" spans="1:2">
      <c r="A1085" s="100"/>
      <c r="B1085" s="100"/>
    </row>
    <row r="1086" spans="1:2">
      <c r="A1086" s="100"/>
      <c r="B1086" s="100"/>
    </row>
    <row r="1087" spans="1:2">
      <c r="A1087" s="100"/>
      <c r="B1087" s="100"/>
    </row>
    <row r="1088" spans="1:2">
      <c r="A1088" s="100"/>
      <c r="B1088" s="100"/>
    </row>
    <row r="1089" spans="1:2">
      <c r="A1089" s="100"/>
      <c r="B1089" s="100"/>
    </row>
    <row r="1090" spans="1:2">
      <c r="A1090" s="100"/>
      <c r="B1090" s="100"/>
    </row>
    <row r="1091" spans="1:2">
      <c r="A1091" s="100"/>
      <c r="B1091" s="100"/>
    </row>
    <row r="1092" spans="1:2">
      <c r="A1092" s="100"/>
      <c r="B1092" s="100"/>
    </row>
    <row r="1093" spans="1:2">
      <c r="A1093" s="100"/>
      <c r="B1093" s="100"/>
    </row>
    <row r="1094" spans="1:2">
      <c r="A1094" s="100"/>
      <c r="B1094" s="100"/>
    </row>
    <row r="1095" spans="1:2">
      <c r="A1095" s="100"/>
      <c r="B1095" s="100"/>
    </row>
    <row r="1096" spans="1:2">
      <c r="A1096" s="100"/>
      <c r="B1096" s="100"/>
    </row>
    <row r="1097" spans="1:2">
      <c r="A1097" s="100"/>
      <c r="B1097" s="100"/>
    </row>
    <row r="1098" spans="1:2">
      <c r="A1098" s="100"/>
      <c r="B1098" s="100"/>
    </row>
    <row r="1099" spans="1:2">
      <c r="A1099" s="100"/>
      <c r="B1099" s="100"/>
    </row>
    <row r="1100" spans="1:2">
      <c r="A1100" s="100"/>
      <c r="B1100" s="100"/>
    </row>
    <row r="1101" spans="1:2">
      <c r="A1101" s="100"/>
      <c r="B1101" s="100"/>
    </row>
    <row r="1102" spans="1:2">
      <c r="A1102" s="100"/>
      <c r="B1102" s="100"/>
    </row>
    <row r="1103" spans="1:2">
      <c r="A1103" s="100"/>
      <c r="B1103" s="100"/>
    </row>
    <row r="1104" spans="1:2">
      <c r="A1104" s="100"/>
      <c r="B1104" s="100"/>
    </row>
    <row r="1105" spans="1:2">
      <c r="A1105" s="100"/>
      <c r="B1105" s="100"/>
    </row>
    <row r="1106" spans="1:2">
      <c r="A1106" s="100"/>
      <c r="B1106" s="100"/>
    </row>
    <row r="1107" spans="1:2">
      <c r="A1107" s="100"/>
      <c r="B1107" s="100"/>
    </row>
    <row r="1108" spans="1:2">
      <c r="A1108" s="100"/>
      <c r="B1108" s="100"/>
    </row>
    <row r="1109" spans="1:2">
      <c r="A1109" s="100"/>
      <c r="B1109" s="100"/>
    </row>
    <row r="1110" spans="1:2">
      <c r="A1110" s="100"/>
      <c r="B1110" s="100"/>
    </row>
    <row r="1111" spans="1:2">
      <c r="A1111" s="100"/>
      <c r="B1111" s="100"/>
    </row>
    <row r="1112" spans="1:2">
      <c r="A1112" s="100"/>
      <c r="B1112" s="100"/>
    </row>
    <row r="1113" spans="1:2">
      <c r="A1113" s="100"/>
      <c r="B1113" s="100"/>
    </row>
    <row r="1114" spans="1:2">
      <c r="A1114" s="100"/>
      <c r="B1114" s="100"/>
    </row>
    <row r="1115" spans="1:2">
      <c r="A1115" s="100"/>
      <c r="B1115" s="100"/>
    </row>
    <row r="1116" spans="1:2">
      <c r="A1116" s="100"/>
      <c r="B1116" s="100"/>
    </row>
    <row r="1117" spans="1:2">
      <c r="A1117" s="100"/>
      <c r="B1117" s="100"/>
    </row>
    <row r="1118" spans="1:2">
      <c r="A1118" s="100"/>
      <c r="B1118" s="100"/>
    </row>
    <row r="1119" spans="1:2">
      <c r="A1119" s="100"/>
      <c r="B1119" s="100"/>
    </row>
    <row r="1120" spans="1:2">
      <c r="A1120" s="100"/>
      <c r="B1120" s="100"/>
    </row>
    <row r="1121" spans="1:2">
      <c r="A1121" s="100"/>
      <c r="B1121" s="100"/>
    </row>
    <row r="1122" spans="1:2">
      <c r="A1122" s="100"/>
      <c r="B1122" s="100"/>
    </row>
    <row r="1123" spans="1:2">
      <c r="A1123" s="100"/>
      <c r="B1123" s="100"/>
    </row>
    <row r="1124" spans="1:2">
      <c r="A1124" s="100"/>
      <c r="B1124" s="100"/>
    </row>
    <row r="1125" spans="1:2">
      <c r="A1125" s="100"/>
      <c r="B1125" s="100"/>
    </row>
    <row r="1126" spans="1:2">
      <c r="A1126" s="100"/>
      <c r="B1126" s="100"/>
    </row>
    <row r="1127" spans="1:2">
      <c r="A1127" s="100"/>
      <c r="B1127" s="100"/>
    </row>
    <row r="1128" spans="1:2">
      <c r="A1128" s="100"/>
      <c r="B1128" s="100"/>
    </row>
    <row r="1129" spans="1:2">
      <c r="A1129" s="100"/>
      <c r="B1129" s="100"/>
    </row>
    <row r="1130" spans="1:2">
      <c r="A1130" s="100"/>
      <c r="B1130" s="100"/>
    </row>
    <row r="1131" spans="1:2">
      <c r="A1131" s="100"/>
      <c r="B1131" s="100"/>
    </row>
    <row r="1132" spans="1:2">
      <c r="A1132" s="100"/>
      <c r="B1132" s="100"/>
    </row>
    <row r="1133" spans="1:2">
      <c r="A1133" s="100"/>
      <c r="B1133" s="100"/>
    </row>
    <row r="1134" spans="1:2">
      <c r="A1134" s="100"/>
      <c r="B1134" s="100"/>
    </row>
    <row r="1135" spans="1:2">
      <c r="A1135" s="100"/>
      <c r="B1135" s="100"/>
    </row>
    <row r="1136" spans="1:2">
      <c r="A1136" s="100"/>
      <c r="B1136" s="100"/>
    </row>
    <row r="1137" spans="1:2">
      <c r="A1137" s="100"/>
      <c r="B1137" s="100"/>
    </row>
    <row r="1138" spans="1:2">
      <c r="A1138" s="100"/>
      <c r="B1138" s="100"/>
    </row>
    <row r="1139" spans="1:2">
      <c r="A1139" s="100"/>
      <c r="B1139" s="100"/>
    </row>
    <row r="1140" spans="1:2">
      <c r="A1140" s="100"/>
      <c r="B1140" s="100"/>
    </row>
    <row r="1141" spans="1:2">
      <c r="A1141" s="100"/>
      <c r="B1141" s="100"/>
    </row>
    <row r="1142" spans="1:2">
      <c r="A1142" s="100"/>
      <c r="B1142" s="100"/>
    </row>
    <row r="1143" spans="1:2">
      <c r="A1143" s="100"/>
      <c r="B1143" s="100"/>
    </row>
    <row r="1144" spans="1:2">
      <c r="A1144" s="100"/>
      <c r="B1144" s="100"/>
    </row>
    <row r="1145" spans="1:2">
      <c r="A1145" s="100"/>
      <c r="B1145" s="100"/>
    </row>
    <row r="1146" spans="1:2">
      <c r="A1146" s="100"/>
      <c r="B1146" s="100"/>
    </row>
    <row r="1147" spans="1:2">
      <c r="A1147" s="100"/>
      <c r="B1147" s="100"/>
    </row>
    <row r="1148" spans="1:2">
      <c r="A1148" s="100"/>
      <c r="B1148" s="100"/>
    </row>
    <row r="1149" spans="1:2">
      <c r="A1149" s="100"/>
      <c r="B1149" s="100"/>
    </row>
    <row r="1150" spans="1:2">
      <c r="A1150" s="100"/>
      <c r="B1150" s="100"/>
    </row>
    <row r="1151" spans="1:2">
      <c r="A1151" s="100"/>
      <c r="B1151" s="100"/>
    </row>
    <row r="1152" spans="1:2">
      <c r="A1152" s="100"/>
      <c r="B1152" s="100"/>
    </row>
    <row r="1153" spans="1:2">
      <c r="A1153" s="100"/>
      <c r="B1153" s="100"/>
    </row>
    <row r="1154" spans="1:2">
      <c r="A1154" s="100"/>
      <c r="B1154" s="100"/>
    </row>
    <row r="1155" spans="1:2">
      <c r="A1155" s="100"/>
      <c r="B1155" s="100"/>
    </row>
    <row r="1156" spans="1:2">
      <c r="A1156" s="100"/>
      <c r="B1156" s="100"/>
    </row>
    <row r="1157" spans="1:2">
      <c r="A1157" s="100"/>
      <c r="B1157" s="100"/>
    </row>
    <row r="1158" spans="1:2">
      <c r="A1158" s="100"/>
      <c r="B1158" s="100"/>
    </row>
    <row r="1159" spans="1:2">
      <c r="A1159" s="100"/>
      <c r="B1159" s="100"/>
    </row>
    <row r="1160" spans="1:2">
      <c r="A1160" s="100"/>
      <c r="B1160" s="100"/>
    </row>
    <row r="1161" spans="1:2">
      <c r="A1161" s="100"/>
      <c r="B1161" s="100"/>
    </row>
    <row r="1162" spans="1:2">
      <c r="A1162" s="100"/>
      <c r="B1162" s="100"/>
    </row>
    <row r="1163" spans="1:2">
      <c r="A1163" s="100"/>
      <c r="B1163" s="100"/>
    </row>
    <row r="1164" spans="1:2">
      <c r="A1164" s="100"/>
      <c r="B1164" s="100"/>
    </row>
    <row r="1165" spans="1:2">
      <c r="A1165" s="100"/>
      <c r="B1165" s="100"/>
    </row>
    <row r="1166" spans="1:2">
      <c r="A1166" s="100"/>
      <c r="B1166" s="100"/>
    </row>
    <row r="1167" spans="1:2">
      <c r="A1167" s="100"/>
      <c r="B1167" s="100"/>
    </row>
    <row r="1168" spans="1:2">
      <c r="A1168" s="100"/>
      <c r="B1168" s="100"/>
    </row>
    <row r="1169" spans="1:2">
      <c r="A1169" s="100"/>
      <c r="B1169" s="100"/>
    </row>
    <row r="1170" spans="1:2">
      <c r="A1170" s="100"/>
      <c r="B1170" s="100"/>
    </row>
    <row r="1171" spans="1:2">
      <c r="A1171" s="100"/>
      <c r="B1171" s="100"/>
    </row>
    <row r="1172" spans="1:2">
      <c r="A1172" s="100"/>
      <c r="B1172" s="100"/>
    </row>
    <row r="1173" spans="1:2">
      <c r="A1173" s="100"/>
      <c r="B1173" s="100"/>
    </row>
    <row r="1174" spans="1:2">
      <c r="A1174" s="100"/>
      <c r="B1174" s="100"/>
    </row>
    <row r="1175" spans="1:2">
      <c r="A1175" s="100"/>
      <c r="B1175" s="100"/>
    </row>
    <row r="1176" spans="1:2">
      <c r="A1176" s="100"/>
      <c r="B1176" s="100"/>
    </row>
    <row r="1177" spans="1:2">
      <c r="A1177" s="100"/>
      <c r="B1177" s="100"/>
    </row>
    <row r="1178" spans="1:2">
      <c r="A1178" s="100"/>
      <c r="B1178" s="100"/>
    </row>
    <row r="1179" spans="1:2">
      <c r="A1179" s="100"/>
      <c r="B1179" s="100"/>
    </row>
    <row r="1180" spans="1:2">
      <c r="A1180" s="100"/>
      <c r="B1180" s="100"/>
    </row>
    <row r="1181" spans="1:2">
      <c r="A1181" s="100"/>
      <c r="B1181" s="100"/>
    </row>
    <row r="1182" spans="1:2">
      <c r="A1182" s="100"/>
      <c r="B1182" s="100"/>
    </row>
    <row r="1183" spans="1:2">
      <c r="A1183" s="100"/>
      <c r="B1183" s="100"/>
    </row>
    <row r="1184" spans="1:2">
      <c r="A1184" s="100"/>
      <c r="B1184" s="100"/>
    </row>
    <row r="1185" spans="1:2">
      <c r="A1185" s="100"/>
      <c r="B1185" s="100"/>
    </row>
    <row r="1186" spans="1:2">
      <c r="A1186" s="100"/>
      <c r="B1186" s="100"/>
    </row>
    <row r="1187" spans="1:2">
      <c r="A1187" s="100"/>
      <c r="B1187" s="100"/>
    </row>
    <row r="1188" spans="1:2">
      <c r="A1188" s="100"/>
      <c r="B1188" s="100"/>
    </row>
    <row r="1189" spans="1:2">
      <c r="A1189" s="100"/>
      <c r="B1189" s="100"/>
    </row>
    <row r="1190" spans="1:2">
      <c r="A1190" s="100"/>
      <c r="B1190" s="100"/>
    </row>
    <row r="1191" spans="1:2">
      <c r="A1191" s="100"/>
      <c r="B1191" s="100"/>
    </row>
    <row r="1192" spans="1:2">
      <c r="A1192" s="100"/>
      <c r="B1192" s="100"/>
    </row>
    <row r="1193" spans="1:2">
      <c r="A1193" s="100"/>
      <c r="B1193" s="100"/>
    </row>
    <row r="1194" spans="1:2">
      <c r="A1194" s="100"/>
      <c r="B1194" s="100"/>
    </row>
    <row r="1195" spans="1:2">
      <c r="A1195" s="100"/>
      <c r="B1195" s="100"/>
    </row>
    <row r="1196" spans="1:2">
      <c r="A1196" s="100"/>
      <c r="B1196" s="100"/>
    </row>
    <row r="1197" spans="1:2">
      <c r="A1197" s="100"/>
      <c r="B1197" s="100"/>
    </row>
    <row r="1198" spans="1:2">
      <c r="A1198" s="100"/>
      <c r="B1198" s="100"/>
    </row>
    <row r="1199" spans="1:2">
      <c r="A1199" s="100"/>
      <c r="B1199" s="100"/>
    </row>
    <row r="1200" spans="1:2">
      <c r="A1200" s="100"/>
      <c r="B1200" s="100"/>
    </row>
    <row r="1201" spans="1:2">
      <c r="A1201" s="100"/>
      <c r="B1201" s="100"/>
    </row>
    <row r="1202" spans="1:2">
      <c r="A1202" s="100"/>
      <c r="B1202" s="100"/>
    </row>
    <row r="1203" spans="1:2">
      <c r="A1203" s="100"/>
      <c r="B1203" s="100"/>
    </row>
    <row r="1204" spans="1:2">
      <c r="A1204" s="100"/>
      <c r="B1204" s="100"/>
    </row>
    <row r="1205" spans="1:2">
      <c r="A1205" s="100"/>
      <c r="B1205" s="100"/>
    </row>
    <row r="1206" spans="1:2">
      <c r="A1206" s="100"/>
      <c r="B1206" s="100"/>
    </row>
    <row r="1207" spans="1:2">
      <c r="A1207" s="100"/>
      <c r="B1207" s="100"/>
    </row>
    <row r="1208" spans="1:2">
      <c r="A1208" s="100"/>
      <c r="B1208" s="100"/>
    </row>
    <row r="1209" spans="1:2">
      <c r="A1209" s="100"/>
      <c r="B1209" s="100"/>
    </row>
    <row r="1210" spans="1:2">
      <c r="A1210" s="100"/>
      <c r="B1210" s="100"/>
    </row>
    <row r="1211" spans="1:2">
      <c r="A1211" s="100"/>
      <c r="B1211" s="100"/>
    </row>
    <row r="1212" spans="1:2">
      <c r="A1212" s="100"/>
      <c r="B1212" s="100"/>
    </row>
    <row r="1213" spans="1:2">
      <c r="A1213" s="100"/>
      <c r="B1213" s="100"/>
    </row>
    <row r="1214" spans="1:2">
      <c r="A1214" s="100"/>
      <c r="B1214" s="100"/>
    </row>
    <row r="1215" spans="1:2">
      <c r="A1215" s="100"/>
      <c r="B1215" s="100"/>
    </row>
    <row r="1216" spans="1:2">
      <c r="A1216" s="100"/>
      <c r="B1216" s="100"/>
    </row>
    <row r="1217" spans="1:2">
      <c r="A1217" s="100"/>
      <c r="B1217" s="100"/>
    </row>
    <row r="1218" spans="1:2">
      <c r="A1218" s="100"/>
      <c r="B1218" s="100"/>
    </row>
    <row r="1219" spans="1:2">
      <c r="A1219" s="100"/>
      <c r="B1219" s="100"/>
    </row>
    <row r="1220" spans="1:2">
      <c r="A1220" s="100"/>
      <c r="B1220" s="100"/>
    </row>
    <row r="1221" spans="1:2">
      <c r="A1221" s="100"/>
      <c r="B1221" s="100"/>
    </row>
    <row r="1222" spans="1:2">
      <c r="A1222" s="100"/>
      <c r="B1222" s="100"/>
    </row>
    <row r="1223" spans="1:2">
      <c r="A1223" s="100"/>
      <c r="B1223" s="100"/>
    </row>
    <row r="1224" spans="1:2">
      <c r="A1224" s="100"/>
      <c r="B1224" s="100"/>
    </row>
    <row r="1225" spans="1:2">
      <c r="A1225" s="100"/>
      <c r="B1225" s="100"/>
    </row>
    <row r="1226" spans="1:2">
      <c r="A1226" s="100"/>
      <c r="B1226" s="100"/>
    </row>
    <row r="1227" spans="1:2">
      <c r="A1227" s="100"/>
      <c r="B1227" s="100"/>
    </row>
    <row r="1228" spans="1:2">
      <c r="A1228" s="100"/>
      <c r="B1228" s="100"/>
    </row>
    <row r="1229" spans="1:2">
      <c r="A1229" s="100"/>
      <c r="B1229" s="100"/>
    </row>
    <row r="1230" spans="1:2">
      <c r="A1230" s="100"/>
      <c r="B1230" s="100"/>
    </row>
    <row r="1231" spans="1:2">
      <c r="A1231" s="100"/>
      <c r="B1231" s="100"/>
    </row>
    <row r="1232" spans="1:2">
      <c r="A1232" s="100"/>
      <c r="B1232" s="100"/>
    </row>
    <row r="1233" spans="1:2">
      <c r="A1233" s="100"/>
      <c r="B1233" s="100"/>
    </row>
    <row r="1234" spans="1:2">
      <c r="A1234" s="100"/>
      <c r="B1234" s="100"/>
    </row>
    <row r="1235" spans="1:2">
      <c r="A1235" s="100"/>
      <c r="B1235" s="100"/>
    </row>
    <row r="1236" spans="1:2">
      <c r="A1236" s="100"/>
      <c r="B1236" s="100"/>
    </row>
    <row r="1237" spans="1:2">
      <c r="A1237" s="100"/>
      <c r="B1237" s="100"/>
    </row>
    <row r="1238" spans="1:2">
      <c r="A1238" s="100"/>
      <c r="B1238" s="100"/>
    </row>
    <row r="1239" spans="1:2">
      <c r="A1239" s="100"/>
      <c r="B1239" s="100"/>
    </row>
    <row r="1240" spans="1:2">
      <c r="A1240" s="100"/>
      <c r="B1240" s="100"/>
    </row>
    <row r="1241" spans="1:2">
      <c r="A1241" s="100"/>
      <c r="B1241" s="100"/>
    </row>
    <row r="1242" spans="1:2">
      <c r="A1242" s="100"/>
      <c r="B1242" s="100"/>
    </row>
    <row r="1243" spans="1:2">
      <c r="A1243" s="100"/>
      <c r="B1243" s="100"/>
    </row>
    <row r="1244" spans="1:2">
      <c r="A1244" s="100"/>
      <c r="B1244" s="100"/>
    </row>
    <row r="1245" spans="1:2">
      <c r="A1245" s="100"/>
      <c r="B1245" s="100"/>
    </row>
    <row r="1246" spans="1:2">
      <c r="A1246" s="100"/>
      <c r="B1246" s="100"/>
    </row>
    <row r="1247" spans="1:2">
      <c r="A1247" s="100"/>
      <c r="B1247" s="100"/>
    </row>
    <row r="1248" spans="1:2">
      <c r="A1248" s="100"/>
      <c r="B1248" s="100"/>
    </row>
    <row r="1249" spans="1:2">
      <c r="A1249" s="100"/>
      <c r="B1249" s="100"/>
    </row>
    <row r="1250" spans="1:2">
      <c r="A1250" s="100"/>
      <c r="B1250" s="100"/>
    </row>
    <row r="1251" spans="1:2">
      <c r="A1251" s="100"/>
      <c r="B1251" s="100"/>
    </row>
    <row r="1252" spans="1:2">
      <c r="A1252" s="100"/>
      <c r="B1252" s="100"/>
    </row>
    <row r="1253" spans="1:2">
      <c r="A1253" s="100"/>
      <c r="B1253" s="100"/>
    </row>
    <row r="1254" spans="1:2">
      <c r="A1254" s="100"/>
      <c r="B1254" s="100"/>
    </row>
    <row r="1255" spans="1:2">
      <c r="A1255" s="100"/>
      <c r="B1255" s="100"/>
    </row>
    <row r="1256" spans="1:2">
      <c r="A1256" s="100"/>
      <c r="B1256" s="100"/>
    </row>
    <row r="1257" spans="1:2">
      <c r="A1257" s="100"/>
      <c r="B1257" s="100"/>
    </row>
    <row r="1258" spans="1:2">
      <c r="A1258" s="100"/>
      <c r="B1258" s="100"/>
    </row>
    <row r="1259" spans="1:2">
      <c r="A1259" s="100"/>
      <c r="B1259" s="100"/>
    </row>
    <row r="1260" spans="1:2">
      <c r="A1260" s="100"/>
      <c r="B1260" s="100"/>
    </row>
    <row r="1261" spans="1:2">
      <c r="A1261" s="100"/>
      <c r="B1261" s="100"/>
    </row>
    <row r="1262" spans="1:2">
      <c r="A1262" s="100"/>
      <c r="B1262" s="100"/>
    </row>
    <row r="1263" spans="1:2">
      <c r="A1263" s="100"/>
      <c r="B1263" s="100"/>
    </row>
    <row r="1264" spans="1:2">
      <c r="A1264" s="100"/>
      <c r="B1264" s="100"/>
    </row>
    <row r="1265" spans="1:2">
      <c r="A1265" s="100"/>
      <c r="B1265" s="100"/>
    </row>
    <row r="1266" spans="1:2">
      <c r="A1266" s="100"/>
      <c r="B1266" s="100"/>
    </row>
    <row r="1267" spans="1:2">
      <c r="A1267" s="100"/>
      <c r="B1267" s="100"/>
    </row>
    <row r="1268" spans="1:2">
      <c r="A1268" s="100"/>
      <c r="B1268" s="100"/>
    </row>
    <row r="1269" spans="1:2">
      <c r="A1269" s="100"/>
      <c r="B1269" s="100"/>
    </row>
    <row r="1270" spans="1:2">
      <c r="A1270" s="100"/>
      <c r="B1270" s="100"/>
    </row>
    <row r="1271" spans="1:2">
      <c r="A1271" s="100"/>
      <c r="B1271" s="100"/>
    </row>
    <row r="1272" spans="1:2">
      <c r="A1272" s="100"/>
      <c r="B1272" s="100"/>
    </row>
    <row r="1273" spans="1:2">
      <c r="A1273" s="100"/>
      <c r="B1273" s="100"/>
    </row>
    <row r="1274" spans="1:2">
      <c r="A1274" s="100"/>
      <c r="B1274" s="100"/>
    </row>
    <row r="1275" spans="1:2">
      <c r="A1275" s="100"/>
      <c r="B1275" s="100"/>
    </row>
    <row r="1276" spans="1:2">
      <c r="A1276" s="100"/>
      <c r="B1276" s="100"/>
    </row>
    <row r="1277" spans="1:2">
      <c r="A1277" s="100"/>
      <c r="B1277" s="100"/>
    </row>
    <row r="1278" spans="1:2">
      <c r="A1278" s="100"/>
      <c r="B1278" s="100"/>
    </row>
    <row r="1279" spans="1:2">
      <c r="A1279" s="100"/>
      <c r="B1279" s="100"/>
    </row>
    <row r="1280" spans="1:2">
      <c r="A1280" s="100"/>
      <c r="B1280" s="100"/>
    </row>
    <row r="1281" spans="1:2">
      <c r="A1281" s="100"/>
      <c r="B1281" s="100"/>
    </row>
    <row r="1282" spans="1:2">
      <c r="A1282" s="100"/>
      <c r="B1282" s="100"/>
    </row>
    <row r="1283" spans="1:2">
      <c r="A1283" s="100"/>
      <c r="B1283" s="100"/>
    </row>
    <row r="1284" spans="1:2">
      <c r="A1284" s="100"/>
      <c r="B1284" s="100"/>
    </row>
    <row r="1285" spans="1:2">
      <c r="A1285" s="100"/>
      <c r="B1285" s="100"/>
    </row>
    <row r="1286" spans="1:2">
      <c r="A1286" s="100"/>
      <c r="B1286" s="100"/>
    </row>
    <row r="1287" spans="1:2">
      <c r="A1287" s="100"/>
      <c r="B1287" s="100"/>
    </row>
    <row r="1288" spans="1:2">
      <c r="A1288" s="100"/>
      <c r="B1288" s="100"/>
    </row>
    <row r="1289" spans="1:2">
      <c r="A1289" s="100"/>
      <c r="B1289" s="100"/>
    </row>
    <row r="1290" spans="1:2">
      <c r="A1290" s="100"/>
      <c r="B1290" s="100"/>
    </row>
    <row r="1291" spans="1:2">
      <c r="A1291" s="100"/>
      <c r="B1291" s="100"/>
    </row>
    <row r="1292" spans="1:2">
      <c r="A1292" s="100"/>
      <c r="B1292" s="100"/>
    </row>
    <row r="1293" spans="1:2">
      <c r="A1293" s="100"/>
      <c r="B1293" s="100"/>
    </row>
    <row r="1294" spans="1:2">
      <c r="A1294" s="100"/>
      <c r="B1294" s="100"/>
    </row>
    <row r="1295" spans="1:2">
      <c r="A1295" s="100"/>
      <c r="B1295" s="100"/>
    </row>
    <row r="1296" spans="1:2">
      <c r="A1296" s="100"/>
      <c r="B1296" s="100"/>
    </row>
    <row r="1297" spans="1:2">
      <c r="A1297" s="100"/>
      <c r="B1297" s="100"/>
    </row>
    <row r="1298" spans="1:2">
      <c r="A1298" s="100"/>
      <c r="B1298" s="100"/>
    </row>
    <row r="1299" spans="1:2">
      <c r="A1299" s="100"/>
      <c r="B1299" s="100"/>
    </row>
    <row r="1300" spans="1:2">
      <c r="A1300" s="100"/>
      <c r="B1300" s="100"/>
    </row>
    <row r="1301" spans="1:2">
      <c r="A1301" s="100"/>
      <c r="B1301" s="100"/>
    </row>
    <row r="1302" spans="1:2">
      <c r="A1302" s="100"/>
      <c r="B1302" s="100"/>
    </row>
    <row r="1303" spans="1:2">
      <c r="A1303" s="100"/>
      <c r="B1303" s="100"/>
    </row>
    <row r="1304" spans="1:2">
      <c r="A1304" s="100"/>
      <c r="B1304" s="100"/>
    </row>
    <row r="1305" spans="1:2">
      <c r="A1305" s="100"/>
      <c r="B1305" s="100"/>
    </row>
    <row r="1306" spans="1:2">
      <c r="A1306" s="100"/>
      <c r="B1306" s="100"/>
    </row>
    <row r="1307" spans="1:2">
      <c r="A1307" s="100"/>
      <c r="B1307" s="100"/>
    </row>
    <row r="1308" spans="1:2">
      <c r="A1308" s="100"/>
      <c r="B1308" s="100"/>
    </row>
    <row r="1309" spans="1:2">
      <c r="A1309" s="100"/>
      <c r="B1309" s="100"/>
    </row>
    <row r="1310" spans="1:2">
      <c r="A1310" s="100"/>
      <c r="B1310" s="100"/>
    </row>
    <row r="1311" spans="1:2">
      <c r="A1311" s="100"/>
      <c r="B1311" s="100"/>
    </row>
    <row r="1312" spans="1:2">
      <c r="A1312" s="100"/>
      <c r="B1312" s="100"/>
    </row>
    <row r="1313" spans="1:2">
      <c r="A1313" s="100"/>
      <c r="B1313" s="100"/>
    </row>
    <row r="1314" spans="1:2">
      <c r="A1314" s="100"/>
      <c r="B1314" s="100"/>
    </row>
    <row r="1315" spans="1:2">
      <c r="A1315" s="100"/>
      <c r="B1315" s="100"/>
    </row>
    <row r="1316" spans="1:2">
      <c r="A1316" s="100"/>
      <c r="B1316" s="100"/>
    </row>
    <row r="1317" spans="1:2">
      <c r="A1317" s="100"/>
      <c r="B1317" s="100"/>
    </row>
    <row r="1318" spans="1:2">
      <c r="A1318" s="100"/>
      <c r="B1318" s="100"/>
    </row>
    <row r="1319" spans="1:2">
      <c r="A1319" s="100"/>
      <c r="B1319" s="100"/>
    </row>
    <row r="1320" spans="1:2">
      <c r="A1320" s="100"/>
      <c r="B1320" s="100"/>
    </row>
    <row r="1321" spans="1:2">
      <c r="A1321" s="100"/>
      <c r="B1321" s="100"/>
    </row>
    <row r="1322" spans="1:2">
      <c r="A1322" s="100"/>
      <c r="B1322" s="100"/>
    </row>
    <row r="1323" spans="1:2">
      <c r="A1323" s="100"/>
      <c r="B1323" s="100"/>
    </row>
    <row r="1324" spans="1:2">
      <c r="A1324" s="100"/>
      <c r="B1324" s="100"/>
    </row>
    <row r="1325" spans="1:2">
      <c r="A1325" s="100"/>
      <c r="B1325" s="100"/>
    </row>
    <row r="1326" spans="1:2">
      <c r="A1326" s="100"/>
      <c r="B1326" s="100"/>
    </row>
    <row r="1327" spans="1:2">
      <c r="A1327" s="100"/>
      <c r="B1327" s="100"/>
    </row>
    <row r="1328" spans="1:2">
      <c r="A1328" s="100"/>
      <c r="B1328" s="100"/>
    </row>
    <row r="1329" spans="1:2">
      <c r="A1329" s="100"/>
      <c r="B1329" s="100"/>
    </row>
    <row r="1330" spans="1:2">
      <c r="A1330" s="100"/>
      <c r="B1330" s="100"/>
    </row>
    <row r="1331" spans="1:2">
      <c r="A1331" s="100"/>
      <c r="B1331" s="100"/>
    </row>
    <row r="1332" spans="1:2">
      <c r="A1332" s="100"/>
      <c r="B1332" s="100"/>
    </row>
    <row r="1333" spans="1:2">
      <c r="A1333" s="100"/>
      <c r="B1333" s="100"/>
    </row>
    <row r="1334" spans="1:2">
      <c r="A1334" s="100"/>
      <c r="B1334" s="100"/>
    </row>
    <row r="1335" spans="1:2">
      <c r="A1335" s="100"/>
      <c r="B1335" s="100"/>
    </row>
    <row r="1336" spans="1:2">
      <c r="A1336" s="100"/>
      <c r="B1336" s="100"/>
    </row>
    <row r="1337" spans="1:2">
      <c r="A1337" s="100"/>
      <c r="B1337" s="100"/>
    </row>
    <row r="1338" spans="1:2">
      <c r="A1338" s="100"/>
      <c r="B1338" s="100"/>
    </row>
    <row r="1339" spans="1:2">
      <c r="A1339" s="100"/>
      <c r="B1339" s="100"/>
    </row>
    <row r="1340" spans="1:2">
      <c r="A1340" s="100"/>
      <c r="B1340" s="100"/>
    </row>
    <row r="1341" spans="1:2">
      <c r="A1341" s="100"/>
      <c r="B1341" s="100"/>
    </row>
    <row r="1342" spans="1:2">
      <c r="A1342" s="100"/>
      <c r="B1342" s="100"/>
    </row>
    <row r="1343" spans="1:2">
      <c r="A1343" s="100"/>
      <c r="B1343" s="100"/>
    </row>
    <row r="1344" spans="1:2">
      <c r="A1344" s="100"/>
      <c r="B1344" s="100"/>
    </row>
    <row r="1345" spans="1:2">
      <c r="A1345" s="100"/>
      <c r="B1345" s="100"/>
    </row>
    <row r="1346" spans="1:2">
      <c r="A1346" s="100"/>
      <c r="B1346" s="100"/>
    </row>
    <row r="1347" spans="1:2">
      <c r="A1347" s="100"/>
      <c r="B1347" s="100"/>
    </row>
    <row r="1348" spans="1:2">
      <c r="A1348" s="100"/>
      <c r="B1348" s="100"/>
    </row>
    <row r="1349" spans="1:2">
      <c r="A1349" s="100"/>
      <c r="B1349" s="100"/>
    </row>
    <row r="1350" spans="1:2">
      <c r="A1350" s="100"/>
      <c r="B1350" s="100"/>
    </row>
    <row r="1351" spans="1:2">
      <c r="A1351" s="100"/>
      <c r="B1351" s="100"/>
    </row>
    <row r="1352" spans="1:2">
      <c r="A1352" s="100"/>
      <c r="B1352" s="100"/>
    </row>
    <row r="1353" spans="1:2">
      <c r="A1353" s="100"/>
      <c r="B1353" s="100"/>
    </row>
    <row r="1354" spans="1:2">
      <c r="A1354" s="100"/>
      <c r="B1354" s="100"/>
    </row>
    <row r="1355" spans="1:2">
      <c r="A1355" s="100"/>
      <c r="B1355" s="100"/>
    </row>
    <row r="1356" spans="1:2">
      <c r="A1356" s="100"/>
      <c r="B1356" s="100"/>
    </row>
    <row r="1357" spans="1:2">
      <c r="A1357" s="100"/>
      <c r="B1357" s="100"/>
    </row>
    <row r="1358" spans="1:2">
      <c r="A1358" s="100"/>
      <c r="B1358" s="100"/>
    </row>
    <row r="1359" spans="1:2">
      <c r="A1359" s="100"/>
      <c r="B1359" s="100"/>
    </row>
    <row r="1360" spans="1:2">
      <c r="A1360" s="100"/>
      <c r="B1360" s="100"/>
    </row>
    <row r="1361" spans="1:2">
      <c r="A1361" s="100"/>
      <c r="B1361" s="100"/>
    </row>
    <row r="1362" spans="1:2">
      <c r="A1362" s="100"/>
      <c r="B1362" s="100"/>
    </row>
    <row r="1363" spans="1:2">
      <c r="A1363" s="100"/>
      <c r="B1363" s="100"/>
    </row>
    <row r="1364" spans="1:2">
      <c r="A1364" s="100"/>
      <c r="B1364" s="100"/>
    </row>
    <row r="1365" spans="1:2">
      <c r="A1365" s="100"/>
      <c r="B1365" s="100"/>
    </row>
    <row r="1366" spans="1:2">
      <c r="A1366" s="100"/>
      <c r="B1366" s="100"/>
    </row>
    <row r="1367" spans="1:2">
      <c r="A1367" s="100"/>
      <c r="B1367" s="100"/>
    </row>
    <row r="1368" spans="1:2">
      <c r="A1368" s="100"/>
      <c r="B1368" s="100"/>
    </row>
    <row r="1369" spans="1:2">
      <c r="A1369" s="100"/>
      <c r="B1369" s="100"/>
    </row>
    <row r="1370" spans="1:2">
      <c r="A1370" s="100"/>
      <c r="B1370" s="100"/>
    </row>
    <row r="1371" spans="1:2">
      <c r="A1371" s="100"/>
      <c r="B1371" s="100"/>
    </row>
    <row r="1372" spans="1:2">
      <c r="A1372" s="100"/>
      <c r="B1372" s="100"/>
    </row>
    <row r="1373" spans="1:2">
      <c r="A1373" s="100"/>
      <c r="B1373" s="100"/>
    </row>
    <row r="1374" spans="1:2">
      <c r="A1374" s="100"/>
      <c r="B1374" s="100"/>
    </row>
    <row r="1375" spans="1:2">
      <c r="A1375" s="100"/>
      <c r="B1375" s="100"/>
    </row>
    <row r="1376" spans="1:2">
      <c r="A1376" s="100"/>
      <c r="B1376" s="100"/>
    </row>
    <row r="1377" spans="1:2">
      <c r="A1377" s="100"/>
      <c r="B1377" s="100"/>
    </row>
    <row r="1378" spans="1:2">
      <c r="A1378" s="100"/>
      <c r="B1378" s="100"/>
    </row>
    <row r="1379" spans="1:2">
      <c r="A1379" s="100"/>
      <c r="B1379" s="100"/>
    </row>
    <row r="1380" spans="1:2">
      <c r="A1380" s="100"/>
      <c r="B1380" s="100"/>
    </row>
    <row r="1381" spans="1:2">
      <c r="A1381" s="100"/>
      <c r="B1381" s="100"/>
    </row>
    <row r="1382" spans="1:2">
      <c r="A1382" s="100"/>
      <c r="B1382" s="100"/>
    </row>
    <row r="1383" spans="1:2">
      <c r="A1383" s="100"/>
      <c r="B1383" s="100"/>
    </row>
    <row r="1384" spans="1:2">
      <c r="A1384" s="100"/>
      <c r="B1384" s="100"/>
    </row>
    <row r="1385" spans="1:2">
      <c r="A1385" s="100"/>
      <c r="B1385" s="100"/>
    </row>
    <row r="1386" spans="1:2">
      <c r="A1386" s="100"/>
      <c r="B1386" s="100"/>
    </row>
    <row r="1387" spans="1:2">
      <c r="A1387" s="100"/>
      <c r="B1387" s="100"/>
    </row>
    <row r="1388" spans="1:2">
      <c r="A1388" s="100"/>
      <c r="B1388" s="100"/>
    </row>
    <row r="1389" spans="1:2">
      <c r="A1389" s="100"/>
      <c r="B1389" s="100"/>
    </row>
    <row r="1390" spans="1:2">
      <c r="A1390" s="100"/>
      <c r="B1390" s="100"/>
    </row>
    <row r="1391" spans="1:2">
      <c r="A1391" s="100"/>
      <c r="B1391" s="100"/>
    </row>
    <row r="1392" spans="1:2">
      <c r="A1392" s="100"/>
      <c r="B1392" s="100"/>
    </row>
    <row r="1393" spans="1:2">
      <c r="A1393" s="100"/>
      <c r="B1393" s="100"/>
    </row>
    <row r="1394" spans="1:2">
      <c r="A1394" s="100"/>
      <c r="B1394" s="100"/>
    </row>
    <row r="1395" spans="1:2">
      <c r="A1395" s="100"/>
      <c r="B1395" s="100"/>
    </row>
    <row r="1396" spans="1:2">
      <c r="A1396" s="100"/>
      <c r="B1396" s="100"/>
    </row>
    <row r="1397" spans="1:2">
      <c r="A1397" s="100"/>
      <c r="B1397" s="100"/>
    </row>
    <row r="1398" spans="1:2">
      <c r="A1398" s="100"/>
      <c r="B1398" s="100"/>
    </row>
    <row r="1399" spans="1:2">
      <c r="A1399" s="100"/>
      <c r="B1399" s="100"/>
    </row>
    <row r="1400" spans="1:2">
      <c r="A1400" s="100"/>
      <c r="B1400" s="100"/>
    </row>
    <row r="1401" spans="1:2">
      <c r="A1401" s="100"/>
      <c r="B1401" s="100"/>
    </row>
    <row r="1402" spans="1:2">
      <c r="A1402" s="100"/>
      <c r="B1402" s="100"/>
    </row>
    <row r="1403" spans="1:2">
      <c r="A1403" s="100"/>
      <c r="B1403" s="100"/>
    </row>
    <row r="1404" spans="1:2">
      <c r="A1404" s="100"/>
      <c r="B1404" s="100"/>
    </row>
    <row r="1405" spans="1:2">
      <c r="A1405" s="100"/>
      <c r="B1405" s="100"/>
    </row>
    <row r="1406" spans="1:2">
      <c r="A1406" s="100"/>
      <c r="B1406" s="100"/>
    </row>
    <row r="1407" spans="1:2">
      <c r="A1407" s="100"/>
      <c r="B1407" s="100"/>
    </row>
    <row r="1408" spans="1:2">
      <c r="A1408" s="100"/>
      <c r="B1408" s="100"/>
    </row>
    <row r="1409" spans="1:2">
      <c r="A1409" s="100"/>
      <c r="B1409" s="100"/>
    </row>
    <row r="1410" spans="1:2">
      <c r="A1410" s="100"/>
      <c r="B1410" s="100"/>
    </row>
    <row r="1411" spans="1:2">
      <c r="A1411" s="100"/>
      <c r="B1411" s="100"/>
    </row>
    <row r="1412" spans="1:2">
      <c r="A1412" s="100"/>
      <c r="B1412" s="100"/>
    </row>
    <row r="1413" spans="1:2">
      <c r="A1413" s="100"/>
      <c r="B1413" s="100"/>
    </row>
    <row r="1414" spans="1:2">
      <c r="A1414" s="100"/>
      <c r="B1414" s="100"/>
    </row>
    <row r="1415" spans="1:2">
      <c r="A1415" s="100"/>
      <c r="B1415" s="100"/>
    </row>
    <row r="1416" spans="1:2">
      <c r="A1416" s="100"/>
      <c r="B1416" s="100"/>
    </row>
    <row r="1417" spans="1:2">
      <c r="A1417" s="100"/>
      <c r="B1417" s="100"/>
    </row>
    <row r="1418" spans="1:2">
      <c r="A1418" s="100"/>
      <c r="B1418" s="100"/>
    </row>
    <row r="1419" spans="1:2">
      <c r="A1419" s="100"/>
      <c r="B1419" s="100"/>
    </row>
    <row r="1420" spans="1:2">
      <c r="A1420" s="100"/>
      <c r="B1420" s="100"/>
    </row>
    <row r="1421" spans="1:2">
      <c r="A1421" s="100"/>
      <c r="B1421" s="100"/>
    </row>
    <row r="1422" spans="1:2">
      <c r="A1422" s="100"/>
      <c r="B1422" s="100"/>
    </row>
    <row r="1423" spans="1:2">
      <c r="A1423" s="100"/>
      <c r="B1423" s="100"/>
    </row>
    <row r="1424" spans="1:2">
      <c r="A1424" s="100"/>
      <c r="B1424" s="100"/>
    </row>
    <row r="1425" spans="1:2">
      <c r="A1425" s="100"/>
      <c r="B1425" s="100"/>
    </row>
    <row r="1426" spans="1:2">
      <c r="A1426" s="100"/>
      <c r="B1426" s="100"/>
    </row>
    <row r="1427" spans="1:2">
      <c r="A1427" s="100"/>
      <c r="B1427" s="100"/>
    </row>
    <row r="1428" spans="1:2">
      <c r="A1428" s="100"/>
      <c r="B1428" s="100"/>
    </row>
    <row r="1429" spans="1:2">
      <c r="A1429" s="100"/>
      <c r="B1429" s="100"/>
    </row>
    <row r="1430" spans="1:2">
      <c r="A1430" s="100"/>
      <c r="B1430" s="100"/>
    </row>
    <row r="1431" spans="1:2">
      <c r="A1431" s="100"/>
      <c r="B1431" s="100"/>
    </row>
    <row r="1432" spans="1:2">
      <c r="A1432" s="100"/>
      <c r="B1432" s="100"/>
    </row>
    <row r="1433" spans="1:2">
      <c r="A1433" s="100"/>
      <c r="B1433" s="100"/>
    </row>
    <row r="1434" spans="1:2">
      <c r="A1434" s="100"/>
      <c r="B1434" s="100"/>
    </row>
    <row r="1435" spans="1:2">
      <c r="A1435" s="100"/>
      <c r="B1435" s="100"/>
    </row>
    <row r="1436" spans="1:2">
      <c r="A1436" s="100"/>
      <c r="B1436" s="100"/>
    </row>
    <row r="1437" spans="1:2">
      <c r="A1437" s="100"/>
      <c r="B1437" s="100"/>
    </row>
    <row r="1438" spans="1:2">
      <c r="A1438" s="100"/>
      <c r="B1438" s="100"/>
    </row>
    <row r="1439" spans="1:2">
      <c r="A1439" s="100"/>
      <c r="B1439" s="100"/>
    </row>
    <row r="1440" spans="1:2">
      <c r="A1440" s="100"/>
      <c r="B1440" s="100"/>
    </row>
    <row r="1441" spans="1:2">
      <c r="A1441" s="100"/>
      <c r="B1441" s="100"/>
    </row>
    <row r="1442" spans="1:2">
      <c r="A1442" s="100"/>
      <c r="B1442" s="100"/>
    </row>
    <row r="1443" spans="1:2">
      <c r="A1443" s="100"/>
      <c r="B1443" s="100"/>
    </row>
    <row r="1444" spans="1:2">
      <c r="A1444" s="100"/>
      <c r="B1444" s="100"/>
    </row>
    <row r="1445" spans="1:2">
      <c r="A1445" s="100"/>
      <c r="B1445" s="100"/>
    </row>
    <row r="1446" spans="1:2">
      <c r="A1446" s="100"/>
      <c r="B1446" s="100"/>
    </row>
    <row r="1447" spans="1:2">
      <c r="A1447" s="100"/>
      <c r="B1447" s="100"/>
    </row>
    <row r="1448" spans="1:2">
      <c r="A1448" s="100"/>
      <c r="B1448" s="100"/>
    </row>
    <row r="1449" spans="1:2">
      <c r="A1449" s="100"/>
      <c r="B1449" s="100"/>
    </row>
    <row r="1450" spans="1:2">
      <c r="A1450" s="100"/>
      <c r="B1450" s="100"/>
    </row>
    <row r="1451" spans="1:2">
      <c r="A1451" s="100"/>
      <c r="B1451" s="100"/>
    </row>
    <row r="1452" spans="1:2">
      <c r="A1452" s="100"/>
      <c r="B1452" s="100"/>
    </row>
    <row r="1453" spans="1:2">
      <c r="A1453" s="100"/>
      <c r="B1453" s="100"/>
    </row>
    <row r="1454" spans="1:2">
      <c r="A1454" s="100"/>
      <c r="B1454" s="100"/>
    </row>
    <row r="1455" spans="1:2">
      <c r="A1455" s="100"/>
      <c r="B1455" s="100"/>
    </row>
    <row r="1456" spans="1:2">
      <c r="A1456" s="100"/>
      <c r="B1456" s="100"/>
    </row>
    <row r="1457" spans="1:2">
      <c r="A1457" s="100"/>
      <c r="B1457" s="100"/>
    </row>
    <row r="1458" spans="1:2">
      <c r="A1458" s="100"/>
      <c r="B1458" s="100"/>
    </row>
    <row r="1459" spans="1:2">
      <c r="A1459" s="100"/>
      <c r="B1459" s="100"/>
    </row>
    <row r="1460" spans="1:2">
      <c r="A1460" s="100"/>
      <c r="B1460" s="100"/>
    </row>
    <row r="1461" spans="1:2">
      <c r="A1461" s="100"/>
      <c r="B1461" s="100"/>
    </row>
    <row r="1462" spans="1:2">
      <c r="A1462" s="100"/>
      <c r="B1462" s="100"/>
    </row>
    <row r="1463" spans="1:2">
      <c r="A1463" s="100"/>
      <c r="B1463" s="100"/>
    </row>
    <row r="1464" spans="1:2">
      <c r="A1464" s="100"/>
      <c r="B1464" s="100"/>
    </row>
    <row r="1465" spans="1:2">
      <c r="A1465" s="100"/>
      <c r="B1465" s="100"/>
    </row>
    <row r="1466" spans="1:2">
      <c r="A1466" s="100"/>
      <c r="B1466" s="100"/>
    </row>
    <row r="1467" spans="1:2">
      <c r="A1467" s="100"/>
      <c r="B1467" s="100"/>
    </row>
    <row r="1468" spans="1:2">
      <c r="A1468" s="100"/>
      <c r="B1468" s="100"/>
    </row>
    <row r="1469" spans="1:2">
      <c r="A1469" s="100"/>
      <c r="B1469" s="100"/>
    </row>
    <row r="1470" spans="1:2">
      <c r="A1470" s="100"/>
      <c r="B1470" s="100"/>
    </row>
    <row r="1471" spans="1:2">
      <c r="A1471" s="100"/>
      <c r="B1471" s="100"/>
    </row>
    <row r="1472" spans="1:2">
      <c r="A1472" s="100"/>
      <c r="B1472" s="100"/>
    </row>
    <row r="1473" spans="1:2">
      <c r="A1473" s="100"/>
      <c r="B1473" s="100"/>
    </row>
    <row r="1474" spans="1:2">
      <c r="A1474" s="100"/>
      <c r="B1474" s="100"/>
    </row>
    <row r="1475" spans="1:2">
      <c r="A1475" s="100"/>
      <c r="B1475" s="100"/>
    </row>
    <row r="1476" spans="1:2">
      <c r="A1476" s="100"/>
      <c r="B1476" s="100"/>
    </row>
    <row r="1477" spans="1:2">
      <c r="A1477" s="100"/>
      <c r="B1477" s="100"/>
    </row>
    <row r="1478" spans="1:2">
      <c r="A1478" s="100"/>
      <c r="B1478" s="100"/>
    </row>
    <row r="1479" spans="1:2">
      <c r="A1479" s="100"/>
      <c r="B1479" s="100"/>
    </row>
    <row r="1480" spans="1:2">
      <c r="A1480" s="100"/>
      <c r="B1480" s="100"/>
    </row>
    <row r="1481" spans="1:2">
      <c r="A1481" s="100"/>
      <c r="B1481" s="100"/>
    </row>
    <row r="1482" spans="1:2">
      <c r="A1482" s="100"/>
      <c r="B1482" s="100"/>
    </row>
    <row r="1483" spans="1:2">
      <c r="A1483" s="100"/>
      <c r="B1483" s="100"/>
    </row>
    <row r="1484" spans="1:2">
      <c r="A1484" s="100"/>
      <c r="B1484" s="100"/>
    </row>
    <row r="1485" spans="1:2">
      <c r="A1485" s="100"/>
      <c r="B1485" s="100"/>
    </row>
    <row r="1486" spans="1:2">
      <c r="A1486" s="100"/>
      <c r="B1486" s="100"/>
    </row>
    <row r="1487" spans="1:2">
      <c r="A1487" s="100"/>
      <c r="B1487" s="100"/>
    </row>
    <row r="1488" spans="1:2">
      <c r="A1488" s="100"/>
      <c r="B1488" s="100"/>
    </row>
    <row r="1489" spans="1:2">
      <c r="A1489" s="100"/>
      <c r="B1489" s="100"/>
    </row>
    <row r="1490" spans="1:2">
      <c r="A1490" s="100"/>
      <c r="B1490" s="100"/>
    </row>
    <row r="1491" spans="1:2">
      <c r="A1491" s="100"/>
      <c r="B1491" s="100"/>
    </row>
    <row r="1492" spans="1:2">
      <c r="A1492" s="100"/>
      <c r="B1492" s="100"/>
    </row>
    <row r="1493" spans="1:2">
      <c r="A1493" s="100"/>
      <c r="B1493" s="100"/>
    </row>
    <row r="1494" spans="1:2">
      <c r="A1494" s="100"/>
      <c r="B1494" s="100"/>
    </row>
    <row r="1495" spans="1:2">
      <c r="A1495" s="100"/>
      <c r="B1495" s="100"/>
    </row>
    <row r="1496" spans="1:2">
      <c r="A1496" s="100"/>
      <c r="B1496" s="100"/>
    </row>
    <row r="1497" spans="1:2">
      <c r="A1497" s="100"/>
      <c r="B1497" s="100"/>
    </row>
    <row r="1498" spans="1:2">
      <c r="A1498" s="100"/>
      <c r="B1498" s="100"/>
    </row>
    <row r="1499" spans="1:2">
      <c r="A1499" s="100"/>
      <c r="B1499" s="100"/>
    </row>
    <row r="1500" spans="1:2">
      <c r="A1500" s="100"/>
      <c r="B1500" s="100"/>
    </row>
    <row r="1501" spans="1:2">
      <c r="A1501" s="100"/>
      <c r="B1501" s="100"/>
    </row>
    <row r="1502" spans="1:2">
      <c r="A1502" s="100"/>
      <c r="B1502" s="100"/>
    </row>
    <row r="1503" spans="1:2">
      <c r="A1503" s="100"/>
      <c r="B1503" s="100"/>
    </row>
    <row r="1504" spans="1:2">
      <c r="A1504" s="100"/>
      <c r="B1504" s="100"/>
    </row>
    <row r="1505" spans="1:2">
      <c r="A1505" s="100"/>
      <c r="B1505" s="100"/>
    </row>
    <row r="1506" spans="1:2">
      <c r="A1506" s="100"/>
      <c r="B1506" s="100"/>
    </row>
    <row r="1507" spans="1:2">
      <c r="A1507" s="100"/>
      <c r="B1507" s="100"/>
    </row>
    <row r="1508" spans="1:2">
      <c r="A1508" s="100"/>
      <c r="B1508" s="100"/>
    </row>
    <row r="1509" spans="1:2">
      <c r="A1509" s="100"/>
      <c r="B1509" s="100"/>
    </row>
    <row r="1510" spans="1:2">
      <c r="A1510" s="100"/>
      <c r="B1510" s="100"/>
    </row>
    <row r="1511" spans="1:2">
      <c r="A1511" s="100"/>
      <c r="B1511" s="100"/>
    </row>
    <row r="1512" spans="1:2">
      <c r="A1512" s="100"/>
      <c r="B1512" s="100"/>
    </row>
    <row r="1513" spans="1:2">
      <c r="A1513" s="100"/>
      <c r="B1513" s="100"/>
    </row>
    <row r="1514" spans="1:2">
      <c r="A1514" s="100"/>
      <c r="B1514" s="100"/>
    </row>
    <row r="1515" spans="1:2">
      <c r="A1515" s="100"/>
      <c r="B1515" s="100"/>
    </row>
    <row r="1516" spans="1:2">
      <c r="A1516" s="100"/>
      <c r="B1516" s="100"/>
    </row>
    <row r="1517" spans="1:2">
      <c r="A1517" s="100"/>
      <c r="B1517" s="100"/>
    </row>
    <row r="1518" spans="1:2">
      <c r="A1518" s="100"/>
      <c r="B1518" s="100"/>
    </row>
    <row r="1519" spans="1:2">
      <c r="A1519" s="100"/>
      <c r="B1519" s="100"/>
    </row>
    <row r="1520" spans="1:2">
      <c r="A1520" s="100"/>
      <c r="B1520" s="100"/>
    </row>
    <row r="1521" spans="1:2">
      <c r="A1521" s="100"/>
      <c r="B1521" s="100"/>
    </row>
    <row r="1522" spans="1:2">
      <c r="A1522" s="100"/>
      <c r="B1522" s="100"/>
    </row>
    <row r="1523" spans="1:2">
      <c r="A1523" s="100"/>
      <c r="B1523" s="100"/>
    </row>
    <row r="1524" spans="1:2">
      <c r="A1524" s="100"/>
      <c r="B1524" s="100"/>
    </row>
    <row r="1525" spans="1:2">
      <c r="A1525" s="100"/>
      <c r="B1525" s="100"/>
    </row>
    <row r="1526" spans="1:2">
      <c r="A1526" s="100"/>
      <c r="B1526" s="100"/>
    </row>
    <row r="1527" spans="1:2">
      <c r="A1527" s="100"/>
      <c r="B1527" s="100"/>
    </row>
    <row r="1528" spans="1:2">
      <c r="A1528" s="100"/>
      <c r="B1528" s="100"/>
    </row>
    <row r="1529" spans="1:2">
      <c r="A1529" s="100"/>
      <c r="B1529" s="100"/>
    </row>
    <row r="1530" spans="1:2">
      <c r="A1530" s="100"/>
      <c r="B1530" s="100"/>
    </row>
    <row r="1531" spans="1:2">
      <c r="A1531" s="100"/>
      <c r="B1531" s="100"/>
    </row>
    <row r="1532" spans="1:2">
      <c r="A1532" s="100"/>
      <c r="B1532" s="100"/>
    </row>
    <row r="1533" spans="1:2">
      <c r="A1533" s="100"/>
      <c r="B1533" s="100"/>
    </row>
    <row r="1534" spans="1:2">
      <c r="A1534" s="100"/>
      <c r="B1534" s="100"/>
    </row>
    <row r="1535" spans="1:2">
      <c r="A1535" s="100"/>
      <c r="B1535" s="100"/>
    </row>
    <row r="1536" spans="1:2">
      <c r="A1536" s="100"/>
      <c r="B1536" s="100"/>
    </row>
    <row r="1537" spans="1:2">
      <c r="A1537" s="100"/>
      <c r="B1537" s="100"/>
    </row>
    <row r="1538" spans="1:2">
      <c r="A1538" s="100"/>
      <c r="B1538" s="100"/>
    </row>
    <row r="1539" spans="1:2">
      <c r="A1539" s="100"/>
      <c r="B1539" s="100"/>
    </row>
    <row r="1540" spans="1:2">
      <c r="A1540" s="100"/>
      <c r="B1540" s="100"/>
    </row>
    <row r="1541" spans="1:2">
      <c r="A1541" s="100"/>
      <c r="B1541" s="100"/>
    </row>
    <row r="1542" spans="1:2">
      <c r="A1542" s="100"/>
      <c r="B1542" s="100"/>
    </row>
    <row r="1543" spans="1:2">
      <c r="A1543" s="100"/>
      <c r="B1543" s="100"/>
    </row>
    <row r="1544" spans="1:2">
      <c r="A1544" s="100"/>
      <c r="B1544" s="100"/>
    </row>
    <row r="1545" spans="1:2">
      <c r="A1545" s="100"/>
      <c r="B1545" s="100"/>
    </row>
    <row r="1546" spans="1:2">
      <c r="A1546" s="100"/>
      <c r="B1546" s="100"/>
    </row>
    <row r="1547" spans="1:2">
      <c r="A1547" s="100"/>
      <c r="B1547" s="100"/>
    </row>
    <row r="1548" spans="1:2">
      <c r="A1548" s="100"/>
      <c r="B1548" s="100"/>
    </row>
    <row r="1549" spans="1:2">
      <c r="A1549" s="100"/>
      <c r="B1549" s="100"/>
    </row>
    <row r="1550" spans="1:2">
      <c r="A1550" s="100"/>
      <c r="B1550" s="100"/>
    </row>
    <row r="1551" spans="1:2">
      <c r="A1551" s="100"/>
      <c r="B1551" s="100"/>
    </row>
    <row r="1552" spans="1:2">
      <c r="A1552" s="100"/>
      <c r="B1552" s="100"/>
    </row>
    <row r="1553" spans="1:2">
      <c r="A1553" s="100"/>
      <c r="B1553" s="100"/>
    </row>
    <row r="1554" spans="1:2">
      <c r="A1554" s="100"/>
      <c r="B1554" s="100"/>
    </row>
    <row r="1555" spans="1:2">
      <c r="A1555" s="100"/>
      <c r="B1555" s="100"/>
    </row>
    <row r="1556" spans="1:2">
      <c r="A1556" s="100"/>
      <c r="B1556" s="100"/>
    </row>
    <row r="1557" spans="1:2">
      <c r="A1557" s="100"/>
      <c r="B1557" s="100"/>
    </row>
    <row r="1558" spans="1:2">
      <c r="A1558" s="100"/>
      <c r="B1558" s="100"/>
    </row>
    <row r="1559" spans="1:2">
      <c r="A1559" s="100"/>
      <c r="B1559" s="100"/>
    </row>
    <row r="1560" spans="1:2">
      <c r="A1560" s="100"/>
      <c r="B1560" s="100"/>
    </row>
    <row r="1561" spans="1:2">
      <c r="A1561" s="100"/>
      <c r="B1561" s="100"/>
    </row>
    <row r="1562" spans="1:2">
      <c r="A1562" s="100"/>
      <c r="B1562" s="100"/>
    </row>
    <row r="1563" spans="1:2">
      <c r="A1563" s="100"/>
      <c r="B1563" s="100"/>
    </row>
    <row r="1564" spans="1:2">
      <c r="A1564" s="100"/>
      <c r="B1564" s="100"/>
    </row>
    <row r="1565" spans="1:2">
      <c r="A1565" s="100"/>
      <c r="B1565" s="100"/>
    </row>
    <row r="1566" spans="1:2">
      <c r="A1566" s="100"/>
      <c r="B1566" s="100"/>
    </row>
    <row r="1567" spans="1:2">
      <c r="A1567" s="100"/>
      <c r="B1567" s="100"/>
    </row>
    <row r="1568" spans="1:2">
      <c r="A1568" s="100"/>
      <c r="B1568" s="100"/>
    </row>
    <row r="1569" spans="1:2">
      <c r="A1569" s="100"/>
      <c r="B1569" s="100"/>
    </row>
    <row r="1570" spans="1:2">
      <c r="A1570" s="100"/>
      <c r="B1570" s="100"/>
    </row>
    <row r="1571" spans="1:2">
      <c r="A1571" s="100"/>
      <c r="B1571" s="100"/>
    </row>
    <row r="1572" spans="1:2">
      <c r="A1572" s="100"/>
      <c r="B1572" s="100"/>
    </row>
    <row r="1573" spans="1:2">
      <c r="A1573" s="100"/>
      <c r="B1573" s="100"/>
    </row>
    <row r="1574" spans="1:2">
      <c r="A1574" s="100"/>
      <c r="B1574" s="100"/>
    </row>
    <row r="1575" spans="1:2">
      <c r="A1575" s="100"/>
      <c r="B1575" s="100"/>
    </row>
    <row r="1576" spans="1:2">
      <c r="A1576" s="100"/>
      <c r="B1576" s="100"/>
    </row>
    <row r="1577" spans="1:2">
      <c r="A1577" s="100"/>
      <c r="B1577" s="100"/>
    </row>
    <row r="1578" spans="1:2">
      <c r="A1578" s="100"/>
      <c r="B1578" s="100"/>
    </row>
    <row r="1579" spans="1:2">
      <c r="A1579" s="100"/>
      <c r="B1579" s="100"/>
    </row>
    <row r="1580" spans="1:2">
      <c r="A1580" s="100"/>
      <c r="B1580" s="100"/>
    </row>
    <row r="1581" spans="1:2">
      <c r="A1581" s="100"/>
      <c r="B1581" s="100"/>
    </row>
    <row r="1582" spans="1:2">
      <c r="A1582" s="100"/>
      <c r="B1582" s="100"/>
    </row>
    <row r="1583" spans="1:2">
      <c r="A1583" s="100"/>
      <c r="B1583" s="100"/>
    </row>
    <row r="1584" spans="1:2">
      <c r="A1584" s="100"/>
      <c r="B1584" s="100"/>
    </row>
    <row r="1585" spans="1:2">
      <c r="A1585" s="100"/>
      <c r="B1585" s="100"/>
    </row>
    <row r="1586" spans="1:2">
      <c r="A1586" s="100"/>
      <c r="B1586" s="100"/>
    </row>
    <row r="1587" spans="1:2">
      <c r="A1587" s="100"/>
      <c r="B1587" s="100"/>
    </row>
    <row r="1588" spans="1:2">
      <c r="A1588" s="100"/>
      <c r="B1588" s="100"/>
    </row>
    <row r="1589" spans="1:2">
      <c r="A1589" s="100"/>
      <c r="B1589" s="100"/>
    </row>
    <row r="1590" spans="1:2">
      <c r="A1590" s="100"/>
      <c r="B1590" s="100"/>
    </row>
    <row r="1591" spans="1:2">
      <c r="A1591" s="100"/>
      <c r="B1591" s="100"/>
    </row>
    <row r="1592" spans="1:2">
      <c r="A1592" s="100"/>
      <c r="B1592" s="100"/>
    </row>
    <row r="1593" spans="1:2">
      <c r="A1593" s="100"/>
      <c r="B1593" s="100"/>
    </row>
    <row r="1594" spans="1:2">
      <c r="A1594" s="100"/>
      <c r="B1594" s="100"/>
    </row>
    <row r="1595" spans="1:2">
      <c r="A1595" s="100"/>
      <c r="B1595" s="100"/>
    </row>
    <row r="1596" spans="1:2">
      <c r="A1596" s="100"/>
      <c r="B1596" s="100"/>
    </row>
    <row r="1597" spans="1:2">
      <c r="A1597" s="100"/>
      <c r="B1597" s="100"/>
    </row>
    <row r="1598" spans="1:2">
      <c r="A1598" s="100"/>
      <c r="B1598" s="100"/>
    </row>
    <row r="1599" spans="1:2">
      <c r="A1599" s="100"/>
      <c r="B1599" s="100"/>
    </row>
    <row r="1600" spans="1:2">
      <c r="A1600" s="100"/>
      <c r="B1600" s="100"/>
    </row>
    <row r="1601" spans="1:2">
      <c r="A1601" s="100"/>
      <c r="B1601" s="100"/>
    </row>
    <row r="1602" spans="1:2">
      <c r="A1602" s="100"/>
      <c r="B1602" s="100"/>
    </row>
    <row r="1603" spans="1:2">
      <c r="A1603" s="100"/>
      <c r="B1603" s="100"/>
    </row>
    <row r="1604" spans="1:2">
      <c r="A1604" s="100"/>
      <c r="B1604" s="100"/>
    </row>
    <row r="1605" spans="1:2">
      <c r="A1605" s="100"/>
      <c r="B1605" s="100"/>
    </row>
    <row r="1606" spans="1:2">
      <c r="A1606" s="100"/>
      <c r="B1606" s="100"/>
    </row>
    <row r="1607" spans="1:2">
      <c r="A1607" s="100"/>
      <c r="B1607" s="100"/>
    </row>
    <row r="1608" spans="1:2">
      <c r="A1608" s="100"/>
      <c r="B1608" s="100"/>
    </row>
    <row r="1609" spans="1:2">
      <c r="A1609" s="100"/>
      <c r="B1609" s="100"/>
    </row>
    <row r="1610" spans="1:2">
      <c r="A1610" s="100"/>
      <c r="B1610" s="100"/>
    </row>
    <row r="1611" spans="1:2">
      <c r="A1611" s="100"/>
      <c r="B1611" s="100"/>
    </row>
    <row r="1612" spans="1:2">
      <c r="A1612" s="100"/>
      <c r="B1612" s="100"/>
    </row>
    <row r="1613" spans="1:2">
      <c r="A1613" s="100"/>
      <c r="B1613" s="100"/>
    </row>
    <row r="1614" spans="1:2">
      <c r="A1614" s="100"/>
      <c r="B1614" s="100"/>
    </row>
    <row r="1615" spans="1:2">
      <c r="A1615" s="100"/>
      <c r="B1615" s="100"/>
    </row>
    <row r="1616" spans="1:2">
      <c r="A1616" s="100"/>
      <c r="B1616" s="100"/>
    </row>
    <row r="1617" spans="1:2">
      <c r="A1617" s="100"/>
      <c r="B1617" s="100"/>
    </row>
    <row r="1618" spans="1:2">
      <c r="A1618" s="100"/>
      <c r="B1618" s="100"/>
    </row>
    <row r="1619" spans="1:2">
      <c r="A1619" s="100"/>
      <c r="B1619" s="100"/>
    </row>
    <row r="1620" spans="1:2">
      <c r="A1620" s="100"/>
      <c r="B1620" s="100"/>
    </row>
    <row r="1621" spans="1:2">
      <c r="A1621" s="100"/>
      <c r="B1621" s="100"/>
    </row>
    <row r="1622" spans="1:2">
      <c r="A1622" s="100"/>
      <c r="B1622" s="100"/>
    </row>
    <row r="1623" spans="1:2">
      <c r="A1623" s="100"/>
      <c r="B1623" s="100"/>
    </row>
    <row r="1624" spans="1:2">
      <c r="A1624" s="100"/>
      <c r="B1624" s="100"/>
    </row>
    <row r="1625" spans="1:2">
      <c r="A1625" s="100"/>
      <c r="B1625" s="100"/>
    </row>
    <row r="1626" spans="1:2">
      <c r="A1626" s="100"/>
      <c r="B1626" s="100"/>
    </row>
    <row r="1627" spans="1:2">
      <c r="A1627" s="100"/>
      <c r="B1627" s="100"/>
    </row>
    <row r="1628" spans="1:2">
      <c r="A1628" s="100"/>
      <c r="B1628" s="100"/>
    </row>
    <row r="1629" spans="1:2">
      <c r="A1629" s="100"/>
      <c r="B1629" s="100"/>
    </row>
    <row r="1630" spans="1:2">
      <c r="A1630" s="100"/>
      <c r="B1630" s="100"/>
    </row>
    <row r="1631" spans="1:2">
      <c r="A1631" s="100"/>
      <c r="B1631" s="100"/>
    </row>
    <row r="1632" spans="1:2">
      <c r="A1632" s="100"/>
      <c r="B1632" s="100"/>
    </row>
    <row r="1633" spans="1:2">
      <c r="A1633" s="100"/>
      <c r="B1633" s="100"/>
    </row>
    <row r="1634" spans="1:2">
      <c r="A1634" s="100"/>
      <c r="B1634" s="100"/>
    </row>
    <row r="1635" spans="1:2">
      <c r="A1635" s="100"/>
      <c r="B1635" s="100"/>
    </row>
    <row r="1636" spans="1:2">
      <c r="A1636" s="100"/>
      <c r="B1636" s="100"/>
    </row>
    <row r="1637" spans="1:2">
      <c r="A1637" s="100"/>
      <c r="B1637" s="100"/>
    </row>
    <row r="1638" spans="1:2">
      <c r="A1638" s="100"/>
      <c r="B1638" s="100"/>
    </row>
    <row r="1639" spans="1:2">
      <c r="A1639" s="100"/>
      <c r="B1639" s="100"/>
    </row>
    <row r="1640" spans="1:2">
      <c r="A1640" s="100"/>
      <c r="B1640" s="100"/>
    </row>
    <row r="1641" spans="1:2">
      <c r="A1641" s="100"/>
      <c r="B1641" s="100"/>
    </row>
    <row r="1642" spans="1:2">
      <c r="A1642" s="100"/>
      <c r="B1642" s="100"/>
    </row>
    <row r="1643" spans="1:2">
      <c r="A1643" s="100"/>
      <c r="B1643" s="100"/>
    </row>
    <row r="1644" spans="1:2">
      <c r="A1644" s="100"/>
      <c r="B1644" s="100"/>
    </row>
    <row r="1645" spans="1:2">
      <c r="A1645" s="100"/>
      <c r="B1645" s="100"/>
    </row>
    <row r="1646" spans="1:2">
      <c r="A1646" s="100"/>
      <c r="B1646" s="100"/>
    </row>
    <row r="1647" spans="1:2">
      <c r="A1647" s="100"/>
      <c r="B1647" s="100"/>
    </row>
    <row r="1648" spans="1:2">
      <c r="A1648" s="100"/>
      <c r="B1648" s="100"/>
    </row>
    <row r="1649" spans="1:2">
      <c r="A1649" s="100"/>
      <c r="B1649" s="100"/>
    </row>
    <row r="1650" spans="1:2">
      <c r="A1650" s="100"/>
      <c r="B1650" s="100"/>
    </row>
    <row r="1651" spans="1:2">
      <c r="A1651" s="100"/>
      <c r="B1651" s="100"/>
    </row>
    <row r="1652" spans="1:2">
      <c r="A1652" s="100"/>
      <c r="B1652" s="100"/>
    </row>
    <row r="1653" spans="1:2">
      <c r="A1653" s="100"/>
      <c r="B1653" s="100"/>
    </row>
    <row r="1654" spans="1:2">
      <c r="A1654" s="100"/>
      <c r="B1654" s="100"/>
    </row>
    <row r="1655" spans="1:2">
      <c r="A1655" s="100"/>
      <c r="B1655" s="100"/>
    </row>
    <row r="1656" spans="1:2">
      <c r="A1656" s="100"/>
      <c r="B1656" s="100"/>
    </row>
    <row r="1657" spans="1:2">
      <c r="A1657" s="100"/>
      <c r="B1657" s="100"/>
    </row>
    <row r="1658" spans="1:2">
      <c r="A1658" s="100"/>
      <c r="B1658" s="100"/>
    </row>
    <row r="1659" spans="1:2">
      <c r="A1659" s="100"/>
      <c r="B1659" s="100"/>
    </row>
    <row r="1660" spans="1:2">
      <c r="A1660" s="100"/>
      <c r="B1660" s="100"/>
    </row>
    <row r="1661" spans="1:2">
      <c r="A1661" s="100"/>
      <c r="B1661" s="100"/>
    </row>
    <row r="1662" spans="1:2">
      <c r="A1662" s="100"/>
      <c r="B1662" s="100"/>
    </row>
    <row r="1663" spans="1:2">
      <c r="A1663" s="100"/>
      <c r="B1663" s="100"/>
    </row>
    <row r="1664" spans="1:2">
      <c r="A1664" s="100"/>
      <c r="B1664" s="100"/>
    </row>
    <row r="1665" spans="1:2">
      <c r="A1665" s="100"/>
      <c r="B1665" s="100"/>
    </row>
    <row r="1666" spans="1:2">
      <c r="A1666" s="100"/>
      <c r="B1666" s="100"/>
    </row>
    <row r="1667" spans="1:2">
      <c r="A1667" s="100"/>
      <c r="B1667" s="100"/>
    </row>
    <row r="1668" spans="1:2">
      <c r="A1668" s="100"/>
      <c r="B1668" s="100"/>
    </row>
    <row r="1669" spans="1:2">
      <c r="A1669" s="100"/>
      <c r="B1669" s="100"/>
    </row>
    <row r="1670" spans="1:2">
      <c r="A1670" s="100"/>
      <c r="B1670" s="100"/>
    </row>
    <row r="1671" spans="1:2">
      <c r="A1671" s="100"/>
      <c r="B1671" s="100"/>
    </row>
    <row r="1672" spans="1:2">
      <c r="A1672" s="100"/>
      <c r="B1672" s="100"/>
    </row>
    <row r="1673" spans="1:2">
      <c r="A1673" s="100"/>
      <c r="B1673" s="100"/>
    </row>
    <row r="1674" spans="1:2">
      <c r="A1674" s="100"/>
      <c r="B1674" s="100"/>
    </row>
    <row r="1675" spans="1:2">
      <c r="A1675" s="100"/>
      <c r="B1675" s="100"/>
    </row>
    <row r="1676" spans="1:2">
      <c r="A1676" s="100"/>
      <c r="B1676" s="100"/>
    </row>
    <row r="1677" spans="1:2">
      <c r="A1677" s="100"/>
      <c r="B1677" s="100"/>
    </row>
    <row r="1678" spans="1:2">
      <c r="A1678" s="100"/>
      <c r="B1678" s="100"/>
    </row>
    <row r="1679" spans="1:2">
      <c r="A1679" s="100"/>
      <c r="B1679" s="100"/>
    </row>
    <row r="1680" spans="1:2">
      <c r="A1680" s="100"/>
      <c r="B1680" s="100"/>
    </row>
    <row r="1681" spans="1:2">
      <c r="A1681" s="100"/>
      <c r="B1681" s="100"/>
    </row>
    <row r="1682" spans="1:2">
      <c r="A1682" s="100"/>
      <c r="B1682" s="100"/>
    </row>
    <row r="1683" spans="1:2">
      <c r="A1683" s="100"/>
      <c r="B1683" s="100"/>
    </row>
    <row r="1684" spans="1:2">
      <c r="A1684" s="100"/>
      <c r="B1684" s="100"/>
    </row>
    <row r="1685" spans="1:2">
      <c r="A1685" s="100"/>
      <c r="B1685" s="100"/>
    </row>
    <row r="1686" spans="1:2">
      <c r="A1686" s="100"/>
      <c r="B1686" s="100"/>
    </row>
    <row r="1687" spans="1:2">
      <c r="A1687" s="100"/>
      <c r="B1687" s="100"/>
    </row>
    <row r="1688" spans="1:2">
      <c r="A1688" s="100"/>
      <c r="B1688" s="100"/>
    </row>
    <row r="1689" spans="1:2">
      <c r="A1689" s="100"/>
      <c r="B1689" s="100"/>
    </row>
    <row r="1690" spans="1:2">
      <c r="A1690" s="100"/>
      <c r="B1690" s="100"/>
    </row>
    <row r="1691" spans="1:2">
      <c r="A1691" s="100"/>
      <c r="B1691" s="100"/>
    </row>
    <row r="1692" spans="1:2">
      <c r="A1692" s="100"/>
      <c r="B1692" s="100"/>
    </row>
    <row r="1693" spans="1:2">
      <c r="A1693" s="100"/>
      <c r="B1693" s="100"/>
    </row>
    <row r="1694" spans="1:2">
      <c r="A1694" s="100"/>
      <c r="B1694" s="100"/>
    </row>
    <row r="1695" spans="1:2">
      <c r="A1695" s="100"/>
      <c r="B1695" s="100"/>
    </row>
    <row r="1696" spans="1:2">
      <c r="A1696" s="100"/>
      <c r="B1696" s="100"/>
    </row>
    <row r="1697" spans="1:2">
      <c r="A1697" s="100"/>
      <c r="B1697" s="100"/>
    </row>
    <row r="1698" spans="1:2">
      <c r="A1698" s="100"/>
      <c r="B1698" s="100"/>
    </row>
    <row r="1699" spans="1:2">
      <c r="A1699" s="100"/>
      <c r="B1699" s="100"/>
    </row>
    <row r="1700" spans="1:2">
      <c r="A1700" s="100"/>
      <c r="B1700" s="100"/>
    </row>
    <row r="1701" spans="1:2">
      <c r="A1701" s="100"/>
      <c r="B1701" s="100"/>
    </row>
    <row r="1702" spans="1:2">
      <c r="A1702" s="100"/>
      <c r="B1702" s="100"/>
    </row>
    <row r="1703" spans="1:2">
      <c r="A1703" s="100"/>
      <c r="B1703" s="100"/>
    </row>
    <row r="1704" spans="1:2">
      <c r="A1704" s="100"/>
      <c r="B1704" s="100"/>
    </row>
    <row r="1705" spans="1:2">
      <c r="A1705" s="100"/>
      <c r="B1705" s="100"/>
    </row>
    <row r="1706" spans="1:2">
      <c r="A1706" s="100"/>
      <c r="B1706" s="100"/>
    </row>
    <row r="1707" spans="1:2">
      <c r="A1707" s="100"/>
      <c r="B1707" s="100"/>
    </row>
    <row r="1708" spans="1:2">
      <c r="A1708" s="100"/>
      <c r="B1708" s="100"/>
    </row>
    <row r="1709" spans="1:2">
      <c r="A1709" s="100"/>
      <c r="B1709" s="100"/>
    </row>
    <row r="1710" spans="1:2">
      <c r="A1710" s="100"/>
      <c r="B1710" s="100"/>
    </row>
    <row r="1711" spans="1:2">
      <c r="A1711" s="100"/>
      <c r="B1711" s="100"/>
    </row>
    <row r="1712" spans="1:2">
      <c r="A1712" s="100"/>
      <c r="B1712" s="100"/>
    </row>
    <row r="1713" spans="1:2">
      <c r="A1713" s="100"/>
      <c r="B1713" s="100"/>
    </row>
    <row r="1714" spans="1:2">
      <c r="A1714" s="100"/>
      <c r="B1714" s="100"/>
    </row>
    <row r="1715" spans="1:2">
      <c r="A1715" s="100"/>
      <c r="B1715" s="100"/>
    </row>
    <row r="1716" spans="1:2">
      <c r="A1716" s="100"/>
      <c r="B1716" s="100"/>
    </row>
    <row r="1717" spans="1:2">
      <c r="A1717" s="100"/>
      <c r="B1717" s="100"/>
    </row>
    <row r="1718" spans="1:2">
      <c r="A1718" s="100"/>
      <c r="B1718" s="100"/>
    </row>
    <row r="1719" spans="1:2">
      <c r="A1719" s="100"/>
      <c r="B1719" s="100"/>
    </row>
    <row r="1720" spans="1:2">
      <c r="A1720" s="100"/>
      <c r="B1720" s="100"/>
    </row>
    <row r="1721" spans="1:2">
      <c r="A1721" s="100"/>
      <c r="B1721" s="100"/>
    </row>
    <row r="1722" spans="1:2">
      <c r="A1722" s="100"/>
      <c r="B1722" s="100"/>
    </row>
    <row r="1723" spans="1:2">
      <c r="A1723" s="100"/>
      <c r="B1723" s="100"/>
    </row>
    <row r="1724" spans="1:2">
      <c r="A1724" s="100"/>
      <c r="B1724" s="100"/>
    </row>
    <row r="1725" spans="1:2">
      <c r="A1725" s="100"/>
      <c r="B1725" s="100"/>
    </row>
    <row r="1726" spans="1:2">
      <c r="A1726" s="100"/>
      <c r="B1726" s="100"/>
    </row>
    <row r="1727" spans="1:2">
      <c r="A1727" s="100"/>
      <c r="B1727" s="100"/>
    </row>
    <row r="1728" spans="1:2">
      <c r="A1728" s="100"/>
      <c r="B1728" s="100"/>
    </row>
    <row r="1729" spans="1:2">
      <c r="A1729" s="100"/>
      <c r="B1729" s="100"/>
    </row>
    <row r="1730" spans="1:2">
      <c r="A1730" s="100"/>
      <c r="B1730" s="100"/>
    </row>
    <row r="1731" spans="1:2">
      <c r="A1731" s="100"/>
      <c r="B1731" s="100"/>
    </row>
    <row r="1732" spans="1:2">
      <c r="A1732" s="100"/>
      <c r="B1732" s="100"/>
    </row>
    <row r="1733" spans="1:2">
      <c r="A1733" s="100"/>
      <c r="B1733" s="100"/>
    </row>
    <row r="1734" spans="1:2">
      <c r="A1734" s="100"/>
      <c r="B1734" s="100"/>
    </row>
    <row r="1735" spans="1:2">
      <c r="A1735" s="100"/>
      <c r="B1735" s="100"/>
    </row>
    <row r="1736" spans="1:2">
      <c r="A1736" s="100"/>
      <c r="B1736" s="100"/>
    </row>
    <row r="1737" spans="1:2">
      <c r="A1737" s="100"/>
      <c r="B1737" s="100"/>
    </row>
    <row r="1738" spans="1:2">
      <c r="A1738" s="100"/>
      <c r="B1738" s="100"/>
    </row>
    <row r="1739" spans="1:2">
      <c r="A1739" s="100"/>
      <c r="B1739" s="100"/>
    </row>
    <row r="1740" spans="1:2">
      <c r="A1740" s="100"/>
      <c r="B1740" s="100"/>
    </row>
    <row r="1741" spans="1:2">
      <c r="A1741" s="100"/>
      <c r="B1741" s="100"/>
    </row>
    <row r="1742" spans="1:2">
      <c r="A1742" s="100"/>
      <c r="B1742" s="100"/>
    </row>
    <row r="1743" spans="1:2">
      <c r="A1743" s="100"/>
      <c r="B1743" s="100"/>
    </row>
    <row r="1744" spans="1:2">
      <c r="A1744" s="100"/>
      <c r="B1744" s="100"/>
    </row>
    <row r="1745" spans="1:2">
      <c r="A1745" s="100"/>
      <c r="B1745" s="100"/>
    </row>
    <row r="1746" spans="1:2">
      <c r="A1746" s="100"/>
      <c r="B1746" s="100"/>
    </row>
    <row r="1747" spans="1:2">
      <c r="A1747" s="100"/>
      <c r="B1747" s="100"/>
    </row>
    <row r="1748" spans="1:2">
      <c r="A1748" s="100"/>
      <c r="B1748" s="100"/>
    </row>
    <row r="1749" spans="1:2">
      <c r="A1749" s="100"/>
      <c r="B1749" s="100"/>
    </row>
    <row r="1750" spans="1:2">
      <c r="A1750" s="100"/>
      <c r="B1750" s="100"/>
    </row>
    <row r="1751" spans="1:2">
      <c r="A1751" s="100"/>
      <c r="B1751" s="100"/>
    </row>
    <row r="1752" spans="1:2">
      <c r="A1752" s="100"/>
      <c r="B1752" s="100"/>
    </row>
    <row r="1753" spans="1:2">
      <c r="A1753" s="100"/>
      <c r="B1753" s="100"/>
    </row>
    <row r="1754" spans="1:2">
      <c r="A1754" s="100"/>
      <c r="B1754" s="100"/>
    </row>
    <row r="1755" spans="1:2">
      <c r="A1755" s="100"/>
      <c r="B1755" s="100"/>
    </row>
    <row r="1756" spans="1:2">
      <c r="A1756" s="100"/>
      <c r="B1756" s="100"/>
    </row>
    <row r="1757" spans="1:2">
      <c r="A1757" s="100"/>
      <c r="B1757" s="100"/>
    </row>
    <row r="1758" spans="1:2">
      <c r="A1758" s="100"/>
      <c r="B1758" s="100"/>
    </row>
    <row r="1759" spans="1:2">
      <c r="A1759" s="100"/>
      <c r="B1759" s="100"/>
    </row>
    <row r="1760" spans="1:2">
      <c r="A1760" s="100"/>
      <c r="B1760" s="100"/>
    </row>
    <row r="1761" spans="1:2">
      <c r="A1761" s="100"/>
      <c r="B1761" s="100"/>
    </row>
    <row r="1762" spans="1:2">
      <c r="A1762" s="100"/>
      <c r="B1762" s="100"/>
    </row>
    <row r="1763" spans="1:2">
      <c r="A1763" s="100"/>
      <c r="B1763" s="100"/>
    </row>
    <row r="1764" spans="1:2">
      <c r="A1764" s="100"/>
      <c r="B1764" s="100"/>
    </row>
    <row r="1765" spans="1:2">
      <c r="A1765" s="100"/>
      <c r="B1765" s="100"/>
    </row>
    <row r="1766" spans="1:2">
      <c r="A1766" s="100"/>
      <c r="B1766" s="100"/>
    </row>
    <row r="1767" spans="1:2">
      <c r="A1767" s="100"/>
      <c r="B1767" s="100"/>
    </row>
    <row r="1768" spans="1:2">
      <c r="A1768" s="100"/>
      <c r="B1768" s="100"/>
    </row>
    <row r="1769" spans="1:2">
      <c r="A1769" s="100"/>
      <c r="B1769" s="100"/>
    </row>
    <row r="1770" spans="1:2">
      <c r="A1770" s="100"/>
      <c r="B1770" s="100"/>
    </row>
    <row r="1771" spans="1:2">
      <c r="A1771" s="100"/>
      <c r="B1771" s="100"/>
    </row>
    <row r="1772" spans="1:2">
      <c r="A1772" s="100"/>
      <c r="B1772" s="100"/>
    </row>
    <row r="1773" spans="1:2">
      <c r="A1773" s="100"/>
      <c r="B1773" s="100"/>
    </row>
    <row r="1774" spans="1:2">
      <c r="A1774" s="100"/>
      <c r="B1774" s="100"/>
    </row>
    <row r="1775" spans="1:2">
      <c r="A1775" s="100"/>
      <c r="B1775" s="100"/>
    </row>
    <row r="1776" spans="1:2">
      <c r="A1776" s="100"/>
      <c r="B1776" s="100"/>
    </row>
    <row r="1777" spans="1:2">
      <c r="A1777" s="100"/>
      <c r="B1777" s="100"/>
    </row>
    <row r="1778" spans="1:2">
      <c r="A1778" s="100"/>
      <c r="B1778" s="100"/>
    </row>
    <row r="1779" spans="1:2">
      <c r="A1779" s="100"/>
      <c r="B1779" s="100"/>
    </row>
    <row r="1780" spans="1:2">
      <c r="A1780" s="100"/>
      <c r="B1780" s="100"/>
    </row>
    <row r="1781" spans="1:2">
      <c r="A1781" s="100"/>
      <c r="B1781" s="100"/>
    </row>
    <row r="1782" spans="1:2">
      <c r="A1782" s="100"/>
      <c r="B1782" s="100"/>
    </row>
    <row r="1783" spans="1:2">
      <c r="A1783" s="100"/>
      <c r="B1783" s="100"/>
    </row>
    <row r="1784" spans="1:2">
      <c r="A1784" s="100"/>
      <c r="B1784" s="100"/>
    </row>
    <row r="1785" spans="1:2">
      <c r="A1785" s="100"/>
      <c r="B1785" s="100"/>
    </row>
    <row r="1786" spans="1:2">
      <c r="A1786" s="100"/>
      <c r="B1786" s="100"/>
    </row>
    <row r="1787" spans="1:2">
      <c r="A1787" s="100"/>
      <c r="B1787" s="100"/>
    </row>
    <row r="1788" spans="1:2">
      <c r="A1788" s="100"/>
      <c r="B1788" s="100"/>
    </row>
    <row r="1789" spans="1:2">
      <c r="A1789" s="100"/>
      <c r="B1789" s="100"/>
    </row>
    <row r="1790" spans="1:2">
      <c r="A1790" s="100"/>
      <c r="B1790" s="100"/>
    </row>
    <row r="1791" spans="1:2">
      <c r="A1791" s="100"/>
      <c r="B1791" s="100"/>
    </row>
    <row r="1792" spans="1:2">
      <c r="A1792" s="100"/>
      <c r="B1792" s="100"/>
    </row>
    <row r="1793" spans="1:2">
      <c r="A1793" s="100"/>
      <c r="B1793" s="100"/>
    </row>
    <row r="1794" spans="1:2">
      <c r="A1794" s="100"/>
      <c r="B1794" s="100"/>
    </row>
    <row r="1795" spans="1:2">
      <c r="A1795" s="100"/>
      <c r="B1795" s="100"/>
    </row>
    <row r="1796" spans="1:2">
      <c r="A1796" s="100"/>
      <c r="B1796" s="100"/>
    </row>
    <row r="1797" spans="1:2">
      <c r="A1797" s="100"/>
      <c r="B1797" s="100"/>
    </row>
    <row r="1798" spans="1:2">
      <c r="A1798" s="100"/>
      <c r="B1798" s="100"/>
    </row>
    <row r="1799" spans="1:2">
      <c r="A1799" s="100"/>
      <c r="B1799" s="100"/>
    </row>
    <row r="1800" spans="1:2">
      <c r="A1800" s="100"/>
      <c r="B1800" s="100"/>
    </row>
    <row r="1801" spans="1:2">
      <c r="A1801" s="100"/>
      <c r="B1801" s="100"/>
    </row>
    <row r="1802" spans="1:2">
      <c r="A1802" s="100"/>
      <c r="B1802" s="100"/>
    </row>
    <row r="1803" spans="1:2">
      <c r="A1803" s="100"/>
      <c r="B1803" s="100"/>
    </row>
    <row r="1804" spans="1:2">
      <c r="A1804" s="100"/>
      <c r="B1804" s="100"/>
    </row>
    <row r="1805" spans="1:2">
      <c r="A1805" s="100"/>
      <c r="B1805" s="100"/>
    </row>
    <row r="1806" spans="1:2">
      <c r="A1806" s="100"/>
      <c r="B1806" s="100"/>
    </row>
    <row r="1807" spans="1:2">
      <c r="A1807" s="100"/>
      <c r="B1807" s="100"/>
    </row>
    <row r="1808" spans="1:2">
      <c r="A1808" s="100"/>
      <c r="B1808" s="100"/>
    </row>
    <row r="1809" spans="1:2">
      <c r="A1809" s="100"/>
      <c r="B1809" s="100"/>
    </row>
    <row r="1810" spans="1:2">
      <c r="A1810" s="100"/>
      <c r="B1810" s="100"/>
    </row>
    <row r="1811" spans="1:2">
      <c r="A1811" s="100"/>
      <c r="B1811" s="100"/>
    </row>
    <row r="1812" spans="1:2">
      <c r="A1812" s="100"/>
      <c r="B1812" s="100"/>
    </row>
    <row r="1813" spans="1:2">
      <c r="A1813" s="100"/>
      <c r="B1813" s="100"/>
    </row>
    <row r="1814" spans="1:2">
      <c r="A1814" s="100"/>
      <c r="B1814" s="100"/>
    </row>
    <row r="1815" spans="1:2">
      <c r="A1815" s="100"/>
      <c r="B1815" s="100"/>
    </row>
    <row r="1816" spans="1:2">
      <c r="A1816" s="100"/>
      <c r="B1816" s="100"/>
    </row>
    <row r="1817" spans="1:2">
      <c r="A1817" s="100"/>
      <c r="B1817" s="100"/>
    </row>
    <row r="1818" spans="1:2">
      <c r="A1818" s="100"/>
      <c r="B1818" s="100"/>
    </row>
    <row r="1819" spans="1:2">
      <c r="A1819" s="100"/>
      <c r="B1819" s="100"/>
    </row>
    <row r="1820" spans="1:2">
      <c r="A1820" s="100"/>
      <c r="B1820" s="100"/>
    </row>
    <row r="1821" spans="1:2">
      <c r="A1821" s="100"/>
      <c r="B1821" s="100"/>
    </row>
    <row r="1822" spans="1:2">
      <c r="A1822" s="100"/>
      <c r="B1822" s="100"/>
    </row>
    <row r="1823" spans="1:2">
      <c r="A1823" s="100"/>
      <c r="B1823" s="100"/>
    </row>
    <row r="1824" spans="1:2">
      <c r="A1824" s="100"/>
      <c r="B1824" s="100"/>
    </row>
    <row r="1825" spans="1:2">
      <c r="A1825" s="100"/>
      <c r="B1825" s="100"/>
    </row>
    <row r="1826" spans="1:2">
      <c r="A1826" s="100"/>
      <c r="B1826" s="100"/>
    </row>
    <row r="1827" spans="1:2">
      <c r="A1827" s="100"/>
      <c r="B1827" s="100"/>
    </row>
    <row r="1828" spans="1:2">
      <c r="A1828" s="100"/>
      <c r="B1828" s="100"/>
    </row>
    <row r="1829" spans="1:2">
      <c r="A1829" s="100"/>
      <c r="B1829" s="100"/>
    </row>
    <row r="1830" spans="1:2">
      <c r="A1830" s="100"/>
      <c r="B1830" s="100"/>
    </row>
    <row r="1831" spans="1:2">
      <c r="A1831" s="100"/>
      <c r="B1831" s="100"/>
    </row>
    <row r="1832" spans="1:2">
      <c r="A1832" s="100"/>
      <c r="B1832" s="100"/>
    </row>
    <row r="1833" spans="1:2">
      <c r="A1833" s="100"/>
      <c r="B1833" s="100"/>
    </row>
    <row r="1834" spans="1:2">
      <c r="A1834" s="100"/>
      <c r="B1834" s="100"/>
    </row>
    <row r="1835" spans="1:2">
      <c r="A1835" s="100"/>
      <c r="B1835" s="100"/>
    </row>
    <row r="1836" spans="1:2">
      <c r="A1836" s="100"/>
      <c r="B1836" s="100"/>
    </row>
    <row r="1837" spans="1:2">
      <c r="A1837" s="100"/>
      <c r="B1837" s="100"/>
    </row>
    <row r="1838" spans="1:2">
      <c r="A1838" s="100"/>
      <c r="B1838" s="100"/>
    </row>
    <row r="1839" spans="1:2">
      <c r="A1839" s="100"/>
      <c r="B1839" s="100"/>
    </row>
    <row r="1840" spans="1:2">
      <c r="A1840" s="100"/>
      <c r="B1840" s="100"/>
    </row>
    <row r="1841" spans="1:2">
      <c r="A1841" s="100"/>
      <c r="B1841" s="100"/>
    </row>
    <row r="1842" spans="1:2">
      <c r="A1842" s="100"/>
      <c r="B1842" s="100"/>
    </row>
    <row r="1843" spans="1:2">
      <c r="A1843" s="100"/>
      <c r="B1843" s="100"/>
    </row>
    <row r="1844" spans="1:2">
      <c r="A1844" s="100"/>
      <c r="B1844" s="100"/>
    </row>
    <row r="1845" spans="1:2">
      <c r="A1845" s="100"/>
      <c r="B1845" s="100"/>
    </row>
    <row r="1846" spans="1:2">
      <c r="A1846" s="100"/>
      <c r="B1846" s="100"/>
    </row>
    <row r="1847" spans="1:2">
      <c r="A1847" s="100"/>
      <c r="B1847" s="100"/>
    </row>
    <row r="1848" spans="1:2">
      <c r="A1848" s="100"/>
      <c r="B1848" s="100"/>
    </row>
    <row r="1849" spans="1:2">
      <c r="A1849" s="100"/>
      <c r="B1849" s="100"/>
    </row>
    <row r="1850" spans="1:2">
      <c r="A1850" s="100"/>
      <c r="B1850" s="100"/>
    </row>
    <row r="1851" spans="1:2">
      <c r="A1851" s="100"/>
      <c r="B1851" s="100"/>
    </row>
    <row r="1852" spans="1:2">
      <c r="A1852" s="100"/>
      <c r="B1852" s="100"/>
    </row>
    <row r="1853" spans="1:2">
      <c r="A1853" s="100"/>
      <c r="B1853" s="100"/>
    </row>
    <row r="1854" spans="1:2">
      <c r="A1854" s="100"/>
      <c r="B1854" s="100"/>
    </row>
    <row r="1855" spans="1:2">
      <c r="A1855" s="100"/>
      <c r="B1855" s="100"/>
    </row>
    <row r="1856" spans="1:2">
      <c r="A1856" s="100"/>
      <c r="B1856" s="100"/>
    </row>
    <row r="1857" spans="1:2">
      <c r="A1857" s="100"/>
      <c r="B1857" s="100"/>
    </row>
    <row r="1858" spans="1:2">
      <c r="A1858" s="100"/>
      <c r="B1858" s="100"/>
    </row>
    <row r="1859" spans="1:2">
      <c r="A1859" s="100"/>
      <c r="B1859" s="100"/>
    </row>
    <row r="1860" spans="1:2">
      <c r="A1860" s="100"/>
      <c r="B1860" s="100"/>
    </row>
    <row r="1861" spans="1:2">
      <c r="A1861" s="100"/>
      <c r="B1861" s="100"/>
    </row>
    <row r="1862" spans="1:2">
      <c r="A1862" s="100"/>
      <c r="B1862" s="100"/>
    </row>
    <row r="1863" spans="1:2">
      <c r="A1863" s="100"/>
      <c r="B1863" s="100"/>
    </row>
    <row r="1864" spans="1:2">
      <c r="A1864" s="100"/>
      <c r="B1864" s="100"/>
    </row>
    <row r="1865" spans="1:2">
      <c r="A1865" s="100"/>
      <c r="B1865" s="100"/>
    </row>
    <row r="1866" spans="1:2">
      <c r="A1866" s="100"/>
      <c r="B1866" s="100"/>
    </row>
    <row r="1867" spans="1:2">
      <c r="A1867" s="100"/>
      <c r="B1867" s="100"/>
    </row>
    <row r="1868" spans="1:2">
      <c r="A1868" s="100"/>
      <c r="B1868" s="100"/>
    </row>
    <row r="1869" spans="1:2">
      <c r="A1869" s="100"/>
      <c r="B1869" s="100"/>
    </row>
    <row r="1870" spans="1:2">
      <c r="A1870" s="100"/>
      <c r="B1870" s="100"/>
    </row>
    <row r="1871" spans="1:2">
      <c r="A1871" s="100"/>
      <c r="B1871" s="100"/>
    </row>
    <row r="1872" spans="1:2">
      <c r="A1872" s="100"/>
      <c r="B1872" s="100"/>
    </row>
    <row r="1873" spans="1:2">
      <c r="A1873" s="100"/>
      <c r="B1873" s="100"/>
    </row>
    <row r="1874" spans="1:2">
      <c r="A1874" s="100"/>
      <c r="B1874" s="100"/>
    </row>
    <row r="1875" spans="1:2">
      <c r="A1875" s="100"/>
      <c r="B1875" s="100"/>
    </row>
    <row r="1876" spans="1:2">
      <c r="A1876" s="100"/>
      <c r="B1876" s="100"/>
    </row>
    <row r="1877" spans="1:2">
      <c r="A1877" s="100"/>
      <c r="B1877" s="100"/>
    </row>
    <row r="1878" spans="1:2">
      <c r="A1878" s="100"/>
      <c r="B1878" s="100"/>
    </row>
    <row r="1879" spans="1:2">
      <c r="A1879" s="100"/>
      <c r="B1879" s="100"/>
    </row>
    <row r="1880" spans="1:2">
      <c r="A1880" s="100"/>
      <c r="B1880" s="100"/>
    </row>
    <row r="1881" spans="1:2">
      <c r="A1881" s="100"/>
      <c r="B1881" s="100"/>
    </row>
    <row r="1882" spans="1:2">
      <c r="A1882" s="100"/>
      <c r="B1882" s="100"/>
    </row>
    <row r="1883" spans="1:2">
      <c r="A1883" s="100"/>
      <c r="B1883" s="100"/>
    </row>
    <row r="1884" spans="1:2">
      <c r="A1884" s="100"/>
      <c r="B1884" s="100"/>
    </row>
    <row r="1885" spans="1:2">
      <c r="A1885" s="100"/>
      <c r="B1885" s="100"/>
    </row>
    <row r="1886" spans="1:2">
      <c r="A1886" s="100"/>
      <c r="B1886" s="100"/>
    </row>
    <row r="1887" spans="1:2">
      <c r="A1887" s="100"/>
      <c r="B1887" s="100"/>
    </row>
    <row r="1888" spans="1:2">
      <c r="A1888" s="100"/>
      <c r="B1888" s="100"/>
    </row>
    <row r="1889" spans="1:2">
      <c r="A1889" s="100"/>
      <c r="B1889" s="100"/>
    </row>
    <row r="1890" spans="1:2">
      <c r="A1890" s="100"/>
      <c r="B1890" s="100"/>
    </row>
    <row r="1891" spans="1:2">
      <c r="A1891" s="100"/>
      <c r="B1891" s="100"/>
    </row>
    <row r="1892" spans="1:2">
      <c r="A1892" s="100"/>
      <c r="B1892" s="100"/>
    </row>
    <row r="1893" spans="1:2">
      <c r="A1893" s="100"/>
      <c r="B1893" s="100"/>
    </row>
    <row r="1894" spans="1:2">
      <c r="A1894" s="100"/>
      <c r="B1894" s="100"/>
    </row>
    <row r="1895" spans="1:2">
      <c r="A1895" s="100"/>
      <c r="B1895" s="100"/>
    </row>
    <row r="1896" spans="1:2">
      <c r="A1896" s="100"/>
      <c r="B1896" s="100"/>
    </row>
    <row r="1897" spans="1:2">
      <c r="A1897" s="100"/>
      <c r="B1897" s="100"/>
    </row>
    <row r="1898" spans="1:2">
      <c r="A1898" s="100"/>
      <c r="B1898" s="100"/>
    </row>
    <row r="1899" spans="1:2">
      <c r="A1899" s="100"/>
      <c r="B1899" s="100"/>
    </row>
    <row r="1900" spans="1:2">
      <c r="A1900" s="100"/>
      <c r="B1900" s="100"/>
    </row>
    <row r="1901" spans="1:2">
      <c r="A1901" s="100"/>
      <c r="B1901" s="100"/>
    </row>
    <row r="1902" spans="1:2">
      <c r="A1902" s="100"/>
      <c r="B1902" s="100"/>
    </row>
    <row r="1903" spans="1:2">
      <c r="A1903" s="100"/>
      <c r="B1903" s="100"/>
    </row>
    <row r="1904" spans="1:2">
      <c r="A1904" s="100"/>
      <c r="B1904" s="100"/>
    </row>
    <row r="1905" spans="1:2">
      <c r="A1905" s="100"/>
      <c r="B1905" s="100"/>
    </row>
    <row r="1906" spans="1:2">
      <c r="A1906" s="100"/>
      <c r="B1906" s="100"/>
    </row>
    <row r="1907" spans="1:2">
      <c r="A1907" s="100"/>
      <c r="B1907" s="100"/>
    </row>
    <row r="1908" spans="1:2">
      <c r="A1908" s="100"/>
      <c r="B1908" s="100"/>
    </row>
    <row r="1909" spans="1:2">
      <c r="A1909" s="100"/>
      <c r="B1909" s="100"/>
    </row>
    <row r="1910" spans="1:2">
      <c r="A1910" s="100"/>
      <c r="B1910" s="100"/>
    </row>
    <row r="1911" spans="1:2">
      <c r="A1911" s="100"/>
      <c r="B1911" s="100"/>
    </row>
    <row r="1912" spans="1:2">
      <c r="A1912" s="100"/>
      <c r="B1912" s="100"/>
    </row>
    <row r="1913" spans="1:2">
      <c r="A1913" s="100"/>
      <c r="B1913" s="100"/>
    </row>
    <row r="1914" spans="1:2">
      <c r="A1914" s="100"/>
      <c r="B1914" s="100"/>
    </row>
    <row r="1915" spans="1:2">
      <c r="A1915" s="100"/>
      <c r="B1915" s="100"/>
    </row>
    <row r="1916" spans="1:2">
      <c r="A1916" s="100"/>
      <c r="B1916" s="100"/>
    </row>
    <row r="1917" spans="1:2">
      <c r="A1917" s="100"/>
      <c r="B1917" s="100"/>
    </row>
    <row r="1918" spans="1:2">
      <c r="A1918" s="100"/>
      <c r="B1918" s="100"/>
    </row>
    <row r="1919" spans="1:2">
      <c r="A1919" s="100"/>
      <c r="B1919" s="100"/>
    </row>
    <row r="1920" spans="1:2">
      <c r="A1920" s="100"/>
      <c r="B1920" s="100"/>
    </row>
    <row r="1921" spans="1:2">
      <c r="A1921" s="100"/>
      <c r="B1921" s="100"/>
    </row>
    <row r="1922" spans="1:2">
      <c r="A1922" s="100"/>
      <c r="B1922" s="100"/>
    </row>
    <row r="1923" spans="1:2">
      <c r="A1923" s="100"/>
      <c r="B1923" s="100"/>
    </row>
    <row r="1924" spans="1:2">
      <c r="A1924" s="100"/>
      <c r="B1924" s="100"/>
    </row>
    <row r="1925" spans="1:2">
      <c r="A1925" s="100"/>
      <c r="B1925" s="100"/>
    </row>
    <row r="1926" spans="1:2">
      <c r="A1926" s="100"/>
      <c r="B1926" s="100"/>
    </row>
    <row r="1927" spans="1:2">
      <c r="A1927" s="100"/>
      <c r="B1927" s="100"/>
    </row>
    <row r="1928" spans="1:2">
      <c r="A1928" s="100"/>
      <c r="B1928" s="100"/>
    </row>
    <row r="1929" spans="1:2">
      <c r="A1929" s="100"/>
      <c r="B1929" s="100"/>
    </row>
    <row r="1930" spans="1:2">
      <c r="A1930" s="100"/>
      <c r="B1930" s="100"/>
    </row>
    <row r="1931" spans="1:2">
      <c r="A1931" s="100"/>
      <c r="B1931" s="100"/>
    </row>
    <row r="1932" spans="1:2">
      <c r="A1932" s="100"/>
      <c r="B1932" s="100"/>
    </row>
    <row r="1933" spans="1:2">
      <c r="A1933" s="100"/>
      <c r="B1933" s="100"/>
    </row>
    <row r="1934" spans="1:2">
      <c r="A1934" s="100"/>
      <c r="B1934" s="100"/>
    </row>
    <row r="1935" spans="1:2">
      <c r="A1935" s="100"/>
      <c r="B1935" s="100"/>
    </row>
    <row r="1936" spans="1:2">
      <c r="A1936" s="100"/>
      <c r="B1936" s="100"/>
    </row>
    <row r="1937" spans="1:2">
      <c r="A1937" s="100"/>
      <c r="B1937" s="100"/>
    </row>
    <row r="1938" spans="1:2">
      <c r="A1938" s="100"/>
      <c r="B1938" s="100"/>
    </row>
    <row r="1939" spans="1:2">
      <c r="A1939" s="100"/>
      <c r="B1939" s="100"/>
    </row>
    <row r="1940" spans="1:2">
      <c r="A1940" s="100"/>
      <c r="B1940" s="100"/>
    </row>
    <row r="1941" spans="1:2">
      <c r="A1941" s="100"/>
      <c r="B1941" s="100"/>
    </row>
    <row r="1942" spans="1:2">
      <c r="A1942" s="100"/>
      <c r="B1942" s="100"/>
    </row>
    <row r="1943" spans="1:2">
      <c r="A1943" s="100"/>
      <c r="B1943" s="100"/>
    </row>
    <row r="1944" spans="1:2">
      <c r="A1944" s="100"/>
      <c r="B1944" s="100"/>
    </row>
    <row r="1945" spans="1:2">
      <c r="A1945" s="100"/>
      <c r="B1945" s="100"/>
    </row>
    <row r="1946" spans="1:2">
      <c r="A1946" s="100"/>
      <c r="B1946" s="100"/>
    </row>
    <row r="1947" spans="1:2">
      <c r="A1947" s="100"/>
      <c r="B1947" s="100"/>
    </row>
    <row r="1948" spans="1:2">
      <c r="A1948" s="100"/>
      <c r="B1948" s="100"/>
    </row>
    <row r="1949" spans="1:2">
      <c r="A1949" s="100"/>
      <c r="B1949" s="100"/>
    </row>
    <row r="1950" spans="1:2">
      <c r="A1950" s="100"/>
      <c r="B1950" s="100"/>
    </row>
    <row r="1951" spans="1:2">
      <c r="A1951" s="100"/>
      <c r="B1951" s="100"/>
    </row>
    <row r="1952" spans="1:2">
      <c r="A1952" s="100"/>
      <c r="B1952" s="100"/>
    </row>
    <row r="1953" spans="1:2">
      <c r="A1953" s="100"/>
      <c r="B1953" s="100"/>
    </row>
    <row r="1954" spans="1:2">
      <c r="A1954" s="100"/>
      <c r="B1954" s="100"/>
    </row>
    <row r="1955" spans="1:2">
      <c r="A1955" s="100"/>
      <c r="B1955" s="100"/>
    </row>
    <row r="1956" spans="1:2">
      <c r="A1956" s="100"/>
      <c r="B1956" s="100"/>
    </row>
    <row r="1957" spans="1:2">
      <c r="A1957" s="100"/>
      <c r="B1957" s="100"/>
    </row>
    <row r="1958" spans="1:2">
      <c r="A1958" s="100"/>
      <c r="B1958" s="100"/>
    </row>
    <row r="1959" spans="1:2">
      <c r="A1959" s="100"/>
      <c r="B1959" s="100"/>
    </row>
    <row r="1960" spans="1:2">
      <c r="A1960" s="100"/>
      <c r="B1960" s="100"/>
    </row>
    <row r="1961" spans="1:2">
      <c r="A1961" s="100"/>
      <c r="B1961" s="100"/>
    </row>
    <row r="1962" spans="1:2">
      <c r="A1962" s="100"/>
      <c r="B1962" s="100"/>
    </row>
    <row r="1963" spans="1:2">
      <c r="A1963" s="100"/>
      <c r="B1963" s="100"/>
    </row>
    <row r="1964" spans="1:2">
      <c r="A1964" s="100"/>
      <c r="B1964" s="100"/>
    </row>
    <row r="1965" spans="1:2">
      <c r="A1965" s="100"/>
      <c r="B1965" s="100"/>
    </row>
    <row r="1966" spans="1:2">
      <c r="A1966" s="100"/>
      <c r="B1966" s="100"/>
    </row>
    <row r="1967" spans="1:2">
      <c r="A1967" s="100"/>
      <c r="B1967" s="100"/>
    </row>
    <row r="1968" spans="1:2">
      <c r="A1968" s="100"/>
      <c r="B1968" s="100"/>
    </row>
    <row r="1969" spans="1:2">
      <c r="A1969" s="100"/>
      <c r="B1969" s="100"/>
    </row>
    <row r="1970" spans="1:2">
      <c r="A1970" s="100"/>
      <c r="B1970" s="100"/>
    </row>
    <row r="1971" spans="1:2">
      <c r="A1971" s="100"/>
      <c r="B1971" s="100"/>
    </row>
    <row r="1972" spans="1:2">
      <c r="A1972" s="100"/>
      <c r="B1972" s="100"/>
    </row>
    <row r="1973" spans="1:2">
      <c r="A1973" s="100"/>
      <c r="B1973" s="100"/>
    </row>
    <row r="1974" spans="1:2">
      <c r="A1974" s="100"/>
      <c r="B1974" s="100"/>
    </row>
    <row r="1975" spans="1:2">
      <c r="A1975" s="100"/>
      <c r="B1975" s="100"/>
    </row>
    <row r="1976" spans="1:2">
      <c r="A1976" s="100"/>
      <c r="B1976" s="100"/>
    </row>
    <row r="1977" spans="1:2">
      <c r="A1977" s="100"/>
      <c r="B1977" s="100"/>
    </row>
    <row r="1978" spans="1:2">
      <c r="A1978" s="100"/>
      <c r="B1978" s="100"/>
    </row>
    <row r="1979" spans="1:2">
      <c r="A1979" s="100"/>
      <c r="B1979" s="100"/>
    </row>
    <row r="1980" spans="1:2">
      <c r="A1980" s="100"/>
      <c r="B1980" s="100"/>
    </row>
    <row r="1981" spans="1:2">
      <c r="A1981" s="100"/>
      <c r="B1981" s="100"/>
    </row>
    <row r="1982" spans="1:2">
      <c r="A1982" s="100"/>
      <c r="B1982" s="100"/>
    </row>
    <row r="1983" spans="1:2">
      <c r="A1983" s="100"/>
      <c r="B1983" s="100"/>
    </row>
    <row r="1984" spans="1:2">
      <c r="A1984" s="100"/>
      <c r="B1984" s="100"/>
    </row>
    <row r="1985" spans="1:2">
      <c r="A1985" s="100"/>
      <c r="B1985" s="100"/>
    </row>
    <row r="1986" spans="1:2">
      <c r="A1986" s="100"/>
      <c r="B1986" s="100"/>
    </row>
    <row r="1987" spans="1:2">
      <c r="A1987" s="100"/>
      <c r="B1987" s="100"/>
    </row>
    <row r="1988" spans="1:2">
      <c r="A1988" s="100"/>
      <c r="B1988" s="100"/>
    </row>
    <row r="1989" spans="1:2">
      <c r="A1989" s="100"/>
      <c r="B1989" s="100"/>
    </row>
    <row r="1990" spans="1:2">
      <c r="A1990" s="100"/>
      <c r="B1990" s="100"/>
    </row>
    <row r="1991" spans="1:2">
      <c r="A1991" s="100"/>
      <c r="B1991" s="100"/>
    </row>
    <row r="1992" spans="1:2">
      <c r="A1992" s="100"/>
      <c r="B1992" s="100"/>
    </row>
    <row r="1993" spans="1:2">
      <c r="A1993" s="100"/>
      <c r="B1993" s="100"/>
    </row>
    <row r="1994" spans="1:2">
      <c r="A1994" s="100"/>
      <c r="B1994" s="100"/>
    </row>
    <row r="1995" spans="1:2">
      <c r="A1995" s="100"/>
      <c r="B1995" s="100"/>
    </row>
    <row r="1996" spans="1:2">
      <c r="A1996" s="100"/>
      <c r="B1996" s="100"/>
    </row>
    <row r="1997" spans="1:2">
      <c r="A1997" s="100"/>
      <c r="B1997" s="100"/>
    </row>
    <row r="1998" spans="1:2">
      <c r="A1998" s="100"/>
      <c r="B1998" s="100"/>
    </row>
    <row r="1999" spans="1:2">
      <c r="A1999" s="100"/>
      <c r="B1999" s="100"/>
    </row>
    <row r="2000" spans="1:2">
      <c r="A2000" s="100"/>
      <c r="B2000" s="100"/>
    </row>
    <row r="2001" spans="1:2">
      <c r="A2001" s="100"/>
      <c r="B2001" s="100"/>
    </row>
    <row r="2002" spans="1:2">
      <c r="A2002" s="100"/>
      <c r="B2002" s="100"/>
    </row>
    <row r="2003" spans="1:2">
      <c r="A2003" s="100"/>
      <c r="B2003" s="100"/>
    </row>
    <row r="2004" spans="1:2">
      <c r="A2004" s="100"/>
      <c r="B2004" s="100"/>
    </row>
    <row r="2005" spans="1:2">
      <c r="A2005" s="100"/>
      <c r="B2005" s="100"/>
    </row>
    <row r="2006" spans="1:2">
      <c r="A2006" s="100"/>
      <c r="B2006" s="100"/>
    </row>
    <row r="2007" spans="1:2">
      <c r="A2007" s="100"/>
      <c r="B2007" s="100"/>
    </row>
    <row r="2008" spans="1:2">
      <c r="A2008" s="100"/>
      <c r="B2008" s="100"/>
    </row>
    <row r="2009" spans="1:2">
      <c r="A2009" s="100"/>
      <c r="B2009" s="100"/>
    </row>
    <row r="2010" spans="1:2">
      <c r="A2010" s="100"/>
      <c r="B2010" s="100"/>
    </row>
    <row r="2011" spans="1:2">
      <c r="A2011" s="100"/>
      <c r="B2011" s="100"/>
    </row>
    <row r="2012" spans="1:2">
      <c r="A2012" s="100"/>
      <c r="B2012" s="100"/>
    </row>
    <row r="2013" spans="1:2">
      <c r="A2013" s="100"/>
      <c r="B2013" s="100"/>
    </row>
    <row r="2014" spans="1:2">
      <c r="A2014" s="100"/>
      <c r="B2014" s="100"/>
    </row>
    <row r="2015" spans="1:2">
      <c r="A2015" s="100"/>
      <c r="B2015" s="100"/>
    </row>
    <row r="2016" spans="1:2">
      <c r="A2016" s="100"/>
      <c r="B2016" s="100"/>
    </row>
    <row r="2017" spans="1:2">
      <c r="A2017" s="100"/>
      <c r="B2017" s="100"/>
    </row>
    <row r="2018" spans="1:2">
      <c r="A2018" s="100"/>
      <c r="B2018" s="100"/>
    </row>
    <row r="2019" spans="1:2">
      <c r="A2019" s="100"/>
      <c r="B2019" s="100"/>
    </row>
    <row r="2020" spans="1:2">
      <c r="A2020" s="100"/>
      <c r="B2020" s="100"/>
    </row>
    <row r="2021" spans="1:2">
      <c r="A2021" s="100"/>
      <c r="B2021" s="100"/>
    </row>
    <row r="2022" spans="1:2">
      <c r="A2022" s="100"/>
      <c r="B2022" s="100"/>
    </row>
    <row r="2023" spans="1:2">
      <c r="A2023" s="100"/>
      <c r="B2023" s="100"/>
    </row>
    <row r="2024" spans="1:2">
      <c r="A2024" s="100"/>
      <c r="B2024" s="100"/>
    </row>
    <row r="2025" spans="1:2">
      <c r="A2025" s="100"/>
      <c r="B2025" s="100"/>
    </row>
    <row r="2026" spans="1:2">
      <c r="A2026" s="100"/>
      <c r="B2026" s="100"/>
    </row>
    <row r="2027" spans="1:2">
      <c r="A2027" s="100"/>
      <c r="B2027" s="100"/>
    </row>
    <row r="2028" spans="1:2">
      <c r="A2028" s="100"/>
      <c r="B2028" s="100"/>
    </row>
    <row r="2029" spans="1:2">
      <c r="A2029" s="100"/>
      <c r="B2029" s="100"/>
    </row>
    <row r="2030" spans="1:2">
      <c r="A2030" s="100"/>
      <c r="B2030" s="100"/>
    </row>
    <row r="2031" spans="1:2">
      <c r="A2031" s="100"/>
      <c r="B2031" s="100"/>
    </row>
    <row r="2032" spans="1:2">
      <c r="A2032" s="100"/>
      <c r="B2032" s="100"/>
    </row>
    <row r="2033" spans="1:2">
      <c r="A2033" s="100"/>
      <c r="B2033" s="100"/>
    </row>
    <row r="2034" spans="1:2">
      <c r="A2034" s="100"/>
      <c r="B2034" s="100"/>
    </row>
    <row r="2035" spans="1:2">
      <c r="A2035" s="100"/>
      <c r="B2035" s="100"/>
    </row>
    <row r="2036" spans="1:2">
      <c r="A2036" s="100"/>
      <c r="B2036" s="100"/>
    </row>
    <row r="2037" spans="1:2">
      <c r="A2037" s="100"/>
      <c r="B2037" s="100"/>
    </row>
    <row r="2038" spans="1:2">
      <c r="A2038" s="100"/>
      <c r="B2038" s="100"/>
    </row>
    <row r="2039" spans="1:2">
      <c r="A2039" s="100"/>
      <c r="B2039" s="100"/>
    </row>
    <row r="2040" spans="1:2">
      <c r="A2040" s="100"/>
      <c r="B2040" s="100"/>
    </row>
    <row r="2041" spans="1:2">
      <c r="A2041" s="100"/>
      <c r="B2041" s="100"/>
    </row>
    <row r="2042" spans="1:2">
      <c r="A2042" s="100"/>
      <c r="B2042" s="100"/>
    </row>
    <row r="2043" spans="1:2">
      <c r="A2043" s="100"/>
      <c r="B2043" s="100"/>
    </row>
    <row r="2044" spans="1:2">
      <c r="A2044" s="100"/>
      <c r="B2044" s="100"/>
    </row>
    <row r="2045" spans="1:2">
      <c r="A2045" s="100"/>
      <c r="B2045" s="100"/>
    </row>
    <row r="2046" spans="1:2">
      <c r="A2046" s="100"/>
      <c r="B2046" s="100"/>
    </row>
    <row r="2047" spans="1:2">
      <c r="A2047" s="100"/>
      <c r="B2047" s="100"/>
    </row>
    <row r="2048" spans="1:2">
      <c r="A2048" s="100"/>
      <c r="B2048" s="100"/>
    </row>
    <row r="2049" spans="1:2">
      <c r="A2049" s="100"/>
      <c r="B2049" s="100"/>
    </row>
    <row r="2050" spans="1:2">
      <c r="A2050" s="100"/>
      <c r="B2050" s="100"/>
    </row>
    <row r="2051" spans="1:2">
      <c r="A2051" s="100"/>
      <c r="B2051" s="100"/>
    </row>
    <row r="2052" spans="1:2">
      <c r="A2052" s="100"/>
      <c r="B2052" s="100"/>
    </row>
    <row r="2053" spans="1:2">
      <c r="A2053" s="100"/>
      <c r="B2053" s="100"/>
    </row>
    <row r="2054" spans="1:2">
      <c r="A2054" s="100"/>
      <c r="B2054" s="100"/>
    </row>
    <row r="2055" spans="1:2">
      <c r="A2055" s="100"/>
      <c r="B2055" s="100"/>
    </row>
    <row r="2056" spans="1:2">
      <c r="A2056" s="100"/>
      <c r="B2056" s="100"/>
    </row>
    <row r="2057" spans="1:2">
      <c r="A2057" s="100"/>
      <c r="B2057" s="100"/>
    </row>
    <row r="2058" spans="1:2">
      <c r="A2058" s="100"/>
      <c r="B2058" s="100"/>
    </row>
    <row r="2059" spans="1:2">
      <c r="A2059" s="100"/>
      <c r="B2059" s="100"/>
    </row>
    <row r="2060" spans="1:2">
      <c r="A2060" s="100"/>
      <c r="B2060" s="100"/>
    </row>
    <row r="2061" spans="1:2">
      <c r="A2061" s="100"/>
      <c r="B2061" s="100"/>
    </row>
    <row r="2062" spans="1:2">
      <c r="A2062" s="100"/>
      <c r="B2062" s="100"/>
    </row>
    <row r="2063" spans="1:2">
      <c r="A2063" s="100"/>
      <c r="B2063" s="100"/>
    </row>
    <row r="2064" spans="1:2">
      <c r="A2064" s="100"/>
      <c r="B2064" s="100"/>
    </row>
    <row r="2065" spans="1:2">
      <c r="A2065" s="100"/>
      <c r="B2065" s="100"/>
    </row>
    <row r="2066" spans="1:2">
      <c r="A2066" s="100"/>
      <c r="B2066" s="100"/>
    </row>
    <row r="2067" spans="1:2">
      <c r="A2067" s="100"/>
      <c r="B2067" s="100"/>
    </row>
    <row r="2068" spans="1:2">
      <c r="A2068" s="100"/>
      <c r="B2068" s="100"/>
    </row>
    <row r="2069" spans="1:2">
      <c r="A2069" s="100"/>
      <c r="B2069" s="100"/>
    </row>
    <row r="2070" spans="1:2">
      <c r="A2070" s="100"/>
      <c r="B2070" s="100"/>
    </row>
    <row r="2071" spans="1:2">
      <c r="A2071" s="100"/>
      <c r="B2071" s="100"/>
    </row>
    <row r="2072" spans="1:2">
      <c r="A2072" s="100"/>
      <c r="B2072" s="100"/>
    </row>
    <row r="2073" spans="1:2">
      <c r="A2073" s="100"/>
      <c r="B2073" s="100"/>
    </row>
    <row r="2074" spans="1:2">
      <c r="A2074" s="100"/>
      <c r="B2074" s="100"/>
    </row>
    <row r="2075" spans="1:2">
      <c r="A2075" s="100"/>
      <c r="B2075" s="100"/>
    </row>
    <row r="2076" spans="1:2">
      <c r="A2076" s="100"/>
      <c r="B2076" s="100"/>
    </row>
    <row r="2077" spans="1:2">
      <c r="A2077" s="100"/>
      <c r="B2077" s="100"/>
    </row>
    <row r="2078" spans="1:2">
      <c r="A2078" s="100"/>
      <c r="B2078" s="100"/>
    </row>
    <row r="2079" spans="1:2">
      <c r="A2079" s="100"/>
      <c r="B2079" s="100"/>
    </row>
    <row r="2080" spans="1:2">
      <c r="A2080" s="100"/>
      <c r="B2080" s="100"/>
    </row>
    <row r="2081" spans="1:2">
      <c r="A2081" s="100"/>
      <c r="B2081" s="100"/>
    </row>
    <row r="2082" spans="1:2">
      <c r="A2082" s="100"/>
      <c r="B2082" s="100"/>
    </row>
    <row r="2083" spans="1:2">
      <c r="A2083" s="100"/>
      <c r="B2083" s="100"/>
    </row>
    <row r="2084" spans="1:2">
      <c r="A2084" s="100"/>
      <c r="B2084" s="100"/>
    </row>
    <row r="2085" spans="1:2">
      <c r="A2085" s="100"/>
      <c r="B2085" s="100"/>
    </row>
    <row r="2086" spans="1:2">
      <c r="A2086" s="100"/>
      <c r="B2086" s="100"/>
    </row>
    <row r="2087" spans="1:2">
      <c r="A2087" s="100"/>
      <c r="B2087" s="100"/>
    </row>
    <row r="2088" spans="1:2">
      <c r="A2088" s="100"/>
      <c r="B2088" s="100"/>
    </row>
    <row r="2089" spans="1:2">
      <c r="A2089" s="100"/>
      <c r="B2089" s="100"/>
    </row>
    <row r="2090" spans="1:2">
      <c r="A2090" s="100"/>
      <c r="B2090" s="100"/>
    </row>
    <row r="2091" spans="1:2">
      <c r="A2091" s="100"/>
      <c r="B2091" s="100"/>
    </row>
    <row r="2092" spans="1:2">
      <c r="A2092" s="100"/>
      <c r="B2092" s="100"/>
    </row>
    <row r="2093" spans="1:2">
      <c r="A2093" s="100"/>
      <c r="B2093" s="100"/>
    </row>
    <row r="2094" spans="1:2">
      <c r="A2094" s="100"/>
      <c r="B2094" s="100"/>
    </row>
    <row r="2095" spans="1:2">
      <c r="A2095" s="100"/>
      <c r="B2095" s="100"/>
    </row>
    <row r="2096" spans="1:2">
      <c r="A2096" s="100"/>
      <c r="B2096" s="100"/>
    </row>
    <row r="2097" spans="1:2">
      <c r="A2097" s="100"/>
      <c r="B2097" s="100"/>
    </row>
    <row r="2098" spans="1:2">
      <c r="A2098" s="100"/>
      <c r="B2098" s="100"/>
    </row>
    <row r="2099" spans="1:2">
      <c r="A2099" s="100"/>
      <c r="B2099" s="100"/>
    </row>
    <row r="2100" spans="1:2">
      <c r="A2100" s="100"/>
      <c r="B2100" s="100"/>
    </row>
    <row r="2101" spans="1:2">
      <c r="A2101" s="100"/>
      <c r="B2101" s="100"/>
    </row>
    <row r="2102" spans="1:2">
      <c r="A2102" s="100"/>
      <c r="B2102" s="100"/>
    </row>
    <row r="2103" spans="1:2">
      <c r="A2103" s="100"/>
      <c r="B2103" s="100"/>
    </row>
    <row r="2104" spans="1:2">
      <c r="A2104" s="100"/>
      <c r="B2104" s="100"/>
    </row>
    <row r="2105" spans="1:2">
      <c r="A2105" s="100"/>
      <c r="B2105" s="100"/>
    </row>
    <row r="2106" spans="1:2">
      <c r="A2106" s="100"/>
      <c r="B2106" s="100"/>
    </row>
    <row r="2107" spans="1:2">
      <c r="A2107" s="100"/>
      <c r="B2107" s="100"/>
    </row>
    <row r="2108" spans="1:2">
      <c r="A2108" s="100"/>
      <c r="B2108" s="100"/>
    </row>
    <row r="2109" spans="1:2">
      <c r="A2109" s="100"/>
      <c r="B2109" s="100"/>
    </row>
    <row r="2110" spans="1:2">
      <c r="A2110" s="100"/>
      <c r="B2110" s="100"/>
    </row>
    <row r="2111" spans="1:2">
      <c r="A2111" s="100"/>
      <c r="B2111" s="100"/>
    </row>
    <row r="2112" spans="1:2">
      <c r="A2112" s="100"/>
      <c r="B2112" s="100"/>
    </row>
    <row r="2113" spans="1:2">
      <c r="A2113" s="100"/>
      <c r="B2113" s="100"/>
    </row>
    <row r="2114" spans="1:2">
      <c r="A2114" s="100"/>
      <c r="B2114" s="100"/>
    </row>
    <row r="2115" spans="1:2">
      <c r="A2115" s="100"/>
      <c r="B2115" s="100"/>
    </row>
    <row r="2116" spans="1:2">
      <c r="A2116" s="100"/>
      <c r="B2116" s="100"/>
    </row>
    <row r="2117" spans="1:2">
      <c r="A2117" s="100"/>
      <c r="B2117" s="100"/>
    </row>
    <row r="2118" spans="1:2">
      <c r="A2118" s="100"/>
      <c r="B2118" s="100"/>
    </row>
    <row r="2119" spans="1:2">
      <c r="A2119" s="100"/>
      <c r="B2119" s="100"/>
    </row>
    <row r="2120" spans="1:2">
      <c r="A2120" s="100"/>
      <c r="B2120" s="100"/>
    </row>
    <row r="2121" spans="1:2">
      <c r="A2121" s="100"/>
      <c r="B2121" s="100"/>
    </row>
    <row r="2122" spans="1:2">
      <c r="A2122" s="100"/>
      <c r="B2122" s="100"/>
    </row>
    <row r="2123" spans="1:2">
      <c r="A2123" s="100"/>
      <c r="B2123" s="100"/>
    </row>
    <row r="2124" spans="1:2">
      <c r="A2124" s="100"/>
      <c r="B2124" s="100"/>
    </row>
    <row r="2125" spans="1:2">
      <c r="A2125" s="100"/>
      <c r="B2125" s="100"/>
    </row>
    <row r="2126" spans="1:2">
      <c r="A2126" s="100"/>
      <c r="B2126" s="100"/>
    </row>
    <row r="2127" spans="1:2">
      <c r="A2127" s="100"/>
      <c r="B2127" s="100"/>
    </row>
    <row r="2128" spans="1:2">
      <c r="A2128" s="100"/>
      <c r="B2128" s="100"/>
    </row>
    <row r="2129" spans="1:2">
      <c r="A2129" s="100"/>
      <c r="B2129" s="100"/>
    </row>
    <row r="2130" spans="1:2">
      <c r="A2130" s="100"/>
      <c r="B2130" s="100"/>
    </row>
    <row r="2131" spans="1:2">
      <c r="A2131" s="100"/>
      <c r="B2131" s="100"/>
    </row>
    <row r="2132" spans="1:2">
      <c r="A2132" s="100"/>
      <c r="B2132" s="100"/>
    </row>
    <row r="2133" spans="1:2">
      <c r="A2133" s="100"/>
      <c r="B2133" s="100"/>
    </row>
    <row r="2134" spans="1:2">
      <c r="A2134" s="100"/>
      <c r="B2134" s="100"/>
    </row>
    <row r="2135" spans="1:2">
      <c r="A2135" s="100"/>
      <c r="B2135" s="100"/>
    </row>
    <row r="2136" spans="1:2">
      <c r="A2136" s="100"/>
      <c r="B2136" s="100"/>
    </row>
    <row r="2137" spans="1:2">
      <c r="A2137" s="100"/>
      <c r="B2137" s="100"/>
    </row>
    <row r="2138" spans="1:2">
      <c r="A2138" s="100"/>
      <c r="B2138" s="100"/>
    </row>
    <row r="2139" spans="1:2">
      <c r="A2139" s="100"/>
      <c r="B2139" s="100"/>
    </row>
    <row r="2140" spans="1:2">
      <c r="A2140" s="100"/>
      <c r="B2140" s="100"/>
    </row>
    <row r="2141" spans="1:2">
      <c r="A2141" s="100"/>
      <c r="B2141" s="100"/>
    </row>
    <row r="2142" spans="1:2">
      <c r="A2142" s="100"/>
      <c r="B2142" s="100"/>
    </row>
    <row r="2143" spans="1:2">
      <c r="A2143" s="100"/>
      <c r="B2143" s="100"/>
    </row>
    <row r="2144" spans="1:2">
      <c r="A2144" s="100"/>
      <c r="B2144" s="100"/>
    </row>
    <row r="2145" spans="1:2">
      <c r="A2145" s="100"/>
      <c r="B2145" s="100"/>
    </row>
    <row r="2146" spans="1:2">
      <c r="A2146" s="100"/>
      <c r="B2146" s="100"/>
    </row>
    <row r="2147" spans="1:2">
      <c r="A2147" s="100"/>
      <c r="B2147" s="100"/>
    </row>
    <row r="2148" spans="1:2">
      <c r="A2148" s="100"/>
      <c r="B2148" s="100"/>
    </row>
    <row r="2149" spans="1:2">
      <c r="A2149" s="100"/>
      <c r="B2149" s="100"/>
    </row>
    <row r="2150" spans="1:2">
      <c r="A2150" s="100"/>
      <c r="B2150" s="100"/>
    </row>
    <row r="2151" spans="1:2">
      <c r="A2151" s="100"/>
      <c r="B2151" s="100"/>
    </row>
    <row r="2152" spans="1:2">
      <c r="A2152" s="100"/>
      <c r="B2152" s="100"/>
    </row>
    <row r="2153" spans="1:2">
      <c r="A2153" s="100"/>
      <c r="B2153" s="100"/>
    </row>
    <row r="2154" spans="1:2">
      <c r="A2154" s="100"/>
      <c r="B2154" s="100"/>
    </row>
    <row r="2155" spans="1:2">
      <c r="A2155" s="100"/>
      <c r="B2155" s="100"/>
    </row>
    <row r="2156" spans="1:2">
      <c r="A2156" s="100"/>
      <c r="B2156" s="100"/>
    </row>
    <row r="2157" spans="1:2">
      <c r="A2157" s="100"/>
      <c r="B2157" s="100"/>
    </row>
    <row r="2158" spans="1:2">
      <c r="A2158" s="100"/>
      <c r="B2158" s="100"/>
    </row>
    <row r="2159" spans="1:2">
      <c r="A2159" s="100"/>
      <c r="B2159" s="100"/>
    </row>
    <row r="2160" spans="1:2">
      <c r="A2160" s="100"/>
      <c r="B2160" s="100"/>
    </row>
    <row r="2161" spans="1:2">
      <c r="A2161" s="100"/>
      <c r="B2161" s="100"/>
    </row>
    <row r="2162" spans="1:2">
      <c r="A2162" s="100"/>
      <c r="B2162" s="100"/>
    </row>
    <row r="2163" spans="1:2">
      <c r="A2163" s="100"/>
      <c r="B2163" s="100"/>
    </row>
    <row r="2164" spans="1:2">
      <c r="A2164" s="100"/>
      <c r="B2164" s="100"/>
    </row>
    <row r="2165" spans="1:2">
      <c r="A2165" s="100"/>
      <c r="B2165" s="100"/>
    </row>
    <row r="2166" spans="1:2">
      <c r="A2166" s="100"/>
      <c r="B2166" s="100"/>
    </row>
    <row r="2167" spans="1:2">
      <c r="A2167" s="100"/>
      <c r="B2167" s="100"/>
    </row>
    <row r="2168" spans="1:2">
      <c r="A2168" s="100"/>
      <c r="B2168" s="100"/>
    </row>
    <row r="2169" spans="1:2">
      <c r="A2169" s="100"/>
      <c r="B2169" s="100"/>
    </row>
    <row r="2170" spans="1:2">
      <c r="A2170" s="100"/>
      <c r="B2170" s="100"/>
    </row>
    <row r="2171" spans="1:2">
      <c r="A2171" s="100"/>
      <c r="B2171" s="100"/>
    </row>
    <row r="2172" spans="1:2">
      <c r="A2172" s="100"/>
      <c r="B2172" s="100"/>
    </row>
    <row r="2173" spans="1:2">
      <c r="A2173" s="100"/>
      <c r="B2173" s="100"/>
    </row>
    <row r="2174" spans="1:2">
      <c r="A2174" s="100"/>
      <c r="B2174" s="100"/>
    </row>
    <row r="2175" spans="1:2">
      <c r="A2175" s="100"/>
      <c r="B2175" s="100"/>
    </row>
    <row r="2176" spans="1:2">
      <c r="A2176" s="100"/>
      <c r="B2176" s="100"/>
    </row>
    <row r="2177" spans="1:2">
      <c r="A2177" s="100"/>
      <c r="B2177" s="100"/>
    </row>
    <row r="2178" spans="1:2">
      <c r="A2178" s="100"/>
      <c r="B2178" s="100"/>
    </row>
    <row r="2179" spans="1:2">
      <c r="A2179" s="100"/>
      <c r="B2179" s="100"/>
    </row>
    <row r="2180" spans="1:2">
      <c r="A2180" s="100"/>
      <c r="B2180" s="100"/>
    </row>
    <row r="2181" spans="1:2">
      <c r="A2181" s="100"/>
      <c r="B2181" s="100"/>
    </row>
    <row r="2182" spans="1:2">
      <c r="A2182" s="100"/>
      <c r="B2182" s="100"/>
    </row>
    <row r="2183" spans="1:2">
      <c r="A2183" s="100"/>
      <c r="B2183" s="100"/>
    </row>
    <row r="2184" spans="1:2">
      <c r="A2184" s="100"/>
      <c r="B2184" s="100"/>
    </row>
    <row r="2185" spans="1:2">
      <c r="A2185" s="100"/>
      <c r="B2185" s="100"/>
    </row>
    <row r="2186" spans="1:2">
      <c r="A2186" s="100"/>
      <c r="B2186" s="100"/>
    </row>
    <row r="2187" spans="1:2">
      <c r="A2187" s="100"/>
      <c r="B2187" s="100"/>
    </row>
    <row r="2188" spans="1:2">
      <c r="A2188" s="100"/>
      <c r="B2188" s="100"/>
    </row>
    <row r="2189" spans="1:2">
      <c r="A2189" s="100"/>
      <c r="B2189" s="100"/>
    </row>
    <row r="2190" spans="1:2">
      <c r="A2190" s="100"/>
      <c r="B2190" s="100"/>
    </row>
    <row r="2191" spans="1:2">
      <c r="A2191" s="100"/>
      <c r="B2191" s="100"/>
    </row>
    <row r="2192" spans="1:2">
      <c r="A2192" s="100"/>
      <c r="B2192" s="100"/>
    </row>
    <row r="2193" spans="1:2">
      <c r="A2193" s="100"/>
      <c r="B2193" s="100"/>
    </row>
    <row r="2194" spans="1:2">
      <c r="A2194" s="100"/>
      <c r="B2194" s="100"/>
    </row>
    <row r="2195" spans="1:2">
      <c r="A2195" s="100"/>
      <c r="B2195" s="100"/>
    </row>
    <row r="2196" spans="1:2">
      <c r="A2196" s="100"/>
      <c r="B2196" s="100"/>
    </row>
    <row r="2197" spans="1:2">
      <c r="A2197" s="100"/>
      <c r="B2197" s="100"/>
    </row>
    <row r="2198" spans="1:2">
      <c r="A2198" s="100"/>
      <c r="B2198" s="100"/>
    </row>
    <row r="2199" spans="1:2">
      <c r="A2199" s="100"/>
      <c r="B2199" s="100"/>
    </row>
    <row r="2200" spans="1:2">
      <c r="A2200" s="100"/>
      <c r="B2200" s="100"/>
    </row>
    <row r="2201" spans="1:2">
      <c r="A2201" s="100"/>
      <c r="B2201" s="100"/>
    </row>
    <row r="2202" spans="1:2">
      <c r="A2202" s="100"/>
      <c r="B2202" s="100"/>
    </row>
    <row r="2203" spans="1:2">
      <c r="A2203" s="100"/>
      <c r="B2203" s="100"/>
    </row>
    <row r="2204" spans="1:2">
      <c r="A2204" s="100"/>
      <c r="B2204" s="100"/>
    </row>
    <row r="2205" spans="1:2">
      <c r="A2205" s="100"/>
      <c r="B2205" s="100"/>
    </row>
    <row r="2206" spans="1:2">
      <c r="A2206" s="100"/>
      <c r="B2206" s="100"/>
    </row>
    <row r="2207" spans="1:2">
      <c r="A2207" s="100"/>
      <c r="B2207" s="100"/>
    </row>
    <row r="2208" spans="1:2">
      <c r="A2208" s="100"/>
      <c r="B2208" s="100"/>
    </row>
    <row r="2209" spans="1:2">
      <c r="A2209" s="100"/>
      <c r="B2209" s="100"/>
    </row>
    <row r="2210" spans="1:2">
      <c r="A2210" s="100"/>
      <c r="B2210" s="100"/>
    </row>
    <row r="2211" spans="1:2">
      <c r="A2211" s="100"/>
      <c r="B2211" s="100"/>
    </row>
    <row r="2212" spans="1:2">
      <c r="A2212" s="100"/>
      <c r="B2212" s="100"/>
    </row>
    <row r="2213" spans="1:2">
      <c r="A2213" s="100"/>
      <c r="B2213" s="100"/>
    </row>
    <row r="2214" spans="1:2">
      <c r="A2214" s="100"/>
      <c r="B2214" s="100"/>
    </row>
    <row r="2215" spans="1:2">
      <c r="A2215" s="100"/>
      <c r="B2215" s="100"/>
    </row>
    <row r="2216" spans="1:2">
      <c r="A2216" s="100"/>
      <c r="B2216" s="100"/>
    </row>
    <row r="2217" spans="1:2">
      <c r="A2217" s="100"/>
      <c r="B2217" s="100"/>
    </row>
    <row r="2218" spans="1:2">
      <c r="A2218" s="100"/>
      <c r="B2218" s="100"/>
    </row>
    <row r="2219" spans="1:2">
      <c r="A2219" s="100"/>
      <c r="B2219" s="100"/>
    </row>
    <row r="2220" spans="1:2">
      <c r="A2220" s="100"/>
      <c r="B2220" s="100"/>
    </row>
    <row r="2221" spans="1:2">
      <c r="A2221" s="100"/>
      <c r="B2221" s="100"/>
    </row>
    <row r="2222" spans="1:2">
      <c r="A2222" s="100"/>
      <c r="B2222" s="100"/>
    </row>
    <row r="2223" spans="1:2">
      <c r="A2223" s="100"/>
      <c r="B2223" s="100"/>
    </row>
    <row r="2224" spans="1:2">
      <c r="A2224" s="100"/>
      <c r="B2224" s="100"/>
    </row>
    <row r="2225" spans="1:2">
      <c r="A2225" s="100"/>
      <c r="B2225" s="100"/>
    </row>
    <row r="2226" spans="1:2">
      <c r="A2226" s="100"/>
      <c r="B2226" s="100"/>
    </row>
    <row r="2227" spans="1:2">
      <c r="A2227" s="100"/>
      <c r="B2227" s="100"/>
    </row>
    <row r="2228" spans="1:2">
      <c r="A2228" s="100"/>
      <c r="B2228" s="100"/>
    </row>
    <row r="2229" spans="1:2">
      <c r="A2229" s="100"/>
      <c r="B2229" s="100"/>
    </row>
    <row r="2230" spans="1:2">
      <c r="A2230" s="100"/>
      <c r="B2230" s="100"/>
    </row>
    <row r="2231" spans="1:2">
      <c r="A2231" s="100"/>
      <c r="B2231" s="100"/>
    </row>
    <row r="2232" spans="1:2">
      <c r="A2232" s="100"/>
      <c r="B2232" s="100"/>
    </row>
    <row r="2233" spans="1:2">
      <c r="A2233" s="100"/>
      <c r="B2233" s="100"/>
    </row>
    <row r="2234" spans="1:2">
      <c r="A2234" s="100"/>
      <c r="B2234" s="100"/>
    </row>
    <row r="2235" spans="1:2">
      <c r="A2235" s="100"/>
      <c r="B2235" s="100"/>
    </row>
    <row r="2236" spans="1:2">
      <c r="A2236" s="100"/>
      <c r="B2236" s="100"/>
    </row>
    <row r="2237" spans="1:2">
      <c r="A2237" s="100"/>
      <c r="B2237" s="100"/>
    </row>
    <row r="2238" spans="1:2">
      <c r="A2238" s="100"/>
      <c r="B2238" s="100"/>
    </row>
    <row r="2239" spans="1:2">
      <c r="A2239" s="100"/>
      <c r="B2239" s="100"/>
    </row>
    <row r="2240" spans="1:2">
      <c r="A2240" s="100"/>
      <c r="B2240" s="100"/>
    </row>
    <row r="2241" spans="1:2">
      <c r="A2241" s="100"/>
      <c r="B2241" s="100"/>
    </row>
    <row r="2242" spans="1:2">
      <c r="A2242" s="100"/>
      <c r="B2242" s="100"/>
    </row>
    <row r="2243" spans="1:2">
      <c r="A2243" s="100"/>
      <c r="B2243" s="100"/>
    </row>
    <row r="2244" spans="1:2">
      <c r="A2244" s="100"/>
      <c r="B2244" s="100"/>
    </row>
    <row r="2245" spans="1:2">
      <c r="A2245" s="100"/>
      <c r="B2245" s="100"/>
    </row>
    <row r="2246" spans="1:2">
      <c r="A2246" s="100"/>
      <c r="B2246" s="100"/>
    </row>
    <row r="2247" spans="1:2">
      <c r="A2247" s="100"/>
      <c r="B2247" s="100"/>
    </row>
    <row r="2248" spans="1:2">
      <c r="A2248" s="100"/>
      <c r="B2248" s="100"/>
    </row>
    <row r="2249" spans="1:2">
      <c r="A2249" s="100"/>
      <c r="B2249" s="100"/>
    </row>
    <row r="2250" spans="1:2">
      <c r="A2250" s="100"/>
      <c r="B2250" s="100"/>
    </row>
    <row r="2251" spans="1:2">
      <c r="A2251" s="100"/>
      <c r="B2251" s="100"/>
    </row>
    <row r="2252" spans="1:2">
      <c r="A2252" s="100"/>
      <c r="B2252" s="100"/>
    </row>
    <row r="2253" spans="1:2">
      <c r="A2253" s="100"/>
      <c r="B2253" s="100"/>
    </row>
    <row r="2254" spans="1:2">
      <c r="A2254" s="100"/>
      <c r="B2254" s="100"/>
    </row>
    <row r="2255" spans="1:2">
      <c r="A2255" s="100"/>
      <c r="B2255" s="100"/>
    </row>
    <row r="2256" spans="1:2">
      <c r="A2256" s="100"/>
      <c r="B2256" s="100"/>
    </row>
    <row r="2257" spans="1:2">
      <c r="A2257" s="100"/>
      <c r="B2257" s="100"/>
    </row>
    <row r="2258" spans="1:2">
      <c r="A2258" s="100"/>
      <c r="B2258" s="100"/>
    </row>
    <row r="2259" spans="1:2">
      <c r="A2259" s="100"/>
      <c r="B2259" s="100"/>
    </row>
    <row r="2260" spans="1:2">
      <c r="A2260" s="100"/>
      <c r="B2260" s="100"/>
    </row>
    <row r="2261" spans="1:2">
      <c r="A2261" s="100"/>
      <c r="B2261" s="100"/>
    </row>
    <row r="2262" spans="1:2">
      <c r="A2262" s="100"/>
      <c r="B2262" s="100"/>
    </row>
    <row r="2263" spans="1:2">
      <c r="A2263" s="100"/>
      <c r="B2263" s="100"/>
    </row>
    <row r="2264" spans="1:2">
      <c r="A2264" s="100"/>
      <c r="B2264" s="100"/>
    </row>
    <row r="2265" spans="1:2">
      <c r="A2265" s="100"/>
      <c r="B2265" s="100"/>
    </row>
    <row r="2266" spans="1:2">
      <c r="A2266" s="100"/>
      <c r="B2266" s="100"/>
    </row>
    <row r="2267" spans="1:2">
      <c r="A2267" s="100"/>
      <c r="B2267" s="100"/>
    </row>
    <row r="2268" spans="1:2">
      <c r="A2268" s="100"/>
      <c r="B2268" s="100"/>
    </row>
    <row r="2269" spans="1:2">
      <c r="A2269" s="100"/>
      <c r="B2269" s="100"/>
    </row>
    <row r="2270" spans="1:2">
      <c r="A2270" s="100"/>
      <c r="B2270" s="100"/>
    </row>
    <row r="2271" spans="1:2">
      <c r="A2271" s="100"/>
      <c r="B2271" s="100"/>
    </row>
    <row r="2272" spans="1:2">
      <c r="A2272" s="100"/>
      <c r="B2272" s="100"/>
    </row>
    <row r="2273" spans="1:2">
      <c r="A2273" s="100"/>
      <c r="B2273" s="100"/>
    </row>
    <row r="2274" spans="1:2">
      <c r="A2274" s="100"/>
      <c r="B2274" s="100"/>
    </row>
    <row r="2275" spans="1:2">
      <c r="A2275" s="100"/>
      <c r="B2275" s="100"/>
    </row>
    <row r="2276" spans="1:2">
      <c r="A2276" s="100"/>
      <c r="B2276" s="100"/>
    </row>
    <row r="2277" spans="1:2">
      <c r="A2277" s="100"/>
      <c r="B2277" s="100"/>
    </row>
    <row r="2278" spans="1:2">
      <c r="A2278" s="100"/>
      <c r="B2278" s="100"/>
    </row>
    <row r="2279" spans="1:2">
      <c r="A2279" s="100"/>
      <c r="B2279" s="100"/>
    </row>
    <row r="2280" spans="1:2">
      <c r="A2280" s="100"/>
      <c r="B2280" s="100"/>
    </row>
    <row r="2281" spans="1:2">
      <c r="A2281" s="100"/>
      <c r="B2281" s="100"/>
    </row>
    <row r="2282" spans="1:2">
      <c r="A2282" s="100"/>
      <c r="B2282" s="100"/>
    </row>
    <row r="2283" spans="1:2">
      <c r="A2283" s="100"/>
      <c r="B2283" s="100"/>
    </row>
    <row r="2284" spans="1:2">
      <c r="A2284" s="100"/>
      <c r="B2284" s="100"/>
    </row>
    <row r="2285" spans="1:2">
      <c r="A2285" s="100"/>
      <c r="B2285" s="100"/>
    </row>
    <row r="2286" spans="1:2">
      <c r="A2286" s="100"/>
      <c r="B2286" s="100"/>
    </row>
    <row r="2287" spans="1:2">
      <c r="A2287" s="100"/>
      <c r="B2287" s="100"/>
    </row>
    <row r="2288" spans="1:2">
      <c r="A2288" s="100"/>
      <c r="B2288" s="100"/>
    </row>
    <row r="2289" spans="1:2">
      <c r="A2289" s="100"/>
      <c r="B2289" s="100"/>
    </row>
    <row r="2290" spans="1:2">
      <c r="A2290" s="100"/>
      <c r="B2290" s="100"/>
    </row>
    <row r="2291" spans="1:2">
      <c r="A2291" s="100"/>
      <c r="B2291" s="100"/>
    </row>
    <row r="2292" spans="1:2">
      <c r="A2292" s="100"/>
      <c r="B2292" s="100"/>
    </row>
    <row r="2293" spans="1:2">
      <c r="A2293" s="100"/>
      <c r="B2293" s="100"/>
    </row>
    <row r="2294" spans="1:2">
      <c r="A2294" s="100"/>
      <c r="B2294" s="100"/>
    </row>
    <row r="2295" spans="1:2">
      <c r="A2295" s="100"/>
      <c r="B2295" s="100"/>
    </row>
    <row r="2296" spans="1:2">
      <c r="A2296" s="100"/>
      <c r="B2296" s="100"/>
    </row>
    <row r="2297" spans="1:2">
      <c r="A2297" s="100"/>
      <c r="B2297" s="100"/>
    </row>
    <row r="2298" spans="1:2">
      <c r="A2298" s="100"/>
      <c r="B2298" s="100"/>
    </row>
    <row r="2299" spans="1:2">
      <c r="A2299" s="100"/>
      <c r="B2299" s="100"/>
    </row>
    <row r="2300" spans="1:2">
      <c r="A2300" s="100"/>
      <c r="B2300" s="100"/>
    </row>
    <row r="2301" spans="1:2">
      <c r="A2301" s="100"/>
      <c r="B2301" s="100"/>
    </row>
    <row r="2302" spans="1:2">
      <c r="A2302" s="100"/>
      <c r="B2302" s="100"/>
    </row>
    <row r="2303" spans="1:2">
      <c r="A2303" s="100"/>
      <c r="B2303" s="100"/>
    </row>
    <row r="2304" spans="1:2">
      <c r="A2304" s="100"/>
      <c r="B2304" s="100"/>
    </row>
    <row r="2305" spans="1:2">
      <c r="A2305" s="100"/>
      <c r="B2305" s="100"/>
    </row>
    <row r="2306" spans="1:2">
      <c r="A2306" s="100"/>
      <c r="B2306" s="100"/>
    </row>
    <row r="2307" spans="1:2">
      <c r="A2307" s="100"/>
      <c r="B2307" s="100"/>
    </row>
    <row r="2308" spans="1:2">
      <c r="A2308" s="100"/>
      <c r="B2308" s="100"/>
    </row>
    <row r="2309" spans="1:2">
      <c r="A2309" s="100"/>
      <c r="B2309" s="100"/>
    </row>
    <row r="2310" spans="1:2">
      <c r="A2310" s="100"/>
      <c r="B2310" s="100"/>
    </row>
    <row r="2311" spans="1:2">
      <c r="A2311" s="100"/>
      <c r="B2311" s="100"/>
    </row>
    <row r="2312" spans="1:2">
      <c r="A2312" s="100"/>
      <c r="B2312" s="100"/>
    </row>
    <row r="2313" spans="1:2">
      <c r="A2313" s="100"/>
      <c r="B2313" s="100"/>
    </row>
    <row r="2314" spans="1:2">
      <c r="A2314" s="100"/>
      <c r="B2314" s="100"/>
    </row>
    <row r="2315" spans="1:2">
      <c r="A2315" s="100"/>
      <c r="B2315" s="100"/>
    </row>
    <row r="2316" spans="1:2">
      <c r="A2316" s="100"/>
      <c r="B2316" s="100"/>
    </row>
    <row r="2317" spans="1:2">
      <c r="A2317" s="100"/>
      <c r="B2317" s="100"/>
    </row>
    <row r="2318" spans="1:2">
      <c r="A2318" s="100"/>
      <c r="B2318" s="100"/>
    </row>
    <row r="2319" spans="1:2">
      <c r="A2319" s="100"/>
      <c r="B2319" s="100"/>
    </row>
    <row r="2320" spans="1:2">
      <c r="A2320" s="100"/>
      <c r="B2320" s="100"/>
    </row>
    <row r="2321" spans="1:2">
      <c r="A2321" s="100"/>
      <c r="B2321" s="100"/>
    </row>
    <row r="2322" spans="1:2">
      <c r="A2322" s="100"/>
      <c r="B2322" s="100"/>
    </row>
    <row r="2323" spans="1:2">
      <c r="A2323" s="100"/>
      <c r="B2323" s="100"/>
    </row>
    <row r="2324" spans="1:2">
      <c r="A2324" s="100"/>
      <c r="B2324" s="100"/>
    </row>
    <row r="2325" spans="1:2">
      <c r="A2325" s="100"/>
      <c r="B2325" s="100"/>
    </row>
    <row r="2326" spans="1:2">
      <c r="A2326" s="100"/>
      <c r="B2326" s="100"/>
    </row>
    <row r="2327" spans="1:2">
      <c r="A2327" s="100"/>
      <c r="B2327" s="100"/>
    </row>
    <row r="2328" spans="1:2">
      <c r="A2328" s="100"/>
      <c r="B2328" s="100"/>
    </row>
    <row r="2329" spans="1:2">
      <c r="A2329" s="100"/>
      <c r="B2329" s="100"/>
    </row>
    <row r="2330" spans="1:2">
      <c r="A2330" s="100"/>
      <c r="B2330" s="100"/>
    </row>
    <row r="2331" spans="1:2">
      <c r="A2331" s="100"/>
      <c r="B2331" s="100"/>
    </row>
    <row r="2332" spans="1:2">
      <c r="A2332" s="100"/>
      <c r="B2332" s="100"/>
    </row>
    <row r="2333" spans="1:2">
      <c r="A2333" s="100"/>
      <c r="B2333" s="100"/>
    </row>
    <row r="2334" spans="1:2">
      <c r="A2334" s="100"/>
      <c r="B2334" s="100"/>
    </row>
    <row r="2335" spans="1:2">
      <c r="A2335" s="100"/>
      <c r="B2335" s="100"/>
    </row>
    <row r="2336" spans="1:2">
      <c r="A2336" s="100"/>
      <c r="B2336" s="100"/>
    </row>
    <row r="2337" spans="1:2">
      <c r="A2337" s="100"/>
      <c r="B2337" s="100"/>
    </row>
    <row r="2338" spans="1:2">
      <c r="A2338" s="100"/>
      <c r="B2338" s="100"/>
    </row>
    <row r="2339" spans="1:2">
      <c r="A2339" s="100"/>
      <c r="B2339" s="100"/>
    </row>
    <row r="2340" spans="1:2">
      <c r="A2340" s="100"/>
      <c r="B2340" s="100"/>
    </row>
    <row r="2341" spans="1:2">
      <c r="A2341" s="100"/>
      <c r="B2341" s="100"/>
    </row>
    <row r="2342" spans="1:2">
      <c r="A2342" s="100"/>
      <c r="B2342" s="100"/>
    </row>
    <row r="2343" spans="1:2">
      <c r="A2343" s="100"/>
      <c r="B2343" s="100"/>
    </row>
    <row r="2344" spans="1:2">
      <c r="A2344" s="100"/>
      <c r="B2344" s="100"/>
    </row>
    <row r="2345" spans="1:2">
      <c r="A2345" s="100"/>
      <c r="B2345" s="100"/>
    </row>
    <row r="2346" spans="1:2">
      <c r="A2346" s="100"/>
      <c r="B2346" s="100"/>
    </row>
    <row r="2347" spans="1:2">
      <c r="A2347" s="100"/>
      <c r="B2347" s="100"/>
    </row>
    <row r="2348" spans="1:2">
      <c r="A2348" s="100"/>
      <c r="B2348" s="100"/>
    </row>
    <row r="2349" spans="1:2">
      <c r="A2349" s="100"/>
      <c r="B2349" s="100"/>
    </row>
    <row r="2350" spans="1:2">
      <c r="A2350" s="100"/>
      <c r="B2350" s="100"/>
    </row>
    <row r="2351" spans="1:2">
      <c r="A2351" s="100"/>
      <c r="B2351" s="100"/>
    </row>
    <row r="2352" spans="1:2">
      <c r="A2352" s="100"/>
      <c r="B2352" s="100"/>
    </row>
    <row r="2353" spans="1:2">
      <c r="A2353" s="100"/>
      <c r="B2353" s="100"/>
    </row>
    <row r="2354" spans="1:2">
      <c r="A2354" s="100"/>
      <c r="B2354" s="100"/>
    </row>
    <row r="2355" spans="1:2">
      <c r="A2355" s="100"/>
      <c r="B2355" s="100"/>
    </row>
    <row r="2356" spans="1:2">
      <c r="A2356" s="100"/>
      <c r="B2356" s="100"/>
    </row>
    <row r="2357" spans="1:2">
      <c r="A2357" s="100"/>
      <c r="B2357" s="100"/>
    </row>
    <row r="2358" spans="1:2">
      <c r="A2358" s="100"/>
      <c r="B2358" s="100"/>
    </row>
    <row r="2359" spans="1:2">
      <c r="A2359" s="100"/>
      <c r="B2359" s="100"/>
    </row>
    <row r="2360" spans="1:2">
      <c r="A2360" s="100"/>
      <c r="B2360" s="100"/>
    </row>
    <row r="2361" spans="1:2">
      <c r="A2361" s="100"/>
      <c r="B2361" s="100"/>
    </row>
    <row r="2362" spans="1:2">
      <c r="A2362" s="100"/>
      <c r="B2362" s="100"/>
    </row>
    <row r="2363" spans="1:2">
      <c r="A2363" s="100"/>
      <c r="B2363" s="100"/>
    </row>
    <row r="2364" spans="1:2">
      <c r="A2364" s="100"/>
      <c r="B2364" s="100"/>
    </row>
    <row r="2365" spans="1:2">
      <c r="A2365" s="100"/>
      <c r="B2365" s="100"/>
    </row>
    <row r="2366" spans="1:2">
      <c r="A2366" s="100"/>
      <c r="B2366" s="100"/>
    </row>
    <row r="2367" spans="1:2">
      <c r="A2367" s="100"/>
      <c r="B2367" s="100"/>
    </row>
    <row r="2368" spans="1:2">
      <c r="A2368" s="100"/>
      <c r="B2368" s="100"/>
    </row>
    <row r="2369" spans="1:2">
      <c r="A2369" s="100"/>
      <c r="B2369" s="100"/>
    </row>
    <row r="2370" spans="1:2">
      <c r="A2370" s="100"/>
      <c r="B2370" s="100"/>
    </row>
    <row r="2371" spans="1:2">
      <c r="A2371" s="100"/>
      <c r="B2371" s="100"/>
    </row>
    <row r="2372" spans="1:2">
      <c r="A2372" s="100"/>
      <c r="B2372" s="100"/>
    </row>
    <row r="2373" spans="1:2">
      <c r="A2373" s="100"/>
      <c r="B2373" s="100"/>
    </row>
    <row r="2374" spans="1:2">
      <c r="A2374" s="100"/>
      <c r="B2374" s="100"/>
    </row>
    <row r="2375" spans="1:2">
      <c r="A2375" s="100"/>
      <c r="B2375" s="100"/>
    </row>
    <row r="2376" spans="1:2">
      <c r="A2376" s="100"/>
      <c r="B2376" s="100"/>
    </row>
    <row r="2377" spans="1:2">
      <c r="A2377" s="100"/>
      <c r="B2377" s="100"/>
    </row>
    <row r="2378" spans="1:2">
      <c r="A2378" s="100"/>
      <c r="B2378" s="100"/>
    </row>
    <row r="2379" spans="1:2">
      <c r="A2379" s="100"/>
      <c r="B2379" s="100"/>
    </row>
    <row r="2380" spans="1:2">
      <c r="A2380" s="100"/>
      <c r="B2380" s="100"/>
    </row>
    <row r="2381" spans="1:2">
      <c r="A2381" s="100"/>
      <c r="B2381" s="100"/>
    </row>
    <row r="2382" spans="1:2">
      <c r="A2382" s="100"/>
      <c r="B2382" s="100"/>
    </row>
    <row r="2383" spans="1:2">
      <c r="A2383" s="100"/>
      <c r="B2383" s="100"/>
    </row>
    <row r="2384" spans="1:2">
      <c r="A2384" s="100"/>
      <c r="B2384" s="100"/>
    </row>
    <row r="2385" spans="1:2">
      <c r="A2385" s="100"/>
      <c r="B2385" s="100"/>
    </row>
    <row r="2386" spans="1:2">
      <c r="A2386" s="100"/>
      <c r="B2386" s="100"/>
    </row>
    <row r="2387" spans="1:2">
      <c r="A2387" s="100"/>
      <c r="B2387" s="100"/>
    </row>
    <row r="2388" spans="1:2">
      <c r="A2388" s="100"/>
      <c r="B2388" s="100"/>
    </row>
    <row r="2389" spans="1:2">
      <c r="A2389" s="100"/>
      <c r="B2389" s="100"/>
    </row>
    <row r="2390" spans="1:2">
      <c r="A2390" s="100"/>
      <c r="B2390" s="100"/>
    </row>
    <row r="2391" spans="1:2">
      <c r="A2391" s="100"/>
      <c r="B2391" s="100"/>
    </row>
    <row r="2392" spans="1:2">
      <c r="A2392" s="100"/>
      <c r="B2392" s="100"/>
    </row>
    <row r="2393" spans="1:2">
      <c r="A2393" s="100"/>
      <c r="B2393" s="100"/>
    </row>
    <row r="2394" spans="1:2">
      <c r="A2394" s="100"/>
      <c r="B2394" s="100"/>
    </row>
    <row r="2395" spans="1:2">
      <c r="A2395" s="100"/>
      <c r="B2395" s="100"/>
    </row>
    <row r="2396" spans="1:2">
      <c r="A2396" s="100"/>
      <c r="B2396" s="100"/>
    </row>
    <row r="2397" spans="1:2">
      <c r="A2397" s="100"/>
      <c r="B2397" s="100"/>
    </row>
    <row r="2398" spans="1:2">
      <c r="A2398" s="100"/>
      <c r="B2398" s="100"/>
    </row>
    <row r="2399" spans="1:2">
      <c r="A2399" s="100"/>
      <c r="B2399" s="100"/>
    </row>
    <row r="2400" spans="1:2">
      <c r="A2400" s="100"/>
      <c r="B2400" s="100"/>
    </row>
    <row r="2401" spans="1:2">
      <c r="A2401" s="100"/>
      <c r="B2401" s="100"/>
    </row>
    <row r="2402" spans="1:2">
      <c r="A2402" s="100"/>
      <c r="B2402" s="100"/>
    </row>
    <row r="2403" spans="1:2">
      <c r="A2403" s="100"/>
      <c r="B2403" s="100"/>
    </row>
    <row r="2404" spans="1:2">
      <c r="A2404" s="100"/>
      <c r="B2404" s="100"/>
    </row>
    <row r="2405" spans="1:2">
      <c r="A2405" s="100"/>
      <c r="B2405" s="100"/>
    </row>
    <row r="2406" spans="1:2">
      <c r="A2406" s="100"/>
      <c r="B2406" s="100"/>
    </row>
    <row r="2407" spans="1:2">
      <c r="A2407" s="100"/>
      <c r="B2407" s="100"/>
    </row>
    <row r="2408" spans="1:2">
      <c r="A2408" s="100"/>
      <c r="B2408" s="100"/>
    </row>
    <row r="2409" spans="1:2">
      <c r="A2409" s="100"/>
      <c r="B2409" s="100"/>
    </row>
    <row r="2410" spans="1:2">
      <c r="A2410" s="100"/>
      <c r="B2410" s="100"/>
    </row>
    <row r="2411" spans="1:2">
      <c r="A2411" s="100"/>
      <c r="B2411" s="100"/>
    </row>
    <row r="2412" spans="1:2">
      <c r="A2412" s="100"/>
      <c r="B2412" s="100"/>
    </row>
    <row r="2413" spans="1:2">
      <c r="A2413" s="100"/>
      <c r="B2413" s="100"/>
    </row>
    <row r="2414" spans="1:2">
      <c r="A2414" s="100"/>
      <c r="B2414" s="100"/>
    </row>
    <row r="2415" spans="1:2">
      <c r="A2415" s="100"/>
      <c r="B2415" s="100"/>
    </row>
    <row r="2416" spans="1:2">
      <c r="A2416" s="100"/>
      <c r="B2416" s="100"/>
    </row>
    <row r="2417" spans="1:2">
      <c r="A2417" s="100"/>
      <c r="B2417" s="100"/>
    </row>
    <row r="2418" spans="1:2">
      <c r="A2418" s="100"/>
      <c r="B2418" s="100"/>
    </row>
    <row r="2419" spans="1:2">
      <c r="A2419" s="100"/>
      <c r="B2419" s="100"/>
    </row>
    <row r="2420" spans="1:2">
      <c r="A2420" s="100"/>
      <c r="B2420" s="100"/>
    </row>
    <row r="2421" spans="1:2">
      <c r="A2421" s="100"/>
      <c r="B2421" s="100"/>
    </row>
    <row r="2422" spans="1:2">
      <c r="A2422" s="100"/>
      <c r="B2422" s="100"/>
    </row>
    <row r="2423" spans="1:2">
      <c r="A2423" s="100"/>
      <c r="B2423" s="100"/>
    </row>
    <row r="2424" spans="1:2">
      <c r="A2424" s="100"/>
      <c r="B2424" s="100"/>
    </row>
    <row r="2425" spans="1:2">
      <c r="A2425" s="100"/>
      <c r="B2425" s="100"/>
    </row>
    <row r="2426" spans="1:2">
      <c r="A2426" s="100"/>
      <c r="B2426" s="100"/>
    </row>
    <row r="2427" spans="1:2">
      <c r="A2427" s="100"/>
      <c r="B2427" s="100"/>
    </row>
    <row r="2428" spans="1:2">
      <c r="A2428" s="100"/>
      <c r="B2428" s="100"/>
    </row>
    <row r="2429" spans="1:2">
      <c r="A2429" s="100"/>
      <c r="B2429" s="100"/>
    </row>
    <row r="2430" spans="1:2">
      <c r="A2430" s="100"/>
      <c r="B2430" s="100"/>
    </row>
    <row r="2431" spans="1:2">
      <c r="A2431" s="100"/>
      <c r="B2431" s="100"/>
    </row>
    <row r="2432" spans="1:2">
      <c r="A2432" s="100"/>
      <c r="B2432" s="100"/>
    </row>
    <row r="2433" spans="1:2">
      <c r="A2433" s="100"/>
      <c r="B2433" s="100"/>
    </row>
    <row r="2434" spans="1:2">
      <c r="A2434" s="100"/>
      <c r="B2434" s="100"/>
    </row>
    <row r="2435" spans="1:2">
      <c r="A2435" s="100"/>
      <c r="B2435" s="100"/>
    </row>
    <row r="2436" spans="1:2">
      <c r="A2436" s="100"/>
      <c r="B2436" s="100"/>
    </row>
    <row r="2437" spans="1:2">
      <c r="A2437" s="100"/>
      <c r="B2437" s="100"/>
    </row>
    <row r="2438" spans="1:2">
      <c r="A2438" s="100"/>
      <c r="B2438" s="100"/>
    </row>
    <row r="2439" spans="1:2">
      <c r="A2439" s="100"/>
      <c r="B2439" s="100"/>
    </row>
    <row r="2440" spans="1:2">
      <c r="A2440" s="100"/>
      <c r="B2440" s="100"/>
    </row>
    <row r="2441" spans="1:2">
      <c r="A2441" s="100"/>
      <c r="B2441" s="100"/>
    </row>
    <row r="2442" spans="1:2">
      <c r="A2442" s="100"/>
      <c r="B2442" s="100"/>
    </row>
    <row r="2443" spans="1:2">
      <c r="A2443" s="100"/>
      <c r="B2443" s="100"/>
    </row>
    <row r="2444" spans="1:2">
      <c r="A2444" s="100"/>
      <c r="B2444" s="100"/>
    </row>
    <row r="2445" spans="1:2">
      <c r="A2445" s="100"/>
      <c r="B2445" s="100"/>
    </row>
    <row r="2446" spans="1:2">
      <c r="A2446" s="100"/>
      <c r="B2446" s="100"/>
    </row>
    <row r="2447" spans="1:2">
      <c r="A2447" s="100"/>
      <c r="B2447" s="100"/>
    </row>
    <row r="2448" spans="1:2">
      <c r="A2448" s="100"/>
      <c r="B2448" s="100"/>
    </row>
    <row r="2449" spans="1:2">
      <c r="A2449" s="100"/>
      <c r="B2449" s="100"/>
    </row>
    <row r="2450" spans="1:2">
      <c r="A2450" s="100"/>
      <c r="B2450" s="100"/>
    </row>
    <row r="2451" spans="1:2">
      <c r="A2451" s="100"/>
      <c r="B2451" s="100"/>
    </row>
    <row r="2452" spans="1:2">
      <c r="A2452" s="100"/>
      <c r="B2452" s="100"/>
    </row>
    <row r="2453" spans="1:2">
      <c r="A2453" s="100"/>
      <c r="B2453" s="100"/>
    </row>
    <row r="2454" spans="1:2">
      <c r="A2454" s="100"/>
      <c r="B2454" s="100"/>
    </row>
    <row r="2455" spans="1:2">
      <c r="A2455" s="100"/>
      <c r="B2455" s="100"/>
    </row>
    <row r="2456" spans="1:2">
      <c r="A2456" s="100"/>
      <c r="B2456" s="100"/>
    </row>
    <row r="2457" spans="1:2">
      <c r="A2457" s="100"/>
      <c r="B2457" s="100"/>
    </row>
    <row r="2458" spans="1:2">
      <c r="A2458" s="100"/>
      <c r="B2458" s="100"/>
    </row>
    <row r="2459" spans="1:2">
      <c r="A2459" s="100"/>
      <c r="B2459" s="100"/>
    </row>
    <row r="2460" spans="1:2">
      <c r="A2460" s="100"/>
      <c r="B2460" s="100"/>
    </row>
    <row r="2461" spans="1:2">
      <c r="A2461" s="100"/>
      <c r="B2461" s="100"/>
    </row>
    <row r="2462" spans="1:2">
      <c r="A2462" s="100"/>
      <c r="B2462" s="100"/>
    </row>
    <row r="2463" spans="1:2">
      <c r="A2463" s="100"/>
      <c r="B2463" s="100"/>
    </row>
    <row r="2464" spans="1:2">
      <c r="A2464" s="100"/>
      <c r="B2464" s="100"/>
    </row>
    <row r="2465" spans="1:2">
      <c r="A2465" s="100"/>
      <c r="B2465" s="100"/>
    </row>
    <row r="2466" spans="1:2">
      <c r="A2466" s="100"/>
      <c r="B2466" s="100"/>
    </row>
    <row r="2467" spans="1:2">
      <c r="A2467" s="100"/>
      <c r="B2467" s="100"/>
    </row>
    <row r="2468" spans="1:2">
      <c r="A2468" s="100"/>
      <c r="B2468" s="100"/>
    </row>
    <row r="2469" spans="1:2">
      <c r="A2469" s="100"/>
      <c r="B2469" s="100"/>
    </row>
    <row r="2470" spans="1:2">
      <c r="A2470" s="100"/>
      <c r="B2470" s="100"/>
    </row>
    <row r="2471" spans="1:2">
      <c r="A2471" s="100"/>
      <c r="B2471" s="100"/>
    </row>
    <row r="2472" spans="1:2">
      <c r="A2472" s="100"/>
      <c r="B2472" s="100"/>
    </row>
    <row r="2473" spans="1:2">
      <c r="A2473" s="100"/>
      <c r="B2473" s="100"/>
    </row>
    <row r="2474" spans="1:2">
      <c r="A2474" s="100"/>
      <c r="B2474" s="100"/>
    </row>
    <row r="2475" spans="1:2">
      <c r="A2475" s="100"/>
      <c r="B2475" s="100"/>
    </row>
    <row r="2476" spans="1:2">
      <c r="A2476" s="100"/>
      <c r="B2476" s="100"/>
    </row>
    <row r="2477" spans="1:2">
      <c r="A2477" s="100"/>
      <c r="B2477" s="100"/>
    </row>
    <row r="2478" spans="1:2">
      <c r="A2478" s="100"/>
      <c r="B2478" s="100"/>
    </row>
    <row r="2479" spans="1:2">
      <c r="A2479" s="100"/>
      <c r="B2479" s="100"/>
    </row>
    <row r="2480" spans="1:2">
      <c r="A2480" s="100"/>
      <c r="B2480" s="100"/>
    </row>
    <row r="2481" spans="1:2">
      <c r="A2481" s="100"/>
      <c r="B2481" s="100"/>
    </row>
    <row r="2482" spans="1:2">
      <c r="A2482" s="100"/>
      <c r="B2482" s="100"/>
    </row>
    <row r="2483" spans="1:2">
      <c r="A2483" s="100"/>
      <c r="B2483" s="100"/>
    </row>
    <row r="2484" spans="1:2">
      <c r="A2484" s="100"/>
      <c r="B2484" s="100"/>
    </row>
    <row r="2485" spans="1:2">
      <c r="A2485" s="100"/>
      <c r="B2485" s="100"/>
    </row>
    <row r="2486" spans="1:2">
      <c r="A2486" s="100"/>
      <c r="B2486" s="100"/>
    </row>
    <row r="2487" spans="1:2">
      <c r="A2487" s="100"/>
      <c r="B2487" s="100"/>
    </row>
    <row r="2488" spans="1:2">
      <c r="A2488" s="100"/>
      <c r="B2488" s="100"/>
    </row>
    <row r="2489" spans="1:2">
      <c r="A2489" s="100"/>
      <c r="B2489" s="100"/>
    </row>
    <row r="2490" spans="1:2">
      <c r="A2490" s="100"/>
      <c r="B2490" s="100"/>
    </row>
    <row r="2491" spans="1:2">
      <c r="A2491" s="100"/>
      <c r="B2491" s="100"/>
    </row>
    <row r="2492" spans="1:2">
      <c r="A2492" s="100"/>
      <c r="B2492" s="100"/>
    </row>
    <row r="2493" spans="1:2">
      <c r="A2493" s="100"/>
      <c r="B2493" s="100"/>
    </row>
    <row r="2494" spans="1:2">
      <c r="A2494" s="100"/>
      <c r="B2494" s="100"/>
    </row>
    <row r="2495" spans="1:2">
      <c r="A2495" s="100"/>
      <c r="B2495" s="100"/>
    </row>
    <row r="2496" spans="1:2">
      <c r="A2496" s="100"/>
      <c r="B2496" s="100"/>
    </row>
    <row r="2497" spans="1:2">
      <c r="A2497" s="100"/>
      <c r="B2497" s="100"/>
    </row>
    <row r="2498" spans="1:2">
      <c r="A2498" s="100"/>
      <c r="B2498" s="100"/>
    </row>
    <row r="2499" spans="1:2">
      <c r="A2499" s="100"/>
      <c r="B2499" s="100"/>
    </row>
    <row r="2500" spans="1:2">
      <c r="A2500" s="100"/>
      <c r="B2500" s="100"/>
    </row>
    <row r="2501" spans="1:2">
      <c r="A2501" s="100"/>
      <c r="B2501" s="100"/>
    </row>
    <row r="2502" spans="1:2">
      <c r="A2502" s="100"/>
      <c r="B2502" s="100"/>
    </row>
    <row r="2503" spans="1:2">
      <c r="A2503" s="100"/>
      <c r="B2503" s="100"/>
    </row>
    <row r="2504" spans="1:2">
      <c r="A2504" s="100"/>
      <c r="B2504" s="100"/>
    </row>
    <row r="2505" spans="1:2">
      <c r="A2505" s="100"/>
      <c r="B2505" s="100"/>
    </row>
    <row r="2506" spans="1:2">
      <c r="A2506" s="100"/>
      <c r="B2506" s="100"/>
    </row>
    <row r="2507" spans="1:2">
      <c r="A2507" s="100"/>
      <c r="B2507" s="100"/>
    </row>
    <row r="2508" spans="1:2">
      <c r="A2508" s="100"/>
      <c r="B2508" s="100"/>
    </row>
    <row r="2509" spans="1:2">
      <c r="A2509" s="100"/>
      <c r="B2509" s="100"/>
    </row>
    <row r="2510" spans="1:2">
      <c r="A2510" s="100"/>
      <c r="B2510" s="100"/>
    </row>
    <row r="2511" spans="1:2">
      <c r="A2511" s="100"/>
      <c r="B2511" s="100"/>
    </row>
    <row r="2512" spans="1:2">
      <c r="A2512" s="100"/>
      <c r="B2512" s="100"/>
    </row>
    <row r="2513" spans="1:2">
      <c r="A2513" s="100"/>
      <c r="B2513" s="100"/>
    </row>
    <row r="2514" spans="1:2">
      <c r="A2514" s="100"/>
      <c r="B2514" s="100"/>
    </row>
    <row r="2515" spans="1:2">
      <c r="A2515" s="100"/>
      <c r="B2515" s="100"/>
    </row>
    <row r="2516" spans="1:2">
      <c r="A2516" s="100"/>
      <c r="B2516" s="100"/>
    </row>
    <row r="2517" spans="1:2">
      <c r="A2517" s="100"/>
      <c r="B2517" s="100"/>
    </row>
    <row r="2518" spans="1:2">
      <c r="A2518" s="100"/>
      <c r="B2518" s="100"/>
    </row>
    <row r="2519" spans="1:2">
      <c r="A2519" s="100"/>
      <c r="B2519" s="100"/>
    </row>
    <row r="2520" spans="1:2">
      <c r="A2520" s="100"/>
      <c r="B2520" s="100"/>
    </row>
    <row r="2521" spans="1:2">
      <c r="A2521" s="100"/>
      <c r="B2521" s="100"/>
    </row>
    <row r="2522" spans="1:2">
      <c r="A2522" s="100"/>
      <c r="B2522" s="100"/>
    </row>
    <row r="2523" spans="1:2">
      <c r="A2523" s="100"/>
      <c r="B2523" s="100"/>
    </row>
    <row r="2524" spans="1:2">
      <c r="A2524" s="100"/>
      <c r="B2524" s="100"/>
    </row>
    <row r="2525" spans="1:2">
      <c r="A2525" s="100"/>
      <c r="B2525" s="100"/>
    </row>
    <row r="2526" spans="1:2">
      <c r="A2526" s="100"/>
      <c r="B2526" s="100"/>
    </row>
    <row r="2527" spans="1:2">
      <c r="A2527" s="100"/>
      <c r="B2527" s="100"/>
    </row>
    <row r="2528" spans="1:2">
      <c r="A2528" s="100"/>
      <c r="B2528" s="100"/>
    </row>
    <row r="2529" spans="1:2">
      <c r="A2529" s="100"/>
      <c r="B2529" s="100"/>
    </row>
    <row r="2530" spans="1:2">
      <c r="A2530" s="100"/>
      <c r="B2530" s="100"/>
    </row>
    <row r="2531" spans="1:2">
      <c r="A2531" s="100"/>
      <c r="B2531" s="100"/>
    </row>
    <row r="2532" spans="1:2">
      <c r="A2532" s="100"/>
      <c r="B2532" s="100"/>
    </row>
    <row r="2533" spans="1:2">
      <c r="A2533" s="100"/>
      <c r="B2533" s="100"/>
    </row>
    <row r="2534" spans="1:2">
      <c r="A2534" s="100"/>
      <c r="B2534" s="100"/>
    </row>
    <row r="2535" spans="1:2">
      <c r="A2535" s="100"/>
      <c r="B2535" s="100"/>
    </row>
    <row r="2536" spans="1:2">
      <c r="A2536" s="100"/>
      <c r="B2536" s="100"/>
    </row>
    <row r="2537" spans="1:2">
      <c r="A2537" s="100"/>
      <c r="B2537" s="100"/>
    </row>
    <row r="2538" spans="1:2">
      <c r="A2538" s="100"/>
      <c r="B2538" s="100"/>
    </row>
    <row r="2539" spans="1:2">
      <c r="A2539" s="100"/>
      <c r="B2539" s="100"/>
    </row>
    <row r="2540" spans="1:2">
      <c r="A2540" s="100"/>
      <c r="B2540" s="100"/>
    </row>
    <row r="2541" spans="1:2">
      <c r="A2541" s="100"/>
      <c r="B2541" s="100"/>
    </row>
    <row r="2542" spans="1:2">
      <c r="A2542" s="100"/>
      <c r="B2542" s="100"/>
    </row>
    <row r="2543" spans="1:2">
      <c r="A2543" s="100"/>
      <c r="B2543" s="100"/>
    </row>
    <row r="2544" spans="1:2">
      <c r="A2544" s="100"/>
      <c r="B2544" s="100"/>
    </row>
    <row r="2545" spans="1:2">
      <c r="A2545" s="100"/>
      <c r="B2545" s="100"/>
    </row>
    <row r="2546" spans="1:2">
      <c r="A2546" s="100"/>
      <c r="B2546" s="100"/>
    </row>
    <row r="2547" spans="1:2">
      <c r="A2547" s="100"/>
      <c r="B2547" s="100"/>
    </row>
    <row r="2548" spans="1:2">
      <c r="A2548" s="100"/>
      <c r="B2548" s="100"/>
    </row>
    <row r="2549" spans="1:2">
      <c r="A2549" s="100"/>
      <c r="B2549" s="100"/>
    </row>
    <row r="2550" spans="1:2">
      <c r="A2550" s="100"/>
      <c r="B2550" s="100"/>
    </row>
    <row r="2551" spans="1:2">
      <c r="A2551" s="100"/>
      <c r="B2551" s="100"/>
    </row>
    <row r="2552" spans="1:2">
      <c r="A2552" s="100"/>
      <c r="B2552" s="100"/>
    </row>
    <row r="2553" spans="1:2">
      <c r="A2553" s="100"/>
      <c r="B2553" s="100"/>
    </row>
    <row r="2554" spans="1:2">
      <c r="A2554" s="100"/>
      <c r="B2554" s="100"/>
    </row>
    <row r="2555" spans="1:2">
      <c r="A2555" s="100"/>
      <c r="B2555" s="100"/>
    </row>
    <row r="2556" spans="1:2">
      <c r="A2556" s="100"/>
      <c r="B2556" s="100"/>
    </row>
    <row r="2557" spans="1:2">
      <c r="A2557" s="100"/>
      <c r="B2557" s="100"/>
    </row>
    <row r="2558" spans="1:2">
      <c r="A2558" s="100"/>
      <c r="B2558" s="100"/>
    </row>
    <row r="2559" spans="1:2">
      <c r="A2559" s="100"/>
      <c r="B2559" s="100"/>
    </row>
    <row r="2560" spans="1:2">
      <c r="A2560" s="100"/>
      <c r="B2560" s="100"/>
    </row>
    <row r="2561" spans="1:2">
      <c r="A2561" s="100"/>
      <c r="B2561" s="100"/>
    </row>
    <row r="2562" spans="1:2">
      <c r="A2562" s="100"/>
      <c r="B2562" s="100"/>
    </row>
    <row r="2563" spans="1:2">
      <c r="A2563" s="100"/>
      <c r="B2563" s="100"/>
    </row>
    <row r="2564" spans="1:2">
      <c r="A2564" s="100"/>
      <c r="B2564" s="100"/>
    </row>
    <row r="2565" spans="1:2">
      <c r="A2565" s="100"/>
      <c r="B2565" s="100"/>
    </row>
    <row r="2566" spans="1:2">
      <c r="A2566" s="100"/>
      <c r="B2566" s="100"/>
    </row>
    <row r="2567" spans="1:2">
      <c r="A2567" s="100"/>
      <c r="B2567" s="100"/>
    </row>
    <row r="2568" spans="1:2">
      <c r="A2568" s="100"/>
      <c r="B2568" s="100"/>
    </row>
    <row r="2569" spans="1:2">
      <c r="A2569" s="100"/>
      <c r="B2569" s="100"/>
    </row>
    <row r="2570" spans="1:2">
      <c r="A2570" s="100"/>
      <c r="B2570" s="100"/>
    </row>
    <row r="2571" spans="1:2">
      <c r="A2571" s="100"/>
      <c r="B2571" s="100"/>
    </row>
    <row r="2572" spans="1:2">
      <c r="A2572" s="100"/>
      <c r="B2572" s="100"/>
    </row>
    <row r="2573" spans="1:2">
      <c r="A2573" s="100"/>
      <c r="B2573" s="100"/>
    </row>
    <row r="2574" spans="1:2">
      <c r="A2574" s="100"/>
      <c r="B2574" s="100"/>
    </row>
    <row r="2575" spans="1:2">
      <c r="A2575" s="100"/>
      <c r="B2575" s="100"/>
    </row>
    <row r="2576" spans="1:2">
      <c r="A2576" s="100"/>
      <c r="B2576" s="100"/>
    </row>
    <row r="2577" spans="1:2">
      <c r="A2577" s="100"/>
      <c r="B2577" s="100"/>
    </row>
    <row r="2578" spans="1:2">
      <c r="A2578" s="100"/>
      <c r="B2578" s="100"/>
    </row>
    <row r="2579" spans="1:2">
      <c r="A2579" s="100"/>
      <c r="B2579" s="100"/>
    </row>
    <row r="2580" spans="1:2">
      <c r="A2580" s="100"/>
      <c r="B2580" s="100"/>
    </row>
    <row r="2581" spans="1:2">
      <c r="A2581" s="100"/>
      <c r="B2581" s="100"/>
    </row>
    <row r="2582" spans="1:2">
      <c r="A2582" s="100"/>
      <c r="B2582" s="100"/>
    </row>
    <row r="2583" spans="1:2">
      <c r="A2583" s="100"/>
      <c r="B2583" s="100"/>
    </row>
    <row r="2584" spans="1:2">
      <c r="A2584" s="100"/>
      <c r="B2584" s="100"/>
    </row>
    <row r="2585" spans="1:2">
      <c r="A2585" s="100"/>
      <c r="B2585" s="100"/>
    </row>
    <row r="2586" spans="1:2">
      <c r="A2586" s="100"/>
      <c r="B2586" s="100"/>
    </row>
    <row r="2587" spans="1:2">
      <c r="A2587" s="100"/>
      <c r="B2587" s="100"/>
    </row>
    <row r="2588" spans="1:2">
      <c r="A2588" s="100"/>
      <c r="B2588" s="100"/>
    </row>
    <row r="2589" spans="1:2">
      <c r="A2589" s="100"/>
      <c r="B2589" s="100"/>
    </row>
    <row r="2590" spans="1:2">
      <c r="A2590" s="100"/>
      <c r="B2590" s="100"/>
    </row>
    <row r="2591" spans="1:2">
      <c r="A2591" s="100"/>
      <c r="B2591" s="100"/>
    </row>
    <row r="2592" spans="1:2">
      <c r="A2592" s="100"/>
      <c r="B2592" s="100"/>
    </row>
    <row r="2593" spans="1:2">
      <c r="A2593" s="100"/>
      <c r="B2593" s="100"/>
    </row>
    <row r="2594" spans="1:2">
      <c r="A2594" s="100"/>
      <c r="B2594" s="100"/>
    </row>
    <row r="2595" spans="1:2">
      <c r="A2595" s="100"/>
      <c r="B2595" s="100"/>
    </row>
    <row r="2596" spans="1:2">
      <c r="A2596" s="100"/>
      <c r="B2596" s="100"/>
    </row>
    <row r="2597" spans="1:2">
      <c r="A2597" s="100"/>
      <c r="B2597" s="100"/>
    </row>
    <row r="2598" spans="1:2">
      <c r="A2598" s="100"/>
      <c r="B2598" s="100"/>
    </row>
    <row r="2599" spans="1:2">
      <c r="A2599" s="100"/>
      <c r="B2599" s="100"/>
    </row>
    <row r="2600" spans="1:2">
      <c r="A2600" s="100"/>
      <c r="B2600" s="100"/>
    </row>
    <row r="2601" spans="1:2">
      <c r="A2601" s="100"/>
      <c r="B2601" s="100"/>
    </row>
    <row r="2602" spans="1:2">
      <c r="A2602" s="100"/>
      <c r="B2602" s="100"/>
    </row>
    <row r="2603" spans="1:2">
      <c r="A2603" s="100"/>
      <c r="B2603" s="100"/>
    </row>
    <row r="2604" spans="1:2">
      <c r="A2604" s="100"/>
      <c r="B2604" s="100"/>
    </row>
    <row r="2605" spans="1:2">
      <c r="A2605" s="100"/>
      <c r="B2605" s="100"/>
    </row>
    <row r="2606" spans="1:2">
      <c r="A2606" s="100"/>
      <c r="B2606" s="100"/>
    </row>
    <row r="2607" spans="1:2">
      <c r="A2607" s="100"/>
      <c r="B2607" s="100"/>
    </row>
    <row r="2608" spans="1:2">
      <c r="A2608" s="100"/>
      <c r="B2608" s="100"/>
    </row>
    <row r="2609" spans="1:2">
      <c r="A2609" s="100"/>
      <c r="B2609" s="100"/>
    </row>
    <row r="2610" spans="1:2">
      <c r="A2610" s="100"/>
      <c r="B2610" s="100"/>
    </row>
    <row r="2611" spans="1:2">
      <c r="A2611" s="100"/>
      <c r="B2611" s="100"/>
    </row>
    <row r="2612" spans="1:2">
      <c r="A2612" s="100"/>
      <c r="B2612" s="100"/>
    </row>
    <row r="2613" spans="1:2">
      <c r="A2613" s="100"/>
      <c r="B2613" s="100"/>
    </row>
    <row r="2614" spans="1:2">
      <c r="A2614" s="100"/>
      <c r="B2614" s="100"/>
    </row>
    <row r="2615" spans="1:2">
      <c r="A2615" s="100"/>
      <c r="B2615" s="100"/>
    </row>
    <row r="2616" spans="1:2">
      <c r="A2616" s="100"/>
      <c r="B2616" s="100"/>
    </row>
    <row r="2617" spans="1:2">
      <c r="A2617" s="100"/>
      <c r="B2617" s="100"/>
    </row>
    <row r="2618" spans="1:2">
      <c r="A2618" s="100"/>
      <c r="B2618" s="100"/>
    </row>
    <row r="2619" spans="1:2">
      <c r="A2619" s="100"/>
      <c r="B2619" s="100"/>
    </row>
    <row r="2620" spans="1:2">
      <c r="A2620" s="100"/>
      <c r="B2620" s="100"/>
    </row>
    <row r="2621" spans="1:2">
      <c r="A2621" s="100"/>
      <c r="B2621" s="100"/>
    </row>
    <row r="2622" spans="1:2">
      <c r="A2622" s="100"/>
      <c r="B2622" s="100"/>
    </row>
    <row r="2623" spans="1:2">
      <c r="A2623" s="100"/>
      <c r="B2623" s="100"/>
    </row>
    <row r="2624" spans="1:2">
      <c r="A2624" s="100"/>
      <c r="B2624" s="100"/>
    </row>
    <row r="2625" spans="1:2">
      <c r="A2625" s="100"/>
      <c r="B2625" s="100"/>
    </row>
    <row r="2626" spans="1:2">
      <c r="A2626" s="100"/>
      <c r="B2626" s="100"/>
    </row>
    <row r="2627" spans="1:2">
      <c r="A2627" s="100"/>
      <c r="B2627" s="100"/>
    </row>
    <row r="2628" spans="1:2">
      <c r="A2628" s="100"/>
      <c r="B2628" s="100"/>
    </row>
    <row r="2629" spans="1:2">
      <c r="A2629" s="100"/>
      <c r="B2629" s="100"/>
    </row>
    <row r="2630" spans="1:2">
      <c r="A2630" s="100"/>
      <c r="B2630" s="100"/>
    </row>
    <row r="2631" spans="1:2">
      <c r="A2631" s="100"/>
      <c r="B2631" s="100"/>
    </row>
    <row r="2632" spans="1:2">
      <c r="A2632" s="100"/>
      <c r="B2632" s="100"/>
    </row>
    <row r="2633" spans="1:2">
      <c r="A2633" s="100"/>
      <c r="B2633" s="100"/>
    </row>
    <row r="2634" spans="1:2">
      <c r="A2634" s="100"/>
      <c r="B2634" s="100"/>
    </row>
    <row r="2635" spans="1:2">
      <c r="A2635" s="100"/>
      <c r="B2635" s="100"/>
    </row>
    <row r="2636" spans="1:2">
      <c r="A2636" s="100"/>
      <c r="B2636" s="100"/>
    </row>
    <row r="2637" spans="1:2">
      <c r="A2637" s="100"/>
      <c r="B2637" s="100"/>
    </row>
    <row r="2638" spans="1:2">
      <c r="A2638" s="100"/>
      <c r="B2638" s="100"/>
    </row>
    <row r="2639" spans="1:2">
      <c r="A2639" s="100"/>
      <c r="B2639" s="100"/>
    </row>
    <row r="2640" spans="1:2">
      <c r="A2640" s="100"/>
      <c r="B2640" s="100"/>
    </row>
    <row r="2641" spans="1:2">
      <c r="A2641" s="100"/>
      <c r="B2641" s="100"/>
    </row>
    <row r="2642" spans="1:2">
      <c r="A2642" s="100"/>
      <c r="B2642" s="100"/>
    </row>
    <row r="2643" spans="1:2">
      <c r="A2643" s="100"/>
      <c r="B2643" s="100"/>
    </row>
    <row r="2644" spans="1:2">
      <c r="A2644" s="100"/>
      <c r="B2644" s="100"/>
    </row>
    <row r="2645" spans="1:2">
      <c r="A2645" s="100"/>
      <c r="B2645" s="100"/>
    </row>
    <row r="2646" spans="1:2">
      <c r="A2646" s="100"/>
      <c r="B2646" s="100"/>
    </row>
    <row r="2647" spans="1:2">
      <c r="A2647" s="100"/>
      <c r="B2647" s="100"/>
    </row>
    <row r="2648" spans="1:2">
      <c r="A2648" s="100"/>
      <c r="B2648" s="100"/>
    </row>
    <row r="2649" spans="1:2">
      <c r="A2649" s="100"/>
      <c r="B2649" s="100"/>
    </row>
    <row r="2650" spans="1:2">
      <c r="A2650" s="100"/>
      <c r="B2650" s="100"/>
    </row>
    <row r="2651" spans="1:2">
      <c r="A2651" s="100"/>
      <c r="B2651" s="100"/>
    </row>
    <row r="2652" spans="1:2">
      <c r="A2652" s="100"/>
      <c r="B2652" s="100"/>
    </row>
    <row r="2653" spans="1:2">
      <c r="A2653" s="100"/>
      <c r="B2653" s="100"/>
    </row>
    <row r="2654" spans="1:2">
      <c r="A2654" s="100"/>
      <c r="B2654" s="100"/>
    </row>
    <row r="2655" spans="1:2">
      <c r="A2655" s="100"/>
      <c r="B2655" s="100"/>
    </row>
    <row r="2656" spans="1:2">
      <c r="A2656" s="100"/>
      <c r="B2656" s="100"/>
    </row>
    <row r="2657" spans="1:2">
      <c r="A2657" s="100"/>
      <c r="B2657" s="100"/>
    </row>
    <row r="2658" spans="1:2">
      <c r="A2658" s="100"/>
      <c r="B2658" s="100"/>
    </row>
    <row r="2659" spans="1:2">
      <c r="A2659" s="100"/>
      <c r="B2659" s="100"/>
    </row>
    <row r="2660" spans="1:2">
      <c r="A2660" s="100"/>
      <c r="B2660" s="100"/>
    </row>
    <row r="2661" spans="1:2">
      <c r="A2661" s="100"/>
      <c r="B2661" s="100"/>
    </row>
    <row r="2662" spans="1:2">
      <c r="A2662" s="100"/>
      <c r="B2662" s="100"/>
    </row>
    <row r="2663" spans="1:2">
      <c r="A2663" s="100"/>
      <c r="B2663" s="100"/>
    </row>
    <row r="2664" spans="1:2">
      <c r="A2664" s="100"/>
      <c r="B2664" s="100"/>
    </row>
    <row r="2665" spans="1:2">
      <c r="A2665" s="100"/>
      <c r="B2665" s="100"/>
    </row>
    <row r="2666" spans="1:2">
      <c r="A2666" s="100"/>
      <c r="B2666" s="100"/>
    </row>
    <row r="2667" spans="1:2">
      <c r="A2667" s="100"/>
      <c r="B2667" s="100"/>
    </row>
    <row r="2668" spans="1:2">
      <c r="A2668" s="100"/>
      <c r="B2668" s="100"/>
    </row>
    <row r="2669" spans="1:2">
      <c r="A2669" s="100"/>
      <c r="B2669" s="100"/>
    </row>
    <row r="2670" spans="1:2">
      <c r="A2670" s="100"/>
      <c r="B2670" s="100"/>
    </row>
    <row r="2671" spans="1:2">
      <c r="A2671" s="100"/>
      <c r="B2671" s="100"/>
    </row>
    <row r="2672" spans="1:2">
      <c r="A2672" s="100"/>
      <c r="B2672" s="100"/>
    </row>
    <row r="2673" spans="1:2">
      <c r="A2673" s="100"/>
      <c r="B2673" s="100"/>
    </row>
    <row r="2674" spans="1:2">
      <c r="A2674" s="100"/>
      <c r="B2674" s="100"/>
    </row>
    <row r="2675" spans="1:2">
      <c r="A2675" s="100"/>
      <c r="B2675" s="100"/>
    </row>
    <row r="2676" spans="1:2">
      <c r="A2676" s="100"/>
      <c r="B2676" s="100"/>
    </row>
    <row r="2677" spans="1:2">
      <c r="A2677" s="100"/>
      <c r="B2677" s="100"/>
    </row>
    <row r="2678" spans="1:2">
      <c r="A2678" s="100"/>
      <c r="B2678" s="100"/>
    </row>
    <row r="2679" spans="1:2">
      <c r="A2679" s="100"/>
      <c r="B2679" s="100"/>
    </row>
    <row r="2680" spans="1:2">
      <c r="A2680" s="100"/>
      <c r="B2680" s="100"/>
    </row>
    <row r="2681" spans="1:2">
      <c r="A2681" s="100"/>
      <c r="B2681" s="100"/>
    </row>
    <row r="2682" spans="1:2">
      <c r="A2682" s="100"/>
      <c r="B2682" s="100"/>
    </row>
    <row r="2683" spans="1:2">
      <c r="A2683" s="100"/>
      <c r="B2683" s="100"/>
    </row>
    <row r="2684" spans="1:2">
      <c r="A2684" s="100"/>
      <c r="B2684" s="100"/>
    </row>
    <row r="2685" spans="1:2">
      <c r="A2685" s="100"/>
      <c r="B2685" s="100"/>
    </row>
    <row r="2686" spans="1:2">
      <c r="A2686" s="100"/>
      <c r="B2686" s="100"/>
    </row>
    <row r="2687" spans="1:2">
      <c r="A2687" s="100"/>
      <c r="B2687" s="100"/>
    </row>
    <row r="2688" spans="1:2">
      <c r="A2688" s="100"/>
      <c r="B2688" s="100"/>
    </row>
    <row r="2689" spans="1:2">
      <c r="A2689" s="100"/>
      <c r="B2689" s="100"/>
    </row>
    <row r="2690" spans="1:2">
      <c r="A2690" s="100"/>
      <c r="B2690" s="100"/>
    </row>
    <row r="2691" spans="1:2">
      <c r="A2691" s="100"/>
      <c r="B2691" s="100"/>
    </row>
    <row r="2692" spans="1:2">
      <c r="A2692" s="100"/>
      <c r="B2692" s="100"/>
    </row>
    <row r="2693" spans="1:2">
      <c r="A2693" s="100"/>
      <c r="B2693" s="100"/>
    </row>
    <row r="2694" spans="1:2">
      <c r="A2694" s="100"/>
      <c r="B2694" s="100"/>
    </row>
    <row r="2695" spans="1:2">
      <c r="A2695" s="100"/>
      <c r="B2695" s="100"/>
    </row>
    <row r="2696" spans="1:2">
      <c r="A2696" s="100"/>
      <c r="B2696" s="100"/>
    </row>
    <row r="2697" spans="1:2">
      <c r="A2697" s="100"/>
      <c r="B2697" s="100"/>
    </row>
    <row r="2698" spans="1:2">
      <c r="A2698" s="100"/>
      <c r="B2698" s="100"/>
    </row>
    <row r="2699" spans="1:2">
      <c r="A2699" s="100"/>
      <c r="B2699" s="100"/>
    </row>
    <row r="2700" spans="1:2">
      <c r="A2700" s="100"/>
      <c r="B2700" s="100"/>
    </row>
    <row r="2701" spans="1:2">
      <c r="A2701" s="100"/>
      <c r="B2701" s="100"/>
    </row>
    <row r="2702" spans="1:2">
      <c r="A2702" s="100"/>
      <c r="B2702" s="100"/>
    </row>
    <row r="2703" spans="1:2">
      <c r="A2703" s="100"/>
      <c r="B2703" s="100"/>
    </row>
    <row r="2704" spans="1:2">
      <c r="A2704" s="100"/>
      <c r="B2704" s="100"/>
    </row>
    <row r="2705" spans="1:2">
      <c r="A2705" s="100"/>
      <c r="B2705" s="100"/>
    </row>
    <row r="2706" spans="1:2">
      <c r="A2706" s="100"/>
      <c r="B2706" s="100"/>
    </row>
    <row r="2707" spans="1:2">
      <c r="A2707" s="100"/>
      <c r="B2707" s="100"/>
    </row>
    <row r="2708" spans="1:2">
      <c r="A2708" s="100"/>
      <c r="B2708" s="100"/>
    </row>
    <row r="2709" spans="1:2">
      <c r="A2709" s="100"/>
      <c r="B2709" s="100"/>
    </row>
    <row r="2710" spans="1:2">
      <c r="A2710" s="100"/>
      <c r="B2710" s="100"/>
    </row>
    <row r="2711" spans="1:2">
      <c r="A2711" s="100"/>
      <c r="B2711" s="100"/>
    </row>
    <row r="2712" spans="1:2">
      <c r="A2712" s="100"/>
      <c r="B2712" s="100"/>
    </row>
    <row r="2713" spans="1:2">
      <c r="A2713" s="100"/>
      <c r="B2713" s="100"/>
    </row>
    <row r="2714" spans="1:2">
      <c r="A2714" s="100"/>
      <c r="B2714" s="100"/>
    </row>
    <row r="2715" spans="1:2">
      <c r="A2715" s="100"/>
      <c r="B2715" s="100"/>
    </row>
    <row r="2716" spans="1:2">
      <c r="A2716" s="100"/>
      <c r="B2716" s="100"/>
    </row>
    <row r="2717" spans="1:2">
      <c r="A2717" s="100"/>
      <c r="B2717" s="100"/>
    </row>
    <row r="2718" spans="1:2">
      <c r="A2718" s="100"/>
      <c r="B2718" s="100"/>
    </row>
    <row r="2719" spans="1:2">
      <c r="A2719" s="100"/>
      <c r="B2719" s="100"/>
    </row>
    <row r="2720" spans="1:2">
      <c r="A2720" s="100"/>
      <c r="B2720" s="100"/>
    </row>
    <row r="2721" spans="1:2">
      <c r="A2721" s="100"/>
      <c r="B2721" s="100"/>
    </row>
    <row r="2722" spans="1:2">
      <c r="A2722" s="100"/>
      <c r="B2722" s="100"/>
    </row>
    <row r="2723" spans="1:2">
      <c r="A2723" s="100"/>
      <c r="B2723" s="100"/>
    </row>
    <row r="2724" spans="1:2">
      <c r="A2724" s="100"/>
      <c r="B2724" s="100"/>
    </row>
    <row r="2725" spans="1:2">
      <c r="A2725" s="100"/>
      <c r="B2725" s="100"/>
    </row>
    <row r="2726" spans="1:2">
      <c r="A2726" s="100"/>
      <c r="B2726" s="100"/>
    </row>
    <row r="2727" spans="1:2">
      <c r="A2727" s="100"/>
      <c r="B2727" s="100"/>
    </row>
    <row r="2728" spans="1:2">
      <c r="A2728" s="100"/>
      <c r="B2728" s="100"/>
    </row>
    <row r="2729" spans="1:2">
      <c r="A2729" s="100"/>
      <c r="B2729" s="100"/>
    </row>
    <row r="2730" spans="1:2">
      <c r="A2730" s="100"/>
      <c r="B2730" s="100"/>
    </row>
    <row r="2731" spans="1:2">
      <c r="A2731" s="100"/>
      <c r="B2731" s="100"/>
    </row>
    <row r="2732" spans="1:2">
      <c r="A2732" s="100"/>
      <c r="B2732" s="100"/>
    </row>
    <row r="2733" spans="1:2">
      <c r="A2733" s="100"/>
      <c r="B2733" s="100"/>
    </row>
    <row r="2734" spans="1:2">
      <c r="A2734" s="100"/>
      <c r="B2734" s="100"/>
    </row>
    <row r="2735" spans="1:2">
      <c r="A2735" s="100"/>
      <c r="B2735" s="100"/>
    </row>
    <row r="2736" spans="1:2">
      <c r="A2736" s="100"/>
      <c r="B2736" s="100"/>
    </row>
    <row r="2737" spans="1:2">
      <c r="A2737" s="100"/>
      <c r="B2737" s="100"/>
    </row>
    <row r="2738" spans="1:2">
      <c r="A2738" s="100"/>
      <c r="B2738" s="100"/>
    </row>
    <row r="2739" spans="1:2">
      <c r="A2739" s="100"/>
      <c r="B2739" s="100"/>
    </row>
    <row r="2740" spans="1:2">
      <c r="A2740" s="100"/>
      <c r="B2740" s="100"/>
    </row>
    <row r="2741" spans="1:2">
      <c r="A2741" s="100"/>
      <c r="B2741" s="100"/>
    </row>
    <row r="2742" spans="1:2">
      <c r="A2742" s="100"/>
      <c r="B2742" s="100"/>
    </row>
    <row r="2743" spans="1:2">
      <c r="A2743" s="100"/>
      <c r="B2743" s="100"/>
    </row>
    <row r="2744" spans="1:2">
      <c r="A2744" s="100"/>
      <c r="B2744" s="100"/>
    </row>
    <row r="2745" spans="1:2">
      <c r="A2745" s="100"/>
      <c r="B2745" s="100"/>
    </row>
    <row r="2746" spans="1:2">
      <c r="A2746" s="100"/>
      <c r="B2746" s="100"/>
    </row>
    <row r="2747" spans="1:2">
      <c r="A2747" s="100"/>
      <c r="B2747" s="100"/>
    </row>
    <row r="2748" spans="1:2">
      <c r="A2748" s="100"/>
      <c r="B2748" s="100"/>
    </row>
    <row r="2749" spans="1:2">
      <c r="A2749" s="100"/>
      <c r="B2749" s="100"/>
    </row>
    <row r="2750" spans="1:2">
      <c r="A2750" s="100"/>
      <c r="B2750" s="100"/>
    </row>
    <row r="2751" spans="1:2">
      <c r="A2751" s="100"/>
      <c r="B2751" s="100"/>
    </row>
    <row r="2752" spans="1:2">
      <c r="A2752" s="100"/>
      <c r="B2752" s="100"/>
    </row>
    <row r="2753" spans="1:2">
      <c r="A2753" s="100"/>
      <c r="B2753" s="100"/>
    </row>
    <row r="2754" spans="1:2">
      <c r="A2754" s="100"/>
      <c r="B2754" s="100"/>
    </row>
    <row r="2755" spans="1:2">
      <c r="A2755" s="100"/>
      <c r="B2755" s="100"/>
    </row>
    <row r="2756" spans="1:2">
      <c r="A2756" s="100"/>
      <c r="B2756" s="100"/>
    </row>
    <row r="2757" spans="1:2">
      <c r="A2757" s="100"/>
      <c r="B2757" s="100"/>
    </row>
    <row r="2758" spans="1:2">
      <c r="A2758" s="100"/>
      <c r="B2758" s="100"/>
    </row>
    <row r="2759" spans="1:2">
      <c r="A2759" s="100"/>
      <c r="B2759" s="100"/>
    </row>
    <row r="2760" spans="1:2">
      <c r="A2760" s="100"/>
      <c r="B2760" s="100"/>
    </row>
    <row r="2761" spans="1:2">
      <c r="A2761" s="100"/>
      <c r="B2761" s="100"/>
    </row>
    <row r="2762" spans="1:2">
      <c r="A2762" s="100"/>
      <c r="B2762" s="100"/>
    </row>
    <row r="2763" spans="1:2">
      <c r="A2763" s="100"/>
      <c r="B2763" s="100"/>
    </row>
    <row r="2764" spans="1:2">
      <c r="A2764" s="100"/>
      <c r="B2764" s="100"/>
    </row>
    <row r="2765" spans="1:2">
      <c r="A2765" s="100"/>
      <c r="B2765" s="100"/>
    </row>
    <row r="2766" spans="1:2">
      <c r="A2766" s="100"/>
      <c r="B2766" s="100"/>
    </row>
    <row r="2767" spans="1:2">
      <c r="A2767" s="100"/>
      <c r="B2767" s="100"/>
    </row>
    <row r="2768" spans="1:2">
      <c r="A2768" s="100"/>
      <c r="B2768" s="100"/>
    </row>
    <row r="2769" spans="1:2">
      <c r="A2769" s="100"/>
      <c r="B2769" s="100"/>
    </row>
    <row r="2770" spans="1:2">
      <c r="A2770" s="100"/>
      <c r="B2770" s="100"/>
    </row>
    <row r="2771" spans="1:2">
      <c r="A2771" s="100"/>
      <c r="B2771" s="100"/>
    </row>
    <row r="2772" spans="1:2">
      <c r="A2772" s="100"/>
      <c r="B2772" s="100"/>
    </row>
    <row r="2773" spans="1:2">
      <c r="A2773" s="100"/>
      <c r="B2773" s="100"/>
    </row>
    <row r="2774" spans="1:2">
      <c r="A2774" s="100"/>
      <c r="B2774" s="100"/>
    </row>
    <row r="2775" spans="1:2">
      <c r="A2775" s="100"/>
      <c r="B2775" s="100"/>
    </row>
    <row r="2776" spans="1:2">
      <c r="A2776" s="100"/>
      <c r="B2776" s="100"/>
    </row>
    <row r="2777" spans="1:2">
      <c r="A2777" s="100"/>
      <c r="B2777" s="100"/>
    </row>
    <row r="2778" spans="1:2">
      <c r="A2778" s="100"/>
      <c r="B2778" s="100"/>
    </row>
    <row r="2779" spans="1:2">
      <c r="A2779" s="100"/>
      <c r="B2779" s="100"/>
    </row>
    <row r="2780" spans="1:2">
      <c r="A2780" s="100"/>
      <c r="B2780" s="100"/>
    </row>
    <row r="2781" spans="1:2">
      <c r="A2781" s="100"/>
      <c r="B2781" s="100"/>
    </row>
    <row r="2782" spans="1:2">
      <c r="A2782" s="100"/>
      <c r="B2782" s="100"/>
    </row>
    <row r="2783" spans="1:2">
      <c r="A2783" s="100"/>
      <c r="B2783" s="100"/>
    </row>
    <row r="2784" spans="1:2">
      <c r="A2784" s="100"/>
      <c r="B2784" s="100"/>
    </row>
    <row r="2785" spans="1:2">
      <c r="A2785" s="100"/>
      <c r="B2785" s="100"/>
    </row>
    <row r="2786" spans="1:2">
      <c r="A2786" s="100"/>
      <c r="B2786" s="100"/>
    </row>
    <row r="2787" spans="1:2">
      <c r="A2787" s="100"/>
      <c r="B2787" s="100"/>
    </row>
    <row r="2788" spans="1:2">
      <c r="A2788" s="100"/>
      <c r="B2788" s="100"/>
    </row>
    <row r="2789" spans="1:2">
      <c r="A2789" s="100"/>
      <c r="B2789" s="100"/>
    </row>
    <row r="2790" spans="1:2">
      <c r="A2790" s="100"/>
      <c r="B2790" s="100"/>
    </row>
    <row r="2791" spans="1:2">
      <c r="A2791" s="100"/>
      <c r="B2791" s="100"/>
    </row>
    <row r="2792" spans="1:2">
      <c r="A2792" s="100"/>
      <c r="B2792" s="100"/>
    </row>
    <row r="2793" spans="1:2">
      <c r="A2793" s="100"/>
      <c r="B2793" s="100"/>
    </row>
    <row r="2794" spans="1:2">
      <c r="A2794" s="100"/>
      <c r="B2794" s="100"/>
    </row>
    <row r="2795" spans="1:2">
      <c r="A2795" s="100"/>
      <c r="B2795" s="100"/>
    </row>
    <row r="2796" spans="1:2">
      <c r="A2796" s="100"/>
      <c r="B2796" s="100"/>
    </row>
    <row r="2797" spans="1:2">
      <c r="A2797" s="100"/>
      <c r="B2797" s="100"/>
    </row>
    <row r="2798" spans="1:2">
      <c r="A2798" s="100"/>
      <c r="B2798" s="100"/>
    </row>
    <row r="2799" spans="1:2">
      <c r="A2799" s="100"/>
      <c r="B2799" s="100"/>
    </row>
    <row r="2800" spans="1:2">
      <c r="A2800" s="100"/>
      <c r="B2800" s="100"/>
    </row>
    <row r="2801" spans="1:2">
      <c r="A2801" s="100"/>
      <c r="B2801" s="100"/>
    </row>
    <row r="2802" spans="1:2">
      <c r="A2802" s="100"/>
      <c r="B2802" s="100"/>
    </row>
    <row r="2803" spans="1:2">
      <c r="A2803" s="100"/>
      <c r="B2803" s="100"/>
    </row>
    <row r="2804" spans="1:2">
      <c r="A2804" s="100"/>
      <c r="B2804" s="100"/>
    </row>
    <row r="2805" spans="1:2">
      <c r="A2805" s="100"/>
      <c r="B2805" s="100"/>
    </row>
    <row r="2806" spans="1:2">
      <c r="A2806" s="100"/>
      <c r="B2806" s="100"/>
    </row>
    <row r="2807" spans="1:2">
      <c r="A2807" s="100"/>
      <c r="B2807" s="100"/>
    </row>
    <row r="2808" spans="1:2">
      <c r="A2808" s="100"/>
      <c r="B2808" s="100"/>
    </row>
    <row r="2809" spans="1:2">
      <c r="A2809" s="100"/>
      <c r="B2809" s="100"/>
    </row>
    <row r="2810" spans="1:2">
      <c r="A2810" s="100"/>
      <c r="B2810" s="100"/>
    </row>
    <row r="2811" spans="1:2">
      <c r="A2811" s="100"/>
      <c r="B2811" s="100"/>
    </row>
    <row r="2812" spans="1:2">
      <c r="A2812" s="100"/>
      <c r="B2812" s="100"/>
    </row>
    <row r="2813" spans="1:2">
      <c r="A2813" s="100"/>
      <c r="B2813" s="100"/>
    </row>
    <row r="2814" spans="1:2">
      <c r="A2814" s="100"/>
      <c r="B2814" s="100"/>
    </row>
    <row r="2815" spans="1:2">
      <c r="A2815" s="100"/>
      <c r="B2815" s="100"/>
    </row>
    <row r="2816" spans="1:2">
      <c r="A2816" s="100"/>
      <c r="B2816" s="100"/>
    </row>
    <row r="2817" spans="1:2">
      <c r="A2817" s="100"/>
      <c r="B2817" s="100"/>
    </row>
    <row r="2818" spans="1:2">
      <c r="A2818" s="100"/>
      <c r="B2818" s="100"/>
    </row>
    <row r="2819" spans="1:2">
      <c r="A2819" s="100"/>
      <c r="B2819" s="100"/>
    </row>
    <row r="2820" spans="1:2">
      <c r="A2820" s="100"/>
      <c r="B2820" s="100"/>
    </row>
    <row r="2821" spans="1:2">
      <c r="A2821" s="100"/>
      <c r="B2821" s="100"/>
    </row>
    <row r="2822" spans="1:2">
      <c r="A2822" s="100"/>
      <c r="B2822" s="100"/>
    </row>
    <row r="2823" spans="1:2">
      <c r="A2823" s="100"/>
      <c r="B2823" s="100"/>
    </row>
    <row r="2824" spans="1:2">
      <c r="A2824" s="100"/>
      <c r="B2824" s="100"/>
    </row>
    <row r="2825" spans="1:2">
      <c r="A2825" s="100"/>
      <c r="B2825" s="100"/>
    </row>
    <row r="2826" spans="1:2">
      <c r="A2826" s="100"/>
      <c r="B2826" s="100"/>
    </row>
    <row r="2827" spans="1:2">
      <c r="A2827" s="100"/>
      <c r="B2827" s="100"/>
    </row>
    <row r="2828" spans="1:2">
      <c r="A2828" s="100"/>
      <c r="B2828" s="100"/>
    </row>
    <row r="2829" spans="1:2">
      <c r="A2829" s="100"/>
      <c r="B2829" s="100"/>
    </row>
    <row r="2830" spans="1:2">
      <c r="A2830" s="100"/>
      <c r="B2830" s="100"/>
    </row>
    <row r="2831" spans="1:2">
      <c r="A2831" s="100"/>
      <c r="B2831" s="100"/>
    </row>
    <row r="2832" spans="1:2">
      <c r="A2832" s="100"/>
      <c r="B2832" s="100"/>
    </row>
    <row r="2833" spans="1:2">
      <c r="A2833" s="100"/>
      <c r="B2833" s="100"/>
    </row>
    <row r="2834" spans="1:2">
      <c r="A2834" s="100"/>
      <c r="B2834" s="100"/>
    </row>
    <row r="2835" spans="1:2">
      <c r="A2835" s="100"/>
      <c r="B2835" s="100"/>
    </row>
    <row r="2836" spans="1:2">
      <c r="A2836" s="100"/>
      <c r="B2836" s="100"/>
    </row>
    <row r="2837" spans="1:2">
      <c r="A2837" s="100"/>
      <c r="B2837" s="100"/>
    </row>
    <row r="2838" spans="1:2">
      <c r="A2838" s="100"/>
      <c r="B2838" s="100"/>
    </row>
    <row r="2839" spans="1:2">
      <c r="A2839" s="100"/>
      <c r="B2839" s="100"/>
    </row>
    <row r="2840" spans="1:2">
      <c r="A2840" s="100"/>
      <c r="B2840" s="100"/>
    </row>
    <row r="2841" spans="1:2">
      <c r="A2841" s="100"/>
      <c r="B2841" s="100"/>
    </row>
    <row r="2842" spans="1:2">
      <c r="A2842" s="100"/>
      <c r="B2842" s="100"/>
    </row>
    <row r="2843" spans="1:2">
      <c r="A2843" s="100"/>
      <c r="B2843" s="100"/>
    </row>
    <row r="2844" spans="1:2">
      <c r="A2844" s="100"/>
      <c r="B2844" s="100"/>
    </row>
    <row r="2845" spans="1:2">
      <c r="A2845" s="100"/>
      <c r="B2845" s="100"/>
    </row>
    <row r="2846" spans="1:2">
      <c r="A2846" s="100"/>
      <c r="B2846" s="100"/>
    </row>
    <row r="2847" spans="1:2">
      <c r="A2847" s="100"/>
      <c r="B2847" s="100"/>
    </row>
    <row r="2848" spans="1:2">
      <c r="A2848" s="100"/>
      <c r="B2848" s="100"/>
    </row>
    <row r="2849" spans="1:2">
      <c r="A2849" s="100"/>
      <c r="B2849" s="100"/>
    </row>
  </sheetData>
  <phoneticPr fontId="2" type="noConversion"/>
  <pageMargins left="0.7" right="0.7" top="0.75" bottom="0.75" header="0.3" footer="0.3"/>
  <ignoredErrors>
    <ignoredError sqref="H18 I19 I10:I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E476"/>
  <sheetViews>
    <sheetView workbookViewId="0">
      <pane xSplit="6" ySplit="8" topLeftCell="G9" activePane="bottomRight" state="frozen"/>
      <selection pane="topRight" activeCell="G1" sqref="G1"/>
      <selection pane="bottomLeft" activeCell="A6" sqref="A6"/>
      <selection pane="bottomRight" activeCell="H22" sqref="H22"/>
    </sheetView>
  </sheetViews>
  <sheetFormatPr defaultRowHeight="14.4"/>
  <cols>
    <col min="1" max="1" width="16.88671875" style="151" customWidth="1"/>
    <col min="2" max="2" width="24.109375" style="41" customWidth="1"/>
    <col min="3" max="3" width="9.109375" style="41" customWidth="1"/>
    <col min="4" max="4" width="5" customWidth="1"/>
    <col min="5" max="5" width="6.77734375" style="148" customWidth="1"/>
    <col min="6" max="6" width="16" customWidth="1"/>
    <col min="7" max="7" width="8.88671875" style="41"/>
    <col min="8" max="8" width="8.44140625" style="41" customWidth="1"/>
    <col min="9" max="9" width="7.44140625" style="41" customWidth="1"/>
    <col min="10" max="10" width="7.5546875" style="41" customWidth="1"/>
    <col min="11" max="11" width="7.6640625" style="41" customWidth="1"/>
    <col min="12" max="12" width="7.5546875" customWidth="1"/>
    <col min="13" max="13" width="8.88671875" style="148"/>
    <col min="14" max="16" width="7.88671875" style="148" customWidth="1"/>
    <col min="17" max="17" width="3.5546875" style="41" customWidth="1"/>
    <col min="18" max="18" width="7.88671875" style="148" customWidth="1"/>
    <col min="19" max="30" width="8.33203125" style="149" customWidth="1"/>
  </cols>
  <sheetData>
    <row r="1" spans="1:31" s="41" customFormat="1">
      <c r="A1" s="152" t="s">
        <v>782</v>
      </c>
      <c r="B1" s="127" t="s">
        <v>783</v>
      </c>
      <c r="C1" s="154" t="s">
        <v>317</v>
      </c>
      <c r="D1" s="153">
        <v>2</v>
      </c>
      <c r="E1" s="148"/>
      <c r="F1" s="127" t="s">
        <v>782</v>
      </c>
      <c r="G1" s="41" t="s">
        <v>311</v>
      </c>
      <c r="H1" s="41" t="s">
        <v>779</v>
      </c>
      <c r="I1" s="155" t="s">
        <v>780</v>
      </c>
      <c r="J1" s="41" t="s">
        <v>781</v>
      </c>
      <c r="M1" s="148"/>
      <c r="N1" s="148"/>
      <c r="O1" s="148"/>
      <c r="P1" s="149" t="e">
        <f t="shared" ref="P1" si="0">IF(VLOOKUP(P$8&amp;"@"&amp;ROUND($R1,3),$F:$Q,$R$7,0)=0,NA(),VLOOKUP(P$8&amp;"@"&amp;ROUND($R1,3),$F:$Q,$R$7,0))</f>
        <v>#N/A</v>
      </c>
      <c r="R1" s="148"/>
      <c r="S1" s="149" t="s">
        <v>711</v>
      </c>
      <c r="T1" s="149" t="s">
        <v>697</v>
      </c>
      <c r="U1" s="149" t="s">
        <v>712</v>
      </c>
      <c r="V1" s="149" t="s">
        <v>698</v>
      </c>
      <c r="W1" s="149" t="s">
        <v>713</v>
      </c>
      <c r="X1" s="149" t="s">
        <v>699</v>
      </c>
      <c r="Y1" s="149" t="s">
        <v>714</v>
      </c>
      <c r="Z1" s="149" t="s">
        <v>700</v>
      </c>
      <c r="AA1" s="149" t="s">
        <v>715</v>
      </c>
      <c r="AB1" s="149" t="s">
        <v>701</v>
      </c>
      <c r="AC1" s="149" t="s">
        <v>716</v>
      </c>
      <c r="AD1" s="149" t="s">
        <v>702</v>
      </c>
      <c r="AE1"/>
    </row>
    <row r="2" spans="1:31">
      <c r="A2" s="151" t="s">
        <v>0</v>
      </c>
      <c r="B2" s="157">
        <f ca="1">TODAY()</f>
        <v>43924</v>
      </c>
      <c r="F2" s="127" t="s">
        <v>694</v>
      </c>
      <c r="G2" s="41">
        <f>RTD("wdf.rtq",,$A2,"LastPrice")</f>
        <v>3724.32</v>
      </c>
      <c r="H2" s="41">
        <f>G2</f>
        <v>3724.32</v>
      </c>
      <c r="I2" s="99">
        <f>RTD("wdf.rtq",,A2,"PctChg")/100</f>
        <v>-2.7000000000000001E-3</v>
      </c>
      <c r="J2" s="99">
        <f>G2/H2-1</f>
        <v>0</v>
      </c>
      <c r="S2" s="149" t="s">
        <v>711</v>
      </c>
      <c r="T2" s="149" t="s">
        <v>697</v>
      </c>
      <c r="U2" s="149" t="s">
        <v>717</v>
      </c>
      <c r="V2" s="149" t="s">
        <v>703</v>
      </c>
      <c r="W2" s="149" t="s">
        <v>718</v>
      </c>
      <c r="X2" s="149" t="s">
        <v>704</v>
      </c>
      <c r="Y2" s="149" t="s">
        <v>719</v>
      </c>
      <c r="Z2" s="149" t="s">
        <v>705</v>
      </c>
      <c r="AA2" s="149" t="s">
        <v>720</v>
      </c>
      <c r="AB2" s="149" t="s">
        <v>706</v>
      </c>
    </row>
    <row r="3" spans="1:31">
      <c r="A3" s="152" t="s">
        <v>372</v>
      </c>
      <c r="B3" s="157" t="str">
        <f ca="1">IF(B4&lt;17/24,[1]!td(TODAY()-1),[1]!td(TODAY()))</f>
        <v>2020-04-02</v>
      </c>
      <c r="F3" s="127" t="s">
        <v>695</v>
      </c>
      <c r="G3" s="41">
        <f>RTD("wdf.rtq",,$A3,"LastPrice")</f>
        <v>3.7110000000000003</v>
      </c>
      <c r="H3" s="156">
        <f ca="1">IF(B$4&lt;9.5/24,[1]!f_nav_iopv(A3,B$3-1),IF([1]!f_nav_iopv(A3,B$3)&gt;0,[1]!f_nav_iopv(A3,B$3),[1]!f_nav_iopv(A3,B$3-1)*(1+I$2)))</f>
        <v>3.7210000000000001</v>
      </c>
      <c r="I3" s="99">
        <f>RTD("wdf.rtq",,A3,"PctChg")/100</f>
        <v>-3.2000000000000002E-3</v>
      </c>
      <c r="J3" s="99">
        <f ca="1">G3/H3-1</f>
        <v>-2.6874496103197476E-3</v>
      </c>
      <c r="S3" s="149" t="s">
        <v>712</v>
      </c>
      <c r="T3" s="149" t="s">
        <v>698</v>
      </c>
      <c r="U3" s="149" t="s">
        <v>721</v>
      </c>
      <c r="V3" s="149" t="s">
        <v>707</v>
      </c>
      <c r="W3" s="149" t="s">
        <v>722</v>
      </c>
      <c r="X3" s="149" t="s">
        <v>708</v>
      </c>
    </row>
    <row r="4" spans="1:31">
      <c r="A4" s="152" t="s">
        <v>433</v>
      </c>
      <c r="B4" s="158">
        <f ca="1">NOW()-TODAY()</f>
        <v>0.49211423611268401</v>
      </c>
      <c r="F4" s="127" t="s">
        <v>696</v>
      </c>
      <c r="G4" s="41">
        <f>RTD("wdf.rtq",,$A4,"LastPrice")</f>
        <v>3.7680000000000002</v>
      </c>
      <c r="H4" s="156">
        <f ca="1">IF(B$4&lt;9.5/24,[1]!f_nav_iopv(A4,B$3-1),IF([1]!f_nav_iopv(A4,B$3)&gt;0,[1]!f_nav_iopv(A4,B$3),[1]!f_nav_iopv(A4,B$3-1)*(1+I$2)))</f>
        <v>3.7862</v>
      </c>
      <c r="I4" s="99">
        <f>RTD("wdf.rtq",,A4,"PctChg")/100</f>
        <v>-5.3E-3</v>
      </c>
      <c r="J4" s="99">
        <f ca="1">G4/H4-1</f>
        <v>-4.8069304315672134E-3</v>
      </c>
      <c r="S4" s="149" t="s">
        <v>714</v>
      </c>
      <c r="T4" s="149" t="s">
        <v>700</v>
      </c>
      <c r="U4" s="149" t="s">
        <v>723</v>
      </c>
      <c r="V4" s="149" t="s">
        <v>709</v>
      </c>
      <c r="W4" s="149" t="s">
        <v>724</v>
      </c>
      <c r="X4" s="149" t="s">
        <v>710</v>
      </c>
      <c r="AE4" s="41"/>
    </row>
    <row r="5" spans="1:31" s="41" customFormat="1">
      <c r="M5" s="148"/>
      <c r="N5" s="148"/>
      <c r="O5" s="148"/>
      <c r="P5" s="148"/>
      <c r="R5" s="149"/>
      <c r="S5" s="149" t="s">
        <v>719</v>
      </c>
      <c r="T5" s="149" t="s">
        <v>705</v>
      </c>
      <c r="U5" s="149" t="s">
        <v>717</v>
      </c>
      <c r="V5" s="149" t="s">
        <v>703</v>
      </c>
      <c r="W5" s="149" t="s">
        <v>721</v>
      </c>
      <c r="X5" s="149" t="s">
        <v>707</v>
      </c>
      <c r="Y5" s="149" t="s">
        <v>723</v>
      </c>
      <c r="Z5" s="149" t="s">
        <v>709</v>
      </c>
    </row>
    <row r="6" spans="1:31" s="41" customFormat="1">
      <c r="A6" s="160" t="s">
        <v>787</v>
      </c>
      <c r="B6" s="41" t="str">
        <f>[1]!w_info_underlyingcode(A6)&amp;"-"&amp;[1]!s_info_dlmonth(A6)&amp;"-"&amp;[1]!w_info_callput(A6)&amp;"@"&amp;[1]!w_info_strikeprice(A6,"")</f>
        <v>000300-202003-认购@3300</v>
      </c>
      <c r="C6" s="41" t="str">
        <f>IF(LEFT(A6,3)="IO2", LEFT(A6,8), IF(LEFT(A6,3)="100","SH","")&amp;IF(LEFT(A6,3)="900","SZ","")&amp;MID(B6,10,5)&amp;IF(MID(B6,15,2)="认购","C","")&amp;IF(MID(B6,15,2)="认沽","P",""))</f>
        <v>IO2003-C</v>
      </c>
      <c r="D6" s="94">
        <f>MID(B6,FIND("@",B6)+1,10)+0</f>
        <v>3300</v>
      </c>
      <c r="E6" s="148">
        <f>ROUND((D6/VLOOKUP(LEFT(C6,2),$F$2:$O$4,$D$1,0)-1)*100,1)/100</f>
        <v>-0.114</v>
      </c>
      <c r="F6" s="41" t="str">
        <f>C6&amp;"@"&amp;LEFT(E6&amp;"0000",4)</f>
        <v>IO2003-C@-0.1</v>
      </c>
      <c r="G6" s="41">
        <f>RTD("wdf.rtq",,$A6,"LastPrice")</f>
        <v>0</v>
      </c>
      <c r="H6" s="41">
        <f>RTD("wdf.rtq",,$A6,"Volume")</f>
        <v>0</v>
      </c>
      <c r="I6" s="41">
        <f>RTD("wdf.rtq",,$A6,"Bid_Price1")</f>
        <v>0</v>
      </c>
      <c r="J6" s="41">
        <f>RTD("wdf.rtq",,$A6,"Bid_Volume1")</f>
        <v>0</v>
      </c>
      <c r="K6" s="41">
        <f>RTD("wdf.rtq",,$A6,"Ask_Price1")</f>
        <v>0</v>
      </c>
      <c r="L6" s="41">
        <f>RTD("wdf.rtq",,$A6,"Ask_Volume1")</f>
        <v>0</v>
      </c>
      <c r="M6" s="148">
        <f>RTD("wdf.rtq",,$A6,"ImpliedVol")</f>
        <v>0</v>
      </c>
      <c r="N6" s="99">
        <f>G6/VLOOKUP(LEFT(C6,2),$F$2:$O$4,$D$1,0)</f>
        <v>0</v>
      </c>
      <c r="O6" s="99">
        <f>I6/VLOOKUP(LEFT(C6,2),$F$2:$O$4,$D$1,0)</f>
        <v>0</v>
      </c>
      <c r="P6" s="99">
        <f>K6/VLOOKUP(LEFT(C6,2),$F$2:$O$4,$D$1,0)</f>
        <v>0</v>
      </c>
      <c r="R6" s="154" t="s">
        <v>317</v>
      </c>
      <c r="S6" s="149" t="s">
        <v>720</v>
      </c>
      <c r="T6" s="149" t="s">
        <v>706</v>
      </c>
      <c r="U6" s="149" t="s">
        <v>718</v>
      </c>
      <c r="V6" s="149" t="s">
        <v>704</v>
      </c>
      <c r="W6" s="149" t="s">
        <v>722</v>
      </c>
      <c r="X6" s="149" t="s">
        <v>708</v>
      </c>
      <c r="Y6" s="149" t="s">
        <v>724</v>
      </c>
      <c r="Z6" s="149" t="s">
        <v>710</v>
      </c>
      <c r="AA6" s="149"/>
      <c r="AB6" s="149"/>
      <c r="AC6" s="149"/>
      <c r="AD6" s="149"/>
    </row>
    <row r="7" spans="1:31">
      <c r="E7" s="150"/>
      <c r="F7">
        <v>1</v>
      </c>
      <c r="G7" s="41">
        <v>2</v>
      </c>
      <c r="H7" s="41">
        <v>3</v>
      </c>
      <c r="I7" s="41">
        <v>4</v>
      </c>
      <c r="J7" s="41">
        <v>5</v>
      </c>
      <c r="K7" s="41">
        <v>6</v>
      </c>
      <c r="L7" s="41">
        <v>7</v>
      </c>
      <c r="M7" s="41">
        <v>8</v>
      </c>
      <c r="N7" s="41">
        <v>9</v>
      </c>
      <c r="O7" s="41">
        <v>10</v>
      </c>
      <c r="P7" s="41">
        <v>11</v>
      </c>
      <c r="R7" s="153">
        <v>11</v>
      </c>
      <c r="S7" s="149" t="s">
        <v>712</v>
      </c>
      <c r="T7" s="149" t="s">
        <v>698</v>
      </c>
      <c r="U7" s="149" t="s">
        <v>721</v>
      </c>
      <c r="V7" s="149" t="s">
        <v>707</v>
      </c>
      <c r="W7" s="149" t="s">
        <v>711</v>
      </c>
      <c r="X7" s="149" t="s">
        <v>697</v>
      </c>
      <c r="Y7" s="149" t="s">
        <v>717</v>
      </c>
      <c r="Z7" s="149" t="s">
        <v>703</v>
      </c>
    </row>
    <row r="8" spans="1:31">
      <c r="A8" s="151" t="s">
        <v>690</v>
      </c>
      <c r="B8" s="41" t="s">
        <v>725</v>
      </c>
      <c r="C8" s="41" t="s">
        <v>691</v>
      </c>
      <c r="D8" s="148" t="s">
        <v>310</v>
      </c>
      <c r="E8" s="148" t="s">
        <v>778</v>
      </c>
      <c r="F8" s="41" t="s">
        <v>786</v>
      </c>
      <c r="G8" s="41" t="s">
        <v>311</v>
      </c>
      <c r="H8" s="41" t="s">
        <v>312</v>
      </c>
      <c r="I8" s="41" t="s">
        <v>313</v>
      </c>
      <c r="J8" s="41" t="s">
        <v>314</v>
      </c>
      <c r="K8" s="41" t="s">
        <v>315</v>
      </c>
      <c r="L8" s="41" t="s">
        <v>316</v>
      </c>
      <c r="M8" s="148" t="s">
        <v>692</v>
      </c>
      <c r="N8" s="148" t="s">
        <v>693</v>
      </c>
      <c r="O8" s="148" t="s">
        <v>785</v>
      </c>
      <c r="P8" s="148" t="s">
        <v>784</v>
      </c>
      <c r="Q8" s="99"/>
      <c r="R8" s="148" t="str">
        <f>HLOOKUP(R7,F7:Q8,2,0)</f>
        <v>Ask/Last_300</v>
      </c>
      <c r="S8" s="149" t="s">
        <v>712</v>
      </c>
      <c r="T8" s="149" t="s">
        <v>698</v>
      </c>
      <c r="U8" s="149" t="s">
        <v>723</v>
      </c>
      <c r="V8" s="149" t="s">
        <v>709</v>
      </c>
      <c r="W8" s="149" t="s">
        <v>722</v>
      </c>
      <c r="X8" s="149" t="s">
        <v>708</v>
      </c>
      <c r="Y8" s="149" t="s">
        <v>717</v>
      </c>
      <c r="Z8" s="149" t="s">
        <v>703</v>
      </c>
      <c r="AA8" s="149" t="s">
        <v>718</v>
      </c>
      <c r="AB8" s="149" t="s">
        <v>704</v>
      </c>
      <c r="AC8" s="149" t="s">
        <v>713</v>
      </c>
      <c r="AD8" s="149" t="s">
        <v>699</v>
      </c>
    </row>
    <row r="9" spans="1:31">
      <c r="A9" s="160" t="s">
        <v>787</v>
      </c>
      <c r="B9" s="41" t="s">
        <v>999</v>
      </c>
      <c r="C9" s="41" t="s">
        <v>712</v>
      </c>
      <c r="D9" s="94">
        <v>3300</v>
      </c>
      <c r="E9" s="148">
        <v>-0.2</v>
      </c>
      <c r="F9" t="s">
        <v>1000</v>
      </c>
      <c r="G9" s="41">
        <f>RTD("wdf.rtq",,$A9,"LastPrice")</f>
        <v>0</v>
      </c>
      <c r="H9" s="41">
        <f>RTD("wdf.rtq",,$A9,"Volume")</f>
        <v>0</v>
      </c>
      <c r="I9" s="41">
        <f>RTD("wdf.rtq",,$A9,"Bid_Price1")</f>
        <v>0</v>
      </c>
      <c r="J9" s="41">
        <f>RTD("wdf.rtq",,$A9,"Bid_Volume1")</f>
        <v>0</v>
      </c>
      <c r="K9" s="41">
        <f>RTD("wdf.rtq",,$A9,"Ask_Price1")</f>
        <v>0</v>
      </c>
      <c r="L9">
        <f>RTD("wdf.rtq",,$A9,"Ask_Volume1")</f>
        <v>0</v>
      </c>
      <c r="M9" s="148">
        <f>RTD("wdf.rtq",,$A9,"ImpliedVol")</f>
        <v>0</v>
      </c>
      <c r="N9" s="99">
        <f>G9/VLOOKUP(LEFT(C9,2),$F$2:$O$4,$D$1,0)</f>
        <v>0</v>
      </c>
      <c r="O9" s="99">
        <f>I9/VLOOKUP(LEFT(C9,2),$F$2:$O$4,$D$1,0)</f>
        <v>0</v>
      </c>
      <c r="P9" s="99">
        <f>K9/VLOOKUP(LEFT(C9,2),$F$2:$O$4,$D$1,0)</f>
        <v>0</v>
      </c>
      <c r="R9" s="148">
        <f>ROUND(-13%,3)</f>
        <v>-0.13</v>
      </c>
      <c r="S9" s="149" t="e">
        <f>IF(VLOOKUP(S$8&amp;"@"&amp;$R9,$F:$Q,$R$7,0)=0,NA(),VLOOKUP(S$8&amp;"@"&amp;$R9,$F:$Q,$R$7,0))</f>
        <v>#N/A</v>
      </c>
      <c r="T9" s="149" t="e">
        <f t="shared" ref="T9:AD24" si="1">IF(VLOOKUP(T$8&amp;"@"&amp;$R9,$F:$Q,$R$7,0)=0,NA(),VLOOKUP(T$8&amp;"@"&amp;$R9,$F:$Q,$R$7,0))</f>
        <v>#N/A</v>
      </c>
      <c r="U9" s="149" t="e">
        <f t="shared" si="1"/>
        <v>#N/A</v>
      </c>
      <c r="V9" s="149" t="e">
        <f t="shared" si="1"/>
        <v>#N/A</v>
      </c>
      <c r="W9" s="149" t="e">
        <f t="shared" si="1"/>
        <v>#N/A</v>
      </c>
      <c r="X9" s="149" t="e">
        <f t="shared" si="1"/>
        <v>#N/A</v>
      </c>
      <c r="Y9" s="149" t="e">
        <f t="shared" si="1"/>
        <v>#N/A</v>
      </c>
      <c r="Z9" s="149" t="e">
        <f t="shared" si="1"/>
        <v>#N/A</v>
      </c>
      <c r="AA9" s="149" t="e">
        <f t="shared" si="1"/>
        <v>#N/A</v>
      </c>
      <c r="AB9" s="149" t="e">
        <f t="shared" si="1"/>
        <v>#N/A</v>
      </c>
      <c r="AC9" s="149" t="e">
        <f t="shared" si="1"/>
        <v>#N/A</v>
      </c>
      <c r="AD9" s="149" t="e">
        <f t="shared" si="1"/>
        <v>#N/A</v>
      </c>
    </row>
    <row r="10" spans="1:31">
      <c r="A10" s="160" t="s">
        <v>788</v>
      </c>
      <c r="B10" s="41" t="s">
        <v>1001</v>
      </c>
      <c r="C10" s="41" t="s">
        <v>712</v>
      </c>
      <c r="D10" s="94">
        <v>3350</v>
      </c>
      <c r="E10" s="148">
        <v>-0.188</v>
      </c>
      <c r="F10" s="41" t="s">
        <v>1002</v>
      </c>
      <c r="L10" s="41"/>
      <c r="N10" s="99"/>
      <c r="O10" s="99"/>
      <c r="P10" s="99"/>
      <c r="R10" s="148">
        <f>ROUND(R9+0.001,3)</f>
        <v>-0.129</v>
      </c>
      <c r="S10" s="149" t="e">
        <f t="shared" ref="S10:AD44" si="2">IF(VLOOKUP(S$8&amp;"@"&amp;$R10,$F:$Q,$R$7,0)=0,NA(),VLOOKUP(S$8&amp;"@"&amp;$R10,$F:$Q,$R$7,0))</f>
        <v>#N/A</v>
      </c>
      <c r="T10" s="149" t="e">
        <f t="shared" si="1"/>
        <v>#N/A</v>
      </c>
      <c r="U10" s="149" t="e">
        <f t="shared" si="1"/>
        <v>#N/A</v>
      </c>
      <c r="V10" s="149" t="e">
        <f t="shared" si="1"/>
        <v>#N/A</v>
      </c>
      <c r="W10" s="149" t="e">
        <f t="shared" si="1"/>
        <v>#N/A</v>
      </c>
      <c r="X10" s="149" t="e">
        <f t="shared" si="1"/>
        <v>#N/A</v>
      </c>
      <c r="Y10" s="149" t="e">
        <f t="shared" si="1"/>
        <v>#N/A</v>
      </c>
      <c r="Z10" s="149" t="e">
        <f t="shared" si="1"/>
        <v>#N/A</v>
      </c>
      <c r="AA10" s="149" t="e">
        <f t="shared" si="1"/>
        <v>#N/A</v>
      </c>
      <c r="AB10" s="149" t="e">
        <f t="shared" si="1"/>
        <v>#N/A</v>
      </c>
      <c r="AC10" s="149" t="e">
        <f t="shared" si="1"/>
        <v>#N/A</v>
      </c>
      <c r="AD10" s="149" t="e">
        <f t="shared" si="1"/>
        <v>#N/A</v>
      </c>
    </row>
    <row r="11" spans="1:31">
      <c r="A11" s="160" t="s">
        <v>789</v>
      </c>
      <c r="B11" s="41" t="s">
        <v>1003</v>
      </c>
      <c r="C11" s="41" t="s">
        <v>712</v>
      </c>
      <c r="D11" s="94">
        <v>3400</v>
      </c>
      <c r="E11" s="148">
        <v>-0.17600000000000002</v>
      </c>
      <c r="F11" s="41" t="s">
        <v>1004</v>
      </c>
      <c r="L11" s="41"/>
      <c r="N11" s="99"/>
      <c r="O11" s="99"/>
      <c r="P11" s="99"/>
      <c r="R11" s="148">
        <f>ROUND(R10+0.001,3)</f>
        <v>-0.128</v>
      </c>
      <c r="S11" s="149" t="e">
        <f t="shared" si="2"/>
        <v>#N/A</v>
      </c>
      <c r="T11" s="149" t="e">
        <f t="shared" si="1"/>
        <v>#N/A</v>
      </c>
      <c r="U11" s="149" t="e">
        <f t="shared" si="1"/>
        <v>#N/A</v>
      </c>
      <c r="V11" s="149" t="e">
        <f t="shared" si="1"/>
        <v>#N/A</v>
      </c>
      <c r="W11" s="149" t="e">
        <f t="shared" si="1"/>
        <v>#N/A</v>
      </c>
      <c r="X11" s="149" t="e">
        <f t="shared" si="1"/>
        <v>#N/A</v>
      </c>
      <c r="Y11" s="149" t="e">
        <f t="shared" si="1"/>
        <v>#N/A</v>
      </c>
      <c r="Z11" s="149" t="e">
        <f t="shared" si="1"/>
        <v>#N/A</v>
      </c>
      <c r="AA11" s="149" t="e">
        <f t="shared" si="1"/>
        <v>#N/A</v>
      </c>
      <c r="AB11" s="149" t="e">
        <f t="shared" si="1"/>
        <v>#N/A</v>
      </c>
      <c r="AC11" s="149" t="e">
        <f t="shared" si="1"/>
        <v>#N/A</v>
      </c>
      <c r="AD11" s="149" t="e">
        <f t="shared" si="1"/>
        <v>#N/A</v>
      </c>
    </row>
    <row r="12" spans="1:31">
      <c r="A12" s="160" t="s">
        <v>790</v>
      </c>
      <c r="B12" s="41" t="s">
        <v>1005</v>
      </c>
      <c r="C12" s="41" t="s">
        <v>712</v>
      </c>
      <c r="D12" s="94">
        <v>3450</v>
      </c>
      <c r="E12" s="148">
        <v>-0.16399999999999998</v>
      </c>
      <c r="F12" s="41" t="s">
        <v>1006</v>
      </c>
      <c r="L12" s="41"/>
      <c r="N12" s="99"/>
      <c r="O12" s="99"/>
      <c r="P12" s="99"/>
      <c r="R12" s="148">
        <f t="shared" ref="R12:R75" si="3">ROUND(R11+0.001,3)</f>
        <v>-0.127</v>
      </c>
      <c r="S12" s="149" t="e">
        <f t="shared" si="2"/>
        <v>#N/A</v>
      </c>
      <c r="T12" s="149" t="e">
        <f t="shared" si="1"/>
        <v>#N/A</v>
      </c>
      <c r="U12" s="149" t="e">
        <f t="shared" si="1"/>
        <v>#N/A</v>
      </c>
      <c r="V12" s="149" t="e">
        <f t="shared" si="1"/>
        <v>#N/A</v>
      </c>
      <c r="W12" s="149" t="e">
        <f t="shared" si="1"/>
        <v>#N/A</v>
      </c>
      <c r="X12" s="149" t="e">
        <f t="shared" si="1"/>
        <v>#N/A</v>
      </c>
      <c r="Y12" s="149" t="e">
        <f t="shared" si="1"/>
        <v>#N/A</v>
      </c>
      <c r="Z12" s="149" t="e">
        <f t="shared" si="1"/>
        <v>#N/A</v>
      </c>
      <c r="AA12" s="149" t="e">
        <f t="shared" si="1"/>
        <v>#N/A</v>
      </c>
      <c r="AB12" s="149" t="e">
        <f t="shared" si="1"/>
        <v>#N/A</v>
      </c>
      <c r="AC12" s="149" t="e">
        <f t="shared" si="1"/>
        <v>#N/A</v>
      </c>
      <c r="AD12" s="149" t="e">
        <f t="shared" si="1"/>
        <v>#N/A</v>
      </c>
    </row>
    <row r="13" spans="1:31">
      <c r="A13" s="160" t="s">
        <v>791</v>
      </c>
      <c r="B13" s="41" t="s">
        <v>1007</v>
      </c>
      <c r="C13" s="41" t="s">
        <v>712</v>
      </c>
      <c r="D13" s="94">
        <v>3500</v>
      </c>
      <c r="E13" s="148">
        <v>-0.152</v>
      </c>
      <c r="F13" s="41" t="s">
        <v>1008</v>
      </c>
      <c r="L13" s="41"/>
      <c r="N13" s="99"/>
      <c r="O13" s="99"/>
      <c r="P13" s="99"/>
      <c r="R13" s="148">
        <f t="shared" si="3"/>
        <v>-0.126</v>
      </c>
      <c r="S13" s="149" t="e">
        <f t="shared" si="2"/>
        <v>#N/A</v>
      </c>
      <c r="T13" s="149" t="e">
        <f t="shared" si="1"/>
        <v>#N/A</v>
      </c>
      <c r="U13" s="149" t="e">
        <f t="shared" si="1"/>
        <v>#N/A</v>
      </c>
      <c r="V13" s="149" t="e">
        <f t="shared" si="1"/>
        <v>#N/A</v>
      </c>
      <c r="W13" s="149" t="e">
        <f t="shared" si="1"/>
        <v>#N/A</v>
      </c>
      <c r="X13" s="149" t="e">
        <f t="shared" si="1"/>
        <v>#N/A</v>
      </c>
      <c r="Y13" s="149" t="e">
        <f t="shared" si="1"/>
        <v>#N/A</v>
      </c>
      <c r="Z13" s="149" t="e">
        <f t="shared" si="1"/>
        <v>#N/A</v>
      </c>
      <c r="AA13" s="149" t="e">
        <f t="shared" si="1"/>
        <v>#N/A</v>
      </c>
      <c r="AB13" s="149" t="e">
        <f t="shared" si="1"/>
        <v>#N/A</v>
      </c>
      <c r="AC13" s="149" t="e">
        <f t="shared" si="1"/>
        <v>#N/A</v>
      </c>
      <c r="AD13" s="149" t="e">
        <f t="shared" si="1"/>
        <v>#N/A</v>
      </c>
    </row>
    <row r="14" spans="1:31">
      <c r="A14" s="160" t="s">
        <v>168</v>
      </c>
      <c r="B14" s="41" t="s">
        <v>434</v>
      </c>
      <c r="C14" s="41" t="s">
        <v>712</v>
      </c>
      <c r="D14" s="94">
        <v>3550</v>
      </c>
      <c r="E14" s="148">
        <v>-0.14000000000000001</v>
      </c>
      <c r="F14" s="41" t="s">
        <v>1009</v>
      </c>
      <c r="L14" s="41"/>
      <c r="N14" s="99"/>
      <c r="O14" s="99"/>
      <c r="P14" s="99"/>
      <c r="R14" s="148">
        <f t="shared" si="3"/>
        <v>-0.125</v>
      </c>
      <c r="S14" s="149" t="e">
        <f t="shared" si="2"/>
        <v>#N/A</v>
      </c>
      <c r="T14" s="149" t="e">
        <f t="shared" si="1"/>
        <v>#N/A</v>
      </c>
      <c r="U14" s="149" t="e">
        <f t="shared" si="1"/>
        <v>#N/A</v>
      </c>
      <c r="V14" s="149" t="e">
        <f t="shared" si="1"/>
        <v>#N/A</v>
      </c>
      <c r="W14" s="149" t="e">
        <f t="shared" si="1"/>
        <v>#N/A</v>
      </c>
      <c r="X14" s="149" t="e">
        <f t="shared" si="1"/>
        <v>#N/A</v>
      </c>
      <c r="Y14" s="149" t="e">
        <f t="shared" si="1"/>
        <v>#N/A</v>
      </c>
      <c r="Z14" s="149" t="e">
        <f t="shared" si="1"/>
        <v>#N/A</v>
      </c>
      <c r="AA14" s="149" t="e">
        <f t="shared" si="1"/>
        <v>#N/A</v>
      </c>
      <c r="AB14" s="149" t="e">
        <f t="shared" si="1"/>
        <v>#N/A</v>
      </c>
      <c r="AC14" s="149" t="e">
        <f t="shared" si="1"/>
        <v>#N/A</v>
      </c>
      <c r="AD14" s="149" t="e">
        <f t="shared" si="1"/>
        <v>#N/A</v>
      </c>
    </row>
    <row r="15" spans="1:31">
      <c r="A15" s="160" t="s">
        <v>169</v>
      </c>
      <c r="B15" s="41" t="s">
        <v>435</v>
      </c>
      <c r="C15" s="41" t="s">
        <v>712</v>
      </c>
      <c r="D15" s="94">
        <v>3600</v>
      </c>
      <c r="E15" s="148">
        <v>-0.128</v>
      </c>
      <c r="F15" s="41" t="s">
        <v>1010</v>
      </c>
      <c r="L15" s="41"/>
      <c r="N15" s="99"/>
      <c r="O15" s="99"/>
      <c r="P15" s="99"/>
      <c r="R15" s="148">
        <f t="shared" si="3"/>
        <v>-0.124</v>
      </c>
      <c r="S15" s="149" t="e">
        <f t="shared" si="2"/>
        <v>#N/A</v>
      </c>
      <c r="T15" s="149" t="e">
        <f t="shared" si="1"/>
        <v>#N/A</v>
      </c>
      <c r="U15" s="149" t="e">
        <f t="shared" si="1"/>
        <v>#N/A</v>
      </c>
      <c r="V15" s="149" t="e">
        <f t="shared" si="1"/>
        <v>#N/A</v>
      </c>
      <c r="W15" s="149" t="e">
        <f t="shared" si="1"/>
        <v>#N/A</v>
      </c>
      <c r="X15" s="149" t="e">
        <f t="shared" si="1"/>
        <v>#N/A</v>
      </c>
      <c r="Y15" s="149" t="e">
        <f t="shared" si="1"/>
        <v>#N/A</v>
      </c>
      <c r="Z15" s="149" t="e">
        <f t="shared" si="1"/>
        <v>#N/A</v>
      </c>
      <c r="AA15" s="149" t="e">
        <f t="shared" si="1"/>
        <v>#N/A</v>
      </c>
      <c r="AB15" s="149" t="e">
        <f t="shared" si="1"/>
        <v>#N/A</v>
      </c>
      <c r="AC15" s="149" t="e">
        <f t="shared" si="1"/>
        <v>#N/A</v>
      </c>
      <c r="AD15" s="149" t="e">
        <f t="shared" si="1"/>
        <v>#N/A</v>
      </c>
    </row>
    <row r="16" spans="1:31">
      <c r="A16" s="160" t="s">
        <v>170</v>
      </c>
      <c r="B16" s="41" t="s">
        <v>436</v>
      </c>
      <c r="C16" s="41" t="s">
        <v>712</v>
      </c>
      <c r="D16" s="94">
        <v>3650</v>
      </c>
      <c r="E16" s="148">
        <v>-0.115</v>
      </c>
      <c r="F16" s="41" t="s">
        <v>1011</v>
      </c>
      <c r="L16" s="41"/>
      <c r="N16" s="99"/>
      <c r="O16" s="99"/>
      <c r="P16" s="99"/>
      <c r="R16" s="148">
        <f t="shared" si="3"/>
        <v>-0.123</v>
      </c>
      <c r="S16" s="149" t="e">
        <f t="shared" si="2"/>
        <v>#N/A</v>
      </c>
      <c r="T16" s="149" t="e">
        <f t="shared" si="1"/>
        <v>#N/A</v>
      </c>
      <c r="U16" s="149" t="e">
        <f t="shared" si="1"/>
        <v>#N/A</v>
      </c>
      <c r="V16" s="149" t="e">
        <f t="shared" si="1"/>
        <v>#N/A</v>
      </c>
      <c r="W16" s="149" t="e">
        <f t="shared" si="1"/>
        <v>#N/A</v>
      </c>
      <c r="X16" s="149" t="e">
        <f t="shared" si="1"/>
        <v>#N/A</v>
      </c>
      <c r="Y16" s="149" t="e">
        <f t="shared" si="1"/>
        <v>#N/A</v>
      </c>
      <c r="Z16" s="149" t="e">
        <f t="shared" si="1"/>
        <v>#N/A</v>
      </c>
      <c r="AA16" s="149" t="e">
        <f t="shared" si="1"/>
        <v>#N/A</v>
      </c>
      <c r="AB16" s="149" t="e">
        <f t="shared" si="1"/>
        <v>#N/A</v>
      </c>
      <c r="AC16" s="149" t="e">
        <f t="shared" si="1"/>
        <v>#N/A</v>
      </c>
      <c r="AD16" s="149" t="e">
        <f t="shared" si="1"/>
        <v>#N/A</v>
      </c>
    </row>
    <row r="17" spans="1:30">
      <c r="A17" s="160" t="s">
        <v>171</v>
      </c>
      <c r="B17" s="41" t="s">
        <v>437</v>
      </c>
      <c r="C17" s="41" t="s">
        <v>712</v>
      </c>
      <c r="D17" s="94">
        <v>3700</v>
      </c>
      <c r="E17" s="148">
        <v>-0.10300000000000001</v>
      </c>
      <c r="F17" s="41" t="s">
        <v>1012</v>
      </c>
      <c r="L17" s="41"/>
      <c r="N17" s="99"/>
      <c r="O17" s="99"/>
      <c r="P17" s="99"/>
      <c r="R17" s="148">
        <f t="shared" si="3"/>
        <v>-0.122</v>
      </c>
      <c r="S17" s="149" t="e">
        <f t="shared" si="2"/>
        <v>#N/A</v>
      </c>
      <c r="T17" s="149" t="e">
        <f t="shared" si="1"/>
        <v>#N/A</v>
      </c>
      <c r="U17" s="149" t="e">
        <f t="shared" si="1"/>
        <v>#N/A</v>
      </c>
      <c r="V17" s="149" t="e">
        <f t="shared" si="1"/>
        <v>#N/A</v>
      </c>
      <c r="W17" s="149" t="e">
        <f t="shared" si="1"/>
        <v>#N/A</v>
      </c>
      <c r="X17" s="149" t="e">
        <f t="shared" si="1"/>
        <v>#N/A</v>
      </c>
      <c r="Y17" s="149" t="e">
        <f t="shared" si="1"/>
        <v>#N/A</v>
      </c>
      <c r="Z17" s="149" t="e">
        <f t="shared" si="1"/>
        <v>#N/A</v>
      </c>
      <c r="AA17" s="149" t="e">
        <f t="shared" si="1"/>
        <v>#N/A</v>
      </c>
      <c r="AB17" s="149" t="e">
        <f t="shared" si="1"/>
        <v>#N/A</v>
      </c>
      <c r="AC17" s="149" t="e">
        <f t="shared" si="1"/>
        <v>#N/A</v>
      </c>
      <c r="AD17" s="149" t="e">
        <f t="shared" si="1"/>
        <v>#N/A</v>
      </c>
    </row>
    <row r="18" spans="1:30">
      <c r="A18" s="160" t="s">
        <v>172</v>
      </c>
      <c r="B18" s="41" t="s">
        <v>438</v>
      </c>
      <c r="C18" s="41" t="s">
        <v>712</v>
      </c>
      <c r="D18" s="94">
        <v>3750</v>
      </c>
      <c r="E18" s="148">
        <v>-9.0999999999999998E-2</v>
      </c>
      <c r="F18" s="41" t="s">
        <v>1013</v>
      </c>
      <c r="L18" s="41"/>
      <c r="N18" s="99"/>
      <c r="O18" s="99"/>
      <c r="P18" s="99"/>
      <c r="R18" s="148">
        <f t="shared" si="3"/>
        <v>-0.121</v>
      </c>
      <c r="S18" s="149" t="e">
        <f t="shared" si="2"/>
        <v>#N/A</v>
      </c>
      <c r="T18" s="149" t="e">
        <f t="shared" si="1"/>
        <v>#N/A</v>
      </c>
      <c r="U18" s="149" t="e">
        <f t="shared" si="1"/>
        <v>#N/A</v>
      </c>
      <c r="V18" s="149" t="e">
        <f t="shared" si="1"/>
        <v>#N/A</v>
      </c>
      <c r="W18" s="149" t="e">
        <f t="shared" si="1"/>
        <v>#N/A</v>
      </c>
      <c r="X18" s="149" t="e">
        <f t="shared" si="1"/>
        <v>#N/A</v>
      </c>
      <c r="Y18" s="149" t="e">
        <f t="shared" si="1"/>
        <v>#N/A</v>
      </c>
      <c r="Z18" s="149" t="e">
        <f t="shared" si="1"/>
        <v>#N/A</v>
      </c>
      <c r="AA18" s="149" t="e">
        <f t="shared" si="1"/>
        <v>#N/A</v>
      </c>
      <c r="AB18" s="149" t="e">
        <f t="shared" si="1"/>
        <v>#N/A</v>
      </c>
      <c r="AC18" s="149" t="e">
        <f t="shared" si="1"/>
        <v>#N/A</v>
      </c>
      <c r="AD18" s="149" t="e">
        <f t="shared" si="1"/>
        <v>#N/A</v>
      </c>
    </row>
    <row r="19" spans="1:30">
      <c r="A19" s="160" t="s">
        <v>173</v>
      </c>
      <c r="B19" s="41" t="s">
        <v>439</v>
      </c>
      <c r="C19" s="41" t="s">
        <v>712</v>
      </c>
      <c r="D19" s="94">
        <v>3800</v>
      </c>
      <c r="E19" s="148">
        <v>-7.9000000000000001E-2</v>
      </c>
      <c r="F19" s="41" t="s">
        <v>1014</v>
      </c>
      <c r="L19" s="41"/>
      <c r="N19" s="99"/>
      <c r="O19" s="99"/>
      <c r="P19" s="99"/>
      <c r="R19" s="148">
        <f t="shared" si="3"/>
        <v>-0.12</v>
      </c>
      <c r="S19" s="149" t="e">
        <f t="shared" si="2"/>
        <v>#N/A</v>
      </c>
      <c r="T19" s="149" t="e">
        <f t="shared" si="1"/>
        <v>#N/A</v>
      </c>
      <c r="U19" s="149" t="e">
        <f t="shared" si="1"/>
        <v>#N/A</v>
      </c>
      <c r="V19" s="149" t="e">
        <f t="shared" si="1"/>
        <v>#N/A</v>
      </c>
      <c r="W19" s="149" t="e">
        <f t="shared" si="1"/>
        <v>#N/A</v>
      </c>
      <c r="X19" s="149" t="e">
        <f t="shared" si="1"/>
        <v>#N/A</v>
      </c>
      <c r="Y19" s="149" t="e">
        <f t="shared" si="1"/>
        <v>#N/A</v>
      </c>
      <c r="Z19" s="149" t="e">
        <f t="shared" si="1"/>
        <v>#N/A</v>
      </c>
      <c r="AA19" s="149" t="e">
        <f t="shared" si="1"/>
        <v>#N/A</v>
      </c>
      <c r="AB19" s="149" t="e">
        <f t="shared" si="1"/>
        <v>#N/A</v>
      </c>
      <c r="AC19" s="149" t="e">
        <f t="shared" si="1"/>
        <v>#N/A</v>
      </c>
      <c r="AD19" s="149" t="e">
        <f t="shared" si="1"/>
        <v>#N/A</v>
      </c>
    </row>
    <row r="20" spans="1:30">
      <c r="A20" s="160" t="s">
        <v>174</v>
      </c>
      <c r="B20" s="41" t="s">
        <v>440</v>
      </c>
      <c r="C20" s="41" t="s">
        <v>712</v>
      </c>
      <c r="D20" s="94">
        <v>3850</v>
      </c>
      <c r="E20" s="148">
        <v>-6.7000000000000004E-2</v>
      </c>
      <c r="F20" s="41" t="s">
        <v>1015</v>
      </c>
      <c r="L20" s="41"/>
      <c r="N20" s="99"/>
      <c r="O20" s="99"/>
      <c r="P20" s="99"/>
      <c r="R20" s="148">
        <f t="shared" si="3"/>
        <v>-0.11899999999999999</v>
      </c>
      <c r="S20" s="149" t="e">
        <f t="shared" si="2"/>
        <v>#N/A</v>
      </c>
      <c r="T20" s="149" t="e">
        <f t="shared" si="1"/>
        <v>#N/A</v>
      </c>
      <c r="U20" s="149" t="e">
        <f t="shared" si="1"/>
        <v>#N/A</v>
      </c>
      <c r="V20" s="149" t="e">
        <f t="shared" si="1"/>
        <v>#N/A</v>
      </c>
      <c r="W20" s="149" t="e">
        <f t="shared" si="1"/>
        <v>#N/A</v>
      </c>
      <c r="X20" s="149" t="e">
        <f t="shared" si="1"/>
        <v>#N/A</v>
      </c>
      <c r="Y20" s="149" t="e">
        <f t="shared" si="1"/>
        <v>#N/A</v>
      </c>
      <c r="Z20" s="149" t="e">
        <f t="shared" si="1"/>
        <v>#N/A</v>
      </c>
      <c r="AA20" s="149" t="e">
        <f t="shared" si="1"/>
        <v>#N/A</v>
      </c>
      <c r="AB20" s="149" t="e">
        <f t="shared" si="1"/>
        <v>#N/A</v>
      </c>
      <c r="AC20" s="149" t="e">
        <f t="shared" si="1"/>
        <v>#N/A</v>
      </c>
      <c r="AD20" s="149" t="e">
        <f t="shared" si="1"/>
        <v>#N/A</v>
      </c>
    </row>
    <row r="21" spans="1:30">
      <c r="A21" s="160" t="s">
        <v>175</v>
      </c>
      <c r="B21" s="41" t="s">
        <v>441</v>
      </c>
      <c r="C21" s="41" t="s">
        <v>712</v>
      </c>
      <c r="D21" s="94">
        <v>3900</v>
      </c>
      <c r="E21" s="148">
        <v>-5.5E-2</v>
      </c>
      <c r="F21" s="41" t="s">
        <v>1016</v>
      </c>
      <c r="L21" s="41"/>
      <c r="N21" s="99"/>
      <c r="O21" s="99"/>
      <c r="P21" s="99"/>
      <c r="R21" s="148">
        <f t="shared" si="3"/>
        <v>-0.11799999999999999</v>
      </c>
      <c r="S21" s="149" t="e">
        <f t="shared" si="2"/>
        <v>#N/A</v>
      </c>
      <c r="T21" s="149" t="e">
        <f t="shared" si="1"/>
        <v>#N/A</v>
      </c>
      <c r="U21" s="149" t="e">
        <f t="shared" si="1"/>
        <v>#N/A</v>
      </c>
      <c r="V21" s="149" t="e">
        <f t="shared" si="1"/>
        <v>#N/A</v>
      </c>
      <c r="W21" s="149" t="e">
        <f t="shared" si="1"/>
        <v>#N/A</v>
      </c>
      <c r="X21" s="149" t="e">
        <f t="shared" si="1"/>
        <v>#N/A</v>
      </c>
      <c r="Y21" s="149" t="e">
        <f t="shared" si="1"/>
        <v>#N/A</v>
      </c>
      <c r="Z21" s="149" t="e">
        <f t="shared" si="1"/>
        <v>#N/A</v>
      </c>
      <c r="AA21" s="149" t="e">
        <f t="shared" si="1"/>
        <v>#N/A</v>
      </c>
      <c r="AB21" s="149" t="e">
        <f t="shared" si="1"/>
        <v>#N/A</v>
      </c>
      <c r="AC21" s="149" t="e">
        <f t="shared" si="1"/>
        <v>#N/A</v>
      </c>
      <c r="AD21" s="149" t="e">
        <f t="shared" si="1"/>
        <v>#N/A</v>
      </c>
    </row>
    <row r="22" spans="1:30">
      <c r="A22" s="160" t="s">
        <v>176</v>
      </c>
      <c r="B22" s="41" t="s">
        <v>442</v>
      </c>
      <c r="C22" s="41" t="s">
        <v>712</v>
      </c>
      <c r="D22" s="94">
        <v>3950</v>
      </c>
      <c r="E22" s="148">
        <v>-4.2999999999999997E-2</v>
      </c>
      <c r="F22" s="41" t="s">
        <v>1017</v>
      </c>
      <c r="L22" s="41"/>
      <c r="N22" s="99"/>
      <c r="O22" s="99"/>
      <c r="P22" s="99"/>
      <c r="R22" s="148">
        <f t="shared" si="3"/>
        <v>-0.11700000000000001</v>
      </c>
      <c r="S22" s="149" t="e">
        <f t="shared" si="2"/>
        <v>#N/A</v>
      </c>
      <c r="T22" s="149" t="e">
        <f t="shared" si="1"/>
        <v>#N/A</v>
      </c>
      <c r="U22" s="149" t="e">
        <f t="shared" si="1"/>
        <v>#N/A</v>
      </c>
      <c r="V22" s="149" t="e">
        <f t="shared" si="1"/>
        <v>#N/A</v>
      </c>
      <c r="W22" s="149" t="e">
        <f t="shared" si="1"/>
        <v>#N/A</v>
      </c>
      <c r="X22" s="149" t="e">
        <f t="shared" si="1"/>
        <v>#N/A</v>
      </c>
      <c r="Y22" s="149" t="e">
        <f t="shared" si="1"/>
        <v>#N/A</v>
      </c>
      <c r="Z22" s="149" t="e">
        <f t="shared" si="1"/>
        <v>#N/A</v>
      </c>
      <c r="AA22" s="149" t="e">
        <f t="shared" si="1"/>
        <v>#N/A</v>
      </c>
      <c r="AB22" s="149" t="e">
        <f t="shared" si="1"/>
        <v>#N/A</v>
      </c>
      <c r="AC22" s="149" t="e">
        <f t="shared" si="1"/>
        <v>#N/A</v>
      </c>
      <c r="AD22" s="149" t="e">
        <f t="shared" si="1"/>
        <v>#N/A</v>
      </c>
    </row>
    <row r="23" spans="1:30">
      <c r="A23" s="160" t="s">
        <v>177</v>
      </c>
      <c r="B23" s="41" t="s">
        <v>443</v>
      </c>
      <c r="C23" s="41" t="s">
        <v>712</v>
      </c>
      <c r="D23" s="94">
        <v>4000</v>
      </c>
      <c r="E23" s="148">
        <v>-3.1E-2</v>
      </c>
      <c r="F23" s="41" t="s">
        <v>726</v>
      </c>
      <c r="L23" s="41"/>
      <c r="N23" s="99"/>
      <c r="O23" s="99"/>
      <c r="P23" s="99"/>
      <c r="R23" s="148">
        <f t="shared" si="3"/>
        <v>-0.11600000000000001</v>
      </c>
      <c r="S23" s="149" t="e">
        <f t="shared" si="2"/>
        <v>#N/A</v>
      </c>
      <c r="T23" s="149" t="e">
        <f t="shared" si="1"/>
        <v>#N/A</v>
      </c>
      <c r="U23" s="149" t="e">
        <f t="shared" si="1"/>
        <v>#N/A</v>
      </c>
      <c r="V23" s="149" t="e">
        <f t="shared" si="1"/>
        <v>#N/A</v>
      </c>
      <c r="W23" s="149" t="e">
        <f t="shared" si="1"/>
        <v>#N/A</v>
      </c>
      <c r="X23" s="149" t="e">
        <f t="shared" si="1"/>
        <v>#N/A</v>
      </c>
      <c r="Y23" s="149" t="e">
        <f t="shared" si="1"/>
        <v>#N/A</v>
      </c>
      <c r="Z23" s="149" t="e">
        <f t="shared" si="1"/>
        <v>#N/A</v>
      </c>
      <c r="AA23" s="149" t="e">
        <f t="shared" si="1"/>
        <v>#N/A</v>
      </c>
      <c r="AB23" s="149" t="e">
        <f t="shared" si="1"/>
        <v>#N/A</v>
      </c>
      <c r="AC23" s="149" t="e">
        <f t="shared" si="1"/>
        <v>#N/A</v>
      </c>
      <c r="AD23" s="149" t="e">
        <f t="shared" si="1"/>
        <v>#N/A</v>
      </c>
    </row>
    <row r="24" spans="1:30">
      <c r="A24" s="160" t="s">
        <v>178</v>
      </c>
      <c r="B24" s="41" t="s">
        <v>444</v>
      </c>
      <c r="C24" s="41" t="s">
        <v>712</v>
      </c>
      <c r="D24" s="94">
        <v>4050</v>
      </c>
      <c r="E24" s="148">
        <v>-1.8000000000000002E-2</v>
      </c>
      <c r="F24" s="41" t="s">
        <v>1018</v>
      </c>
      <c r="L24" s="41"/>
      <c r="N24" s="99"/>
      <c r="O24" s="99"/>
      <c r="P24" s="99"/>
      <c r="R24" s="148">
        <f t="shared" si="3"/>
        <v>-0.115</v>
      </c>
      <c r="S24" s="149" t="e">
        <f t="shared" si="2"/>
        <v>#N/A</v>
      </c>
      <c r="T24" s="149" t="e">
        <f t="shared" si="1"/>
        <v>#N/A</v>
      </c>
      <c r="U24" s="149" t="e">
        <f t="shared" si="1"/>
        <v>#N/A</v>
      </c>
      <c r="V24" s="149" t="e">
        <f t="shared" si="1"/>
        <v>#N/A</v>
      </c>
      <c r="W24" s="149" t="e">
        <f t="shared" si="1"/>
        <v>#N/A</v>
      </c>
      <c r="X24" s="149" t="e">
        <f t="shared" si="1"/>
        <v>#N/A</v>
      </c>
      <c r="Y24" s="149" t="e">
        <f t="shared" si="1"/>
        <v>#N/A</v>
      </c>
      <c r="Z24" s="149" t="e">
        <f t="shared" si="1"/>
        <v>#N/A</v>
      </c>
      <c r="AA24" s="149" t="e">
        <f t="shared" si="1"/>
        <v>#N/A</v>
      </c>
      <c r="AB24" s="149" t="e">
        <f t="shared" si="1"/>
        <v>#N/A</v>
      </c>
      <c r="AC24" s="149" t="e">
        <f t="shared" si="1"/>
        <v>#N/A</v>
      </c>
      <c r="AD24" s="149" t="e">
        <f t="shared" si="1"/>
        <v>#N/A</v>
      </c>
    </row>
    <row r="25" spans="1:30">
      <c r="A25" s="160" t="s">
        <v>179</v>
      </c>
      <c r="B25" s="41" t="s">
        <v>445</v>
      </c>
      <c r="C25" s="41" t="s">
        <v>712</v>
      </c>
      <c r="D25" s="94">
        <v>4100</v>
      </c>
      <c r="E25" s="148">
        <v>-6.0000000000000001E-3</v>
      </c>
      <c r="F25" s="41" t="s">
        <v>727</v>
      </c>
      <c r="L25" s="41"/>
      <c r="N25" s="99"/>
      <c r="O25" s="99"/>
      <c r="P25" s="99"/>
      <c r="R25" s="148">
        <f t="shared" si="3"/>
        <v>-0.114</v>
      </c>
      <c r="S25" s="149" t="e">
        <f t="shared" si="2"/>
        <v>#N/A</v>
      </c>
      <c r="T25" s="149" t="e">
        <f t="shared" si="2"/>
        <v>#N/A</v>
      </c>
      <c r="U25" s="149" t="e">
        <f t="shared" si="2"/>
        <v>#N/A</v>
      </c>
      <c r="V25" s="149" t="e">
        <f t="shared" si="2"/>
        <v>#N/A</v>
      </c>
      <c r="W25" s="149" t="e">
        <f t="shared" si="2"/>
        <v>#N/A</v>
      </c>
      <c r="X25" s="149" t="e">
        <f t="shared" si="2"/>
        <v>#N/A</v>
      </c>
      <c r="Y25" s="149" t="e">
        <f t="shared" si="2"/>
        <v>#N/A</v>
      </c>
      <c r="Z25" s="149" t="e">
        <f t="shared" si="2"/>
        <v>#N/A</v>
      </c>
      <c r="AA25" s="149" t="e">
        <f t="shared" si="2"/>
        <v>#N/A</v>
      </c>
      <c r="AB25" s="149" t="e">
        <f t="shared" si="2"/>
        <v>#N/A</v>
      </c>
      <c r="AC25" s="149" t="e">
        <f t="shared" si="2"/>
        <v>#N/A</v>
      </c>
      <c r="AD25" s="149" t="e">
        <f t="shared" si="2"/>
        <v>#N/A</v>
      </c>
    </row>
    <row r="26" spans="1:30">
      <c r="A26" s="160" t="s">
        <v>180</v>
      </c>
      <c r="B26" s="41" t="s">
        <v>446</v>
      </c>
      <c r="C26" s="41" t="s">
        <v>712</v>
      </c>
      <c r="D26" s="94">
        <v>4150</v>
      </c>
      <c r="E26" s="148">
        <v>6.0000000000000001E-3</v>
      </c>
      <c r="F26" s="41" t="s">
        <v>728</v>
      </c>
      <c r="L26" s="41"/>
      <c r="N26" s="99"/>
      <c r="O26" s="99"/>
      <c r="P26" s="99"/>
      <c r="R26" s="148">
        <f t="shared" si="3"/>
        <v>-0.113</v>
      </c>
      <c r="S26" s="149" t="e">
        <f t="shared" si="2"/>
        <v>#N/A</v>
      </c>
      <c r="T26" s="149" t="e">
        <f t="shared" si="2"/>
        <v>#N/A</v>
      </c>
      <c r="U26" s="149" t="e">
        <f t="shared" si="2"/>
        <v>#N/A</v>
      </c>
      <c r="V26" s="149" t="e">
        <f t="shared" si="2"/>
        <v>#N/A</v>
      </c>
      <c r="W26" s="149" t="e">
        <f t="shared" si="2"/>
        <v>#N/A</v>
      </c>
      <c r="X26" s="149" t="e">
        <f t="shared" si="2"/>
        <v>#N/A</v>
      </c>
      <c r="Y26" s="149" t="e">
        <f t="shared" si="2"/>
        <v>#N/A</v>
      </c>
      <c r="Z26" s="149" t="e">
        <f t="shared" si="2"/>
        <v>#N/A</v>
      </c>
      <c r="AA26" s="149" t="e">
        <f t="shared" si="2"/>
        <v>#N/A</v>
      </c>
      <c r="AB26" s="149" t="e">
        <f t="shared" si="2"/>
        <v>#N/A</v>
      </c>
      <c r="AC26" s="149" t="e">
        <f t="shared" si="2"/>
        <v>#N/A</v>
      </c>
      <c r="AD26" s="149" t="e">
        <f t="shared" si="2"/>
        <v>#N/A</v>
      </c>
    </row>
    <row r="27" spans="1:30">
      <c r="A27" s="160" t="s">
        <v>181</v>
      </c>
      <c r="B27" s="41" t="s">
        <v>447</v>
      </c>
      <c r="C27" s="41" t="s">
        <v>712</v>
      </c>
      <c r="D27" s="94">
        <v>4200</v>
      </c>
      <c r="E27" s="148">
        <v>1.8000000000000002E-2</v>
      </c>
      <c r="F27" s="41" t="s">
        <v>729</v>
      </c>
      <c r="L27" s="41"/>
      <c r="N27" s="99"/>
      <c r="O27" s="99"/>
      <c r="P27" s="99"/>
      <c r="R27" s="148">
        <f t="shared" si="3"/>
        <v>-0.112</v>
      </c>
      <c r="S27" s="149" t="e">
        <f t="shared" si="2"/>
        <v>#N/A</v>
      </c>
      <c r="T27" s="149" t="e">
        <f t="shared" si="2"/>
        <v>#N/A</v>
      </c>
      <c r="U27" s="149" t="e">
        <f t="shared" si="2"/>
        <v>#N/A</v>
      </c>
      <c r="V27" s="149" t="e">
        <f t="shared" si="2"/>
        <v>#N/A</v>
      </c>
      <c r="W27" s="149" t="e">
        <f t="shared" si="2"/>
        <v>#N/A</v>
      </c>
      <c r="X27" s="149" t="e">
        <f t="shared" si="2"/>
        <v>#N/A</v>
      </c>
      <c r="Y27" s="149" t="e">
        <f t="shared" si="2"/>
        <v>#N/A</v>
      </c>
      <c r="Z27" s="149" t="e">
        <f t="shared" si="2"/>
        <v>#N/A</v>
      </c>
      <c r="AA27" s="149" t="e">
        <f t="shared" si="2"/>
        <v>#N/A</v>
      </c>
      <c r="AB27" s="149" t="e">
        <f t="shared" si="2"/>
        <v>#N/A</v>
      </c>
      <c r="AC27" s="149" t="e">
        <f t="shared" si="2"/>
        <v>#N/A</v>
      </c>
      <c r="AD27" s="149" t="e">
        <f t="shared" si="2"/>
        <v>#N/A</v>
      </c>
    </row>
    <row r="28" spans="1:30">
      <c r="A28" s="160" t="s">
        <v>182</v>
      </c>
      <c r="B28" s="41" t="s">
        <v>448</v>
      </c>
      <c r="C28" s="41" t="s">
        <v>712</v>
      </c>
      <c r="D28" s="94">
        <v>4250</v>
      </c>
      <c r="E28" s="148">
        <v>0.03</v>
      </c>
      <c r="F28" s="41" t="s">
        <v>1019</v>
      </c>
      <c r="L28" s="41"/>
      <c r="N28" s="99"/>
      <c r="O28" s="99"/>
      <c r="P28" s="99"/>
      <c r="R28" s="148">
        <f t="shared" si="3"/>
        <v>-0.111</v>
      </c>
      <c r="S28" s="149" t="e">
        <f t="shared" si="2"/>
        <v>#N/A</v>
      </c>
      <c r="T28" s="149" t="e">
        <f t="shared" si="2"/>
        <v>#N/A</v>
      </c>
      <c r="U28" s="149" t="e">
        <f t="shared" si="2"/>
        <v>#N/A</v>
      </c>
      <c r="V28" s="149" t="e">
        <f t="shared" si="2"/>
        <v>#N/A</v>
      </c>
      <c r="W28" s="149" t="e">
        <f t="shared" si="2"/>
        <v>#N/A</v>
      </c>
      <c r="X28" s="149" t="e">
        <f t="shared" si="2"/>
        <v>#N/A</v>
      </c>
      <c r="Y28" s="149" t="e">
        <f t="shared" si="2"/>
        <v>#N/A</v>
      </c>
      <c r="Z28" s="149" t="e">
        <f t="shared" si="2"/>
        <v>#N/A</v>
      </c>
      <c r="AA28" s="149" t="e">
        <f t="shared" si="2"/>
        <v>#N/A</v>
      </c>
      <c r="AB28" s="149" t="e">
        <f t="shared" si="2"/>
        <v>#N/A</v>
      </c>
      <c r="AC28" s="149" t="e">
        <f t="shared" si="2"/>
        <v>#N/A</v>
      </c>
      <c r="AD28" s="149" t="e">
        <f t="shared" si="2"/>
        <v>#N/A</v>
      </c>
    </row>
    <row r="29" spans="1:30">
      <c r="A29" s="160" t="s">
        <v>183</v>
      </c>
      <c r="B29" s="41" t="s">
        <v>449</v>
      </c>
      <c r="C29" s="41" t="s">
        <v>712</v>
      </c>
      <c r="D29" s="94">
        <v>4300</v>
      </c>
      <c r="E29" s="148">
        <v>4.2000000000000003E-2</v>
      </c>
      <c r="F29" s="41" t="s">
        <v>1020</v>
      </c>
      <c r="L29" s="41"/>
      <c r="N29" s="99"/>
      <c r="O29" s="99"/>
      <c r="P29" s="99"/>
      <c r="R29" s="148">
        <f t="shared" si="3"/>
        <v>-0.11</v>
      </c>
      <c r="S29" s="149" t="e">
        <f t="shared" si="2"/>
        <v>#N/A</v>
      </c>
      <c r="T29" s="149" t="e">
        <f t="shared" si="2"/>
        <v>#N/A</v>
      </c>
      <c r="U29" s="149" t="e">
        <f t="shared" si="2"/>
        <v>#N/A</v>
      </c>
      <c r="V29" s="149" t="e">
        <f t="shared" si="2"/>
        <v>#N/A</v>
      </c>
      <c r="W29" s="149" t="e">
        <f t="shared" si="2"/>
        <v>#N/A</v>
      </c>
      <c r="X29" s="149" t="e">
        <f t="shared" si="2"/>
        <v>#N/A</v>
      </c>
      <c r="Y29" s="149" t="e">
        <f t="shared" si="2"/>
        <v>#N/A</v>
      </c>
      <c r="Z29" s="149" t="e">
        <f t="shared" si="2"/>
        <v>#N/A</v>
      </c>
      <c r="AA29" s="149" t="e">
        <f t="shared" si="2"/>
        <v>#N/A</v>
      </c>
      <c r="AB29" s="149" t="e">
        <f t="shared" si="2"/>
        <v>#N/A</v>
      </c>
      <c r="AC29" s="149" t="e">
        <f t="shared" si="2"/>
        <v>#N/A</v>
      </c>
      <c r="AD29" s="149" t="e">
        <f t="shared" si="2"/>
        <v>#N/A</v>
      </c>
    </row>
    <row r="30" spans="1:30">
      <c r="A30" s="160" t="s">
        <v>184</v>
      </c>
      <c r="B30" s="41" t="s">
        <v>450</v>
      </c>
      <c r="C30" s="41" t="s">
        <v>712</v>
      </c>
      <c r="D30" s="94">
        <v>4350</v>
      </c>
      <c r="E30" s="148">
        <v>5.4000000000000006E-2</v>
      </c>
      <c r="F30" s="41" t="s">
        <v>1021</v>
      </c>
      <c r="L30" s="41"/>
      <c r="N30" s="99"/>
      <c r="O30" s="99"/>
      <c r="P30" s="99"/>
      <c r="R30" s="148">
        <f t="shared" si="3"/>
        <v>-0.109</v>
      </c>
      <c r="S30" s="149" t="e">
        <f t="shared" si="2"/>
        <v>#N/A</v>
      </c>
      <c r="T30" s="149" t="e">
        <f t="shared" si="2"/>
        <v>#N/A</v>
      </c>
      <c r="U30" s="149" t="e">
        <f t="shared" si="2"/>
        <v>#N/A</v>
      </c>
      <c r="V30" s="149" t="e">
        <f t="shared" si="2"/>
        <v>#N/A</v>
      </c>
      <c r="W30" s="149" t="e">
        <f t="shared" si="2"/>
        <v>#N/A</v>
      </c>
      <c r="X30" s="149" t="e">
        <f t="shared" si="2"/>
        <v>#N/A</v>
      </c>
      <c r="Y30" s="149" t="e">
        <f t="shared" si="2"/>
        <v>#N/A</v>
      </c>
      <c r="Z30" s="149" t="e">
        <f t="shared" si="2"/>
        <v>#N/A</v>
      </c>
      <c r="AA30" s="149" t="e">
        <f t="shared" si="2"/>
        <v>#N/A</v>
      </c>
      <c r="AB30" s="149" t="e">
        <f t="shared" si="2"/>
        <v>#N/A</v>
      </c>
      <c r="AC30" s="149" t="e">
        <f t="shared" si="2"/>
        <v>#N/A</v>
      </c>
      <c r="AD30" s="149" t="e">
        <f t="shared" si="2"/>
        <v>#N/A</v>
      </c>
    </row>
    <row r="31" spans="1:30">
      <c r="A31" s="160" t="s">
        <v>185</v>
      </c>
      <c r="B31" s="41" t="s">
        <v>451</v>
      </c>
      <c r="C31" s="41" t="s">
        <v>712</v>
      </c>
      <c r="D31" s="94">
        <v>4400</v>
      </c>
      <c r="E31" s="148">
        <v>6.6000000000000003E-2</v>
      </c>
      <c r="F31" s="41" t="s">
        <v>1022</v>
      </c>
      <c r="L31" s="41"/>
      <c r="N31" s="99"/>
      <c r="O31" s="99"/>
      <c r="P31" s="99"/>
      <c r="R31" s="148">
        <f t="shared" si="3"/>
        <v>-0.108</v>
      </c>
      <c r="S31" s="149" t="e">
        <f t="shared" si="2"/>
        <v>#N/A</v>
      </c>
      <c r="T31" s="149" t="e">
        <f t="shared" si="2"/>
        <v>#N/A</v>
      </c>
      <c r="U31" s="149" t="e">
        <f t="shared" si="2"/>
        <v>#N/A</v>
      </c>
      <c r="V31" s="149" t="e">
        <f t="shared" si="2"/>
        <v>#N/A</v>
      </c>
      <c r="W31" s="149" t="e">
        <f t="shared" si="2"/>
        <v>#N/A</v>
      </c>
      <c r="X31" s="149" t="e">
        <f t="shared" si="2"/>
        <v>#N/A</v>
      </c>
      <c r="Y31" s="149" t="e">
        <f t="shared" si="2"/>
        <v>#N/A</v>
      </c>
      <c r="Z31" s="149" t="e">
        <f t="shared" si="2"/>
        <v>#N/A</v>
      </c>
      <c r="AA31" s="149" t="e">
        <f t="shared" si="2"/>
        <v>#N/A</v>
      </c>
      <c r="AB31" s="149" t="e">
        <f t="shared" si="2"/>
        <v>#N/A</v>
      </c>
      <c r="AC31" s="149" t="e">
        <f t="shared" si="2"/>
        <v>#N/A</v>
      </c>
      <c r="AD31" s="149" t="e">
        <f t="shared" si="2"/>
        <v>#N/A</v>
      </c>
    </row>
    <row r="32" spans="1:30">
      <c r="A32" s="160" t="s">
        <v>186</v>
      </c>
      <c r="B32" s="41" t="s">
        <v>452</v>
      </c>
      <c r="C32" s="41" t="s">
        <v>712</v>
      </c>
      <c r="D32" s="94">
        <v>4450</v>
      </c>
      <c r="E32" s="148">
        <v>7.9000000000000001E-2</v>
      </c>
      <c r="F32" s="41" t="s">
        <v>1023</v>
      </c>
      <c r="L32" s="41"/>
      <c r="N32" s="99"/>
      <c r="O32" s="99"/>
      <c r="P32" s="99"/>
      <c r="R32" s="148">
        <f t="shared" si="3"/>
        <v>-0.107</v>
      </c>
      <c r="S32" s="149" t="e">
        <f t="shared" si="2"/>
        <v>#N/A</v>
      </c>
      <c r="T32" s="149" t="e">
        <f t="shared" si="2"/>
        <v>#N/A</v>
      </c>
      <c r="U32" s="149" t="e">
        <f t="shared" si="2"/>
        <v>#N/A</v>
      </c>
      <c r="V32" s="149" t="e">
        <f t="shared" si="2"/>
        <v>#N/A</v>
      </c>
      <c r="W32" s="149" t="e">
        <f t="shared" si="2"/>
        <v>#N/A</v>
      </c>
      <c r="X32" s="149" t="e">
        <f t="shared" si="2"/>
        <v>#N/A</v>
      </c>
      <c r="Y32" s="149" t="e">
        <f t="shared" si="2"/>
        <v>#N/A</v>
      </c>
      <c r="Z32" s="149" t="e">
        <f t="shared" si="2"/>
        <v>#N/A</v>
      </c>
      <c r="AA32" s="149" t="e">
        <f t="shared" si="2"/>
        <v>#N/A</v>
      </c>
      <c r="AB32" s="149" t="e">
        <f t="shared" si="2"/>
        <v>#N/A</v>
      </c>
      <c r="AC32" s="149" t="e">
        <f t="shared" si="2"/>
        <v>#N/A</v>
      </c>
      <c r="AD32" s="149" t="e">
        <f t="shared" si="2"/>
        <v>#N/A</v>
      </c>
    </row>
    <row r="33" spans="1:30">
      <c r="A33" s="160" t="s">
        <v>792</v>
      </c>
      <c r="B33" s="41" t="s">
        <v>1024</v>
      </c>
      <c r="C33" s="41" t="s">
        <v>712</v>
      </c>
      <c r="D33" s="94">
        <v>4500</v>
      </c>
      <c r="E33" s="148">
        <v>9.0999999999999998E-2</v>
      </c>
      <c r="F33" s="41" t="s">
        <v>1025</v>
      </c>
      <c r="L33" s="41"/>
      <c r="N33" s="99"/>
      <c r="O33" s="99"/>
      <c r="P33" s="99"/>
      <c r="R33" s="148">
        <f t="shared" si="3"/>
        <v>-0.106</v>
      </c>
      <c r="S33" s="149" t="e">
        <f t="shared" si="2"/>
        <v>#N/A</v>
      </c>
      <c r="T33" s="149" t="e">
        <f t="shared" si="2"/>
        <v>#N/A</v>
      </c>
      <c r="U33" s="149" t="e">
        <f t="shared" si="2"/>
        <v>#N/A</v>
      </c>
      <c r="V33" s="149" t="e">
        <f t="shared" si="2"/>
        <v>#N/A</v>
      </c>
      <c r="W33" s="149" t="e">
        <f t="shared" si="2"/>
        <v>#N/A</v>
      </c>
      <c r="X33" s="149" t="e">
        <f t="shared" si="2"/>
        <v>#N/A</v>
      </c>
      <c r="Y33" s="149" t="e">
        <f t="shared" si="2"/>
        <v>#N/A</v>
      </c>
      <c r="Z33" s="149" t="e">
        <f t="shared" si="2"/>
        <v>#N/A</v>
      </c>
      <c r="AA33" s="149" t="e">
        <f t="shared" si="2"/>
        <v>#N/A</v>
      </c>
      <c r="AB33" s="149" t="e">
        <f t="shared" si="2"/>
        <v>#N/A</v>
      </c>
      <c r="AC33" s="149" t="e">
        <f t="shared" si="2"/>
        <v>#N/A</v>
      </c>
      <c r="AD33" s="149" t="e">
        <f t="shared" si="2"/>
        <v>#N/A</v>
      </c>
    </row>
    <row r="34" spans="1:30">
      <c r="A34" s="160" t="s">
        <v>793</v>
      </c>
      <c r="B34" s="41" t="s">
        <v>1026</v>
      </c>
      <c r="C34" s="41" t="s">
        <v>712</v>
      </c>
      <c r="D34" s="94">
        <v>4550</v>
      </c>
      <c r="E34" s="148">
        <v>0.10300000000000001</v>
      </c>
      <c r="F34" s="41" t="s">
        <v>1027</v>
      </c>
      <c r="L34" s="41"/>
      <c r="N34" s="99"/>
      <c r="O34" s="99"/>
      <c r="P34" s="99"/>
      <c r="R34" s="148">
        <f t="shared" si="3"/>
        <v>-0.105</v>
      </c>
      <c r="S34" s="149" t="e">
        <f t="shared" si="2"/>
        <v>#N/A</v>
      </c>
      <c r="T34" s="149" t="e">
        <f t="shared" si="2"/>
        <v>#N/A</v>
      </c>
      <c r="U34" s="149" t="e">
        <f t="shared" si="2"/>
        <v>#N/A</v>
      </c>
      <c r="V34" s="149" t="e">
        <f t="shared" si="2"/>
        <v>#N/A</v>
      </c>
      <c r="W34" s="149" t="e">
        <f t="shared" si="2"/>
        <v>#N/A</v>
      </c>
      <c r="X34" s="149" t="e">
        <f t="shared" si="2"/>
        <v>#N/A</v>
      </c>
      <c r="Y34" s="149" t="e">
        <f t="shared" si="2"/>
        <v>#N/A</v>
      </c>
      <c r="Z34" s="149" t="e">
        <f t="shared" si="2"/>
        <v>#N/A</v>
      </c>
      <c r="AA34" s="149" t="e">
        <f t="shared" si="2"/>
        <v>#N/A</v>
      </c>
      <c r="AB34" s="149" t="e">
        <f t="shared" si="2"/>
        <v>#N/A</v>
      </c>
      <c r="AC34" s="149" t="e">
        <f t="shared" si="2"/>
        <v>#N/A</v>
      </c>
      <c r="AD34" s="149" t="e">
        <f t="shared" si="2"/>
        <v>#N/A</v>
      </c>
    </row>
    <row r="35" spans="1:30">
      <c r="A35" s="160" t="s">
        <v>794</v>
      </c>
      <c r="B35" s="41" t="s">
        <v>1028</v>
      </c>
      <c r="C35" s="41" t="s">
        <v>712</v>
      </c>
      <c r="D35" s="94">
        <v>4600</v>
      </c>
      <c r="E35" s="148">
        <v>0.115</v>
      </c>
      <c r="F35" s="41" t="s">
        <v>1029</v>
      </c>
      <c r="L35" s="41"/>
      <c r="N35" s="99"/>
      <c r="O35" s="99"/>
      <c r="P35" s="99"/>
      <c r="R35" s="148">
        <f t="shared" si="3"/>
        <v>-0.104</v>
      </c>
      <c r="S35" s="149" t="e">
        <f t="shared" si="2"/>
        <v>#N/A</v>
      </c>
      <c r="T35" s="149" t="e">
        <f t="shared" si="2"/>
        <v>#N/A</v>
      </c>
      <c r="U35" s="149" t="e">
        <f t="shared" si="2"/>
        <v>#N/A</v>
      </c>
      <c r="V35" s="149" t="e">
        <f t="shared" si="2"/>
        <v>#N/A</v>
      </c>
      <c r="W35" s="149" t="e">
        <f t="shared" si="2"/>
        <v>#N/A</v>
      </c>
      <c r="X35" s="149" t="e">
        <f t="shared" si="2"/>
        <v>#N/A</v>
      </c>
      <c r="Y35" s="149" t="e">
        <f t="shared" si="2"/>
        <v>#N/A</v>
      </c>
      <c r="Z35" s="149" t="e">
        <f t="shared" si="2"/>
        <v>#N/A</v>
      </c>
      <c r="AA35" s="149" t="e">
        <f t="shared" si="2"/>
        <v>#N/A</v>
      </c>
      <c r="AB35" s="149" t="e">
        <f t="shared" si="2"/>
        <v>#N/A</v>
      </c>
      <c r="AC35" s="149" t="e">
        <f t="shared" si="2"/>
        <v>#N/A</v>
      </c>
      <c r="AD35" s="149" t="e">
        <f t="shared" si="2"/>
        <v>#N/A</v>
      </c>
    </row>
    <row r="36" spans="1:30">
      <c r="A36" s="160" t="s">
        <v>795</v>
      </c>
      <c r="B36" s="41" t="s">
        <v>1030</v>
      </c>
      <c r="C36" s="41" t="s">
        <v>712</v>
      </c>
      <c r="D36" s="94">
        <v>4650</v>
      </c>
      <c r="E36" s="148">
        <v>0.127</v>
      </c>
      <c r="F36" s="41" t="s">
        <v>1031</v>
      </c>
      <c r="L36" s="41"/>
      <c r="N36" s="99"/>
      <c r="O36" s="99"/>
      <c r="P36" s="99"/>
      <c r="R36" s="148">
        <f t="shared" si="3"/>
        <v>-0.10299999999999999</v>
      </c>
      <c r="S36" s="149" t="e">
        <f t="shared" si="2"/>
        <v>#N/A</v>
      </c>
      <c r="T36" s="149" t="e">
        <f t="shared" si="2"/>
        <v>#N/A</v>
      </c>
      <c r="U36" s="149" t="e">
        <f t="shared" si="2"/>
        <v>#N/A</v>
      </c>
      <c r="V36" s="149" t="e">
        <f t="shared" si="2"/>
        <v>#N/A</v>
      </c>
      <c r="W36" s="149" t="e">
        <f t="shared" si="2"/>
        <v>#N/A</v>
      </c>
      <c r="X36" s="149" t="e">
        <f t="shared" si="2"/>
        <v>#N/A</v>
      </c>
      <c r="Y36" s="149" t="e">
        <f t="shared" si="2"/>
        <v>#N/A</v>
      </c>
      <c r="Z36" s="149" t="e">
        <f t="shared" si="2"/>
        <v>#N/A</v>
      </c>
      <c r="AA36" s="149" t="e">
        <f t="shared" si="2"/>
        <v>#N/A</v>
      </c>
      <c r="AB36" s="149" t="e">
        <f t="shared" si="2"/>
        <v>#N/A</v>
      </c>
      <c r="AC36" s="149" t="e">
        <f t="shared" si="2"/>
        <v>#N/A</v>
      </c>
      <c r="AD36" s="149" t="e">
        <f t="shared" si="2"/>
        <v>#N/A</v>
      </c>
    </row>
    <row r="37" spans="1:30">
      <c r="A37" s="160" t="s">
        <v>796</v>
      </c>
      <c r="B37" s="41" t="s">
        <v>1032</v>
      </c>
      <c r="C37" s="41" t="s">
        <v>698</v>
      </c>
      <c r="D37" s="94">
        <v>3300</v>
      </c>
      <c r="E37" s="148">
        <v>-0.2</v>
      </c>
      <c r="F37" s="41" t="s">
        <v>1033</v>
      </c>
      <c r="L37" s="41"/>
      <c r="N37" s="99"/>
      <c r="O37" s="99"/>
      <c r="P37" s="99"/>
      <c r="R37" s="148">
        <f t="shared" si="3"/>
        <v>-0.10199999999999999</v>
      </c>
      <c r="S37" s="149" t="e">
        <f t="shared" si="2"/>
        <v>#N/A</v>
      </c>
      <c r="T37" s="149" t="e">
        <f t="shared" si="2"/>
        <v>#N/A</v>
      </c>
      <c r="U37" s="149" t="e">
        <f t="shared" si="2"/>
        <v>#N/A</v>
      </c>
      <c r="V37" s="149" t="e">
        <f t="shared" si="2"/>
        <v>#N/A</v>
      </c>
      <c r="W37" s="149" t="e">
        <f t="shared" si="2"/>
        <v>#N/A</v>
      </c>
      <c r="X37" s="149" t="e">
        <f t="shared" si="2"/>
        <v>#N/A</v>
      </c>
      <c r="Y37" s="149" t="e">
        <f t="shared" si="2"/>
        <v>#N/A</v>
      </c>
      <c r="Z37" s="149" t="e">
        <f t="shared" si="2"/>
        <v>#N/A</v>
      </c>
      <c r="AA37" s="149" t="e">
        <f t="shared" si="2"/>
        <v>#N/A</v>
      </c>
      <c r="AB37" s="149" t="e">
        <f t="shared" si="2"/>
        <v>#N/A</v>
      </c>
      <c r="AC37" s="149" t="e">
        <f t="shared" si="2"/>
        <v>#N/A</v>
      </c>
      <c r="AD37" s="149" t="e">
        <f t="shared" si="2"/>
        <v>#N/A</v>
      </c>
    </row>
    <row r="38" spans="1:30">
      <c r="A38" s="160" t="s">
        <v>797</v>
      </c>
      <c r="B38" s="41" t="s">
        <v>1034</v>
      </c>
      <c r="C38" s="41" t="s">
        <v>698</v>
      </c>
      <c r="D38" s="94">
        <v>3350</v>
      </c>
      <c r="E38" s="148">
        <v>-0.188</v>
      </c>
      <c r="F38" s="41" t="s">
        <v>1035</v>
      </c>
      <c r="L38" s="41"/>
      <c r="N38" s="99"/>
      <c r="O38" s="99"/>
      <c r="P38" s="99"/>
      <c r="R38" s="148">
        <f t="shared" si="3"/>
        <v>-0.10100000000000001</v>
      </c>
      <c r="S38" s="149" t="e">
        <f t="shared" si="2"/>
        <v>#N/A</v>
      </c>
      <c r="T38" s="149" t="e">
        <f t="shared" si="2"/>
        <v>#N/A</v>
      </c>
      <c r="U38" s="149" t="e">
        <f t="shared" si="2"/>
        <v>#N/A</v>
      </c>
      <c r="V38" s="149" t="e">
        <f t="shared" si="2"/>
        <v>#N/A</v>
      </c>
      <c r="W38" s="149" t="e">
        <f t="shared" si="2"/>
        <v>#N/A</v>
      </c>
      <c r="X38" s="149" t="e">
        <f t="shared" si="2"/>
        <v>#N/A</v>
      </c>
      <c r="Y38" s="149" t="e">
        <f t="shared" si="2"/>
        <v>#N/A</v>
      </c>
      <c r="Z38" s="149" t="e">
        <f t="shared" si="2"/>
        <v>#N/A</v>
      </c>
      <c r="AA38" s="149" t="e">
        <f t="shared" si="2"/>
        <v>#N/A</v>
      </c>
      <c r="AB38" s="149" t="e">
        <f t="shared" si="2"/>
        <v>#N/A</v>
      </c>
      <c r="AC38" s="149" t="e">
        <f t="shared" si="2"/>
        <v>#N/A</v>
      </c>
      <c r="AD38" s="149" t="e">
        <f t="shared" si="2"/>
        <v>#N/A</v>
      </c>
    </row>
    <row r="39" spans="1:30">
      <c r="A39" s="160" t="s">
        <v>798</v>
      </c>
      <c r="B39" s="41" t="s">
        <v>1036</v>
      </c>
      <c r="C39" s="41" t="s">
        <v>698</v>
      </c>
      <c r="D39" s="94">
        <v>3400</v>
      </c>
      <c r="E39" s="148">
        <v>-0.17600000000000002</v>
      </c>
      <c r="F39" s="41" t="s">
        <v>1037</v>
      </c>
      <c r="L39" s="41"/>
      <c r="N39" s="99"/>
      <c r="O39" s="99"/>
      <c r="P39" s="99"/>
      <c r="R39" s="148">
        <f t="shared" si="3"/>
        <v>-0.1</v>
      </c>
      <c r="S39" s="149" t="e">
        <f t="shared" si="2"/>
        <v>#N/A</v>
      </c>
      <c r="T39" s="149" t="e">
        <f t="shared" si="2"/>
        <v>#N/A</v>
      </c>
      <c r="U39" s="149" t="e">
        <f t="shared" si="2"/>
        <v>#N/A</v>
      </c>
      <c r="V39" s="149" t="e">
        <f t="shared" si="2"/>
        <v>#N/A</v>
      </c>
      <c r="W39" s="149" t="e">
        <f t="shared" si="2"/>
        <v>#N/A</v>
      </c>
      <c r="X39" s="149" t="e">
        <f t="shared" si="2"/>
        <v>#N/A</v>
      </c>
      <c r="Y39" s="149" t="e">
        <f t="shared" si="2"/>
        <v>#N/A</v>
      </c>
      <c r="Z39" s="149" t="e">
        <f t="shared" si="2"/>
        <v>#N/A</v>
      </c>
      <c r="AA39" s="149" t="e">
        <f t="shared" si="2"/>
        <v>#N/A</v>
      </c>
      <c r="AB39" s="149" t="e">
        <f t="shared" si="2"/>
        <v>#N/A</v>
      </c>
      <c r="AC39" s="149" t="e">
        <f t="shared" si="2"/>
        <v>#N/A</v>
      </c>
      <c r="AD39" s="149" t="e">
        <f t="shared" si="2"/>
        <v>#N/A</v>
      </c>
    </row>
    <row r="40" spans="1:30">
      <c r="A40" s="160" t="s">
        <v>799</v>
      </c>
      <c r="B40" s="41" t="s">
        <v>1038</v>
      </c>
      <c r="C40" s="41" t="s">
        <v>698</v>
      </c>
      <c r="D40" s="94">
        <v>3450</v>
      </c>
      <c r="E40" s="148">
        <v>-0.16399999999999998</v>
      </c>
      <c r="F40" s="41" t="s">
        <v>1039</v>
      </c>
      <c r="L40" s="41"/>
      <c r="N40" s="99"/>
      <c r="O40" s="99"/>
      <c r="P40" s="99"/>
      <c r="R40" s="148">
        <f t="shared" si="3"/>
        <v>-9.9000000000000005E-2</v>
      </c>
      <c r="S40" s="149" t="e">
        <f t="shared" si="2"/>
        <v>#N/A</v>
      </c>
      <c r="T40" s="149" t="e">
        <f t="shared" si="2"/>
        <v>#N/A</v>
      </c>
      <c r="U40" s="149" t="e">
        <f t="shared" si="2"/>
        <v>#N/A</v>
      </c>
      <c r="V40" s="149" t="e">
        <f t="shared" si="2"/>
        <v>#N/A</v>
      </c>
      <c r="W40" s="149" t="e">
        <f t="shared" si="2"/>
        <v>#N/A</v>
      </c>
      <c r="X40" s="149" t="e">
        <f t="shared" si="2"/>
        <v>#N/A</v>
      </c>
      <c r="Y40" s="149" t="e">
        <f t="shared" si="2"/>
        <v>#N/A</v>
      </c>
      <c r="Z40" s="149" t="e">
        <f t="shared" si="2"/>
        <v>#N/A</v>
      </c>
      <c r="AA40" s="149" t="e">
        <f t="shared" si="2"/>
        <v>#N/A</v>
      </c>
      <c r="AB40" s="149" t="e">
        <f t="shared" si="2"/>
        <v>#N/A</v>
      </c>
      <c r="AC40" s="149" t="e">
        <f t="shared" si="2"/>
        <v>#N/A</v>
      </c>
      <c r="AD40" s="149" t="e">
        <f t="shared" si="2"/>
        <v>#N/A</v>
      </c>
    </row>
    <row r="41" spans="1:30">
      <c r="A41" s="160" t="s">
        <v>800</v>
      </c>
      <c r="B41" s="41" t="s">
        <v>1040</v>
      </c>
      <c r="C41" s="41" t="s">
        <v>698</v>
      </c>
      <c r="D41" s="94">
        <v>3500</v>
      </c>
      <c r="E41" s="148">
        <v>-0.152</v>
      </c>
      <c r="F41" s="41" t="s">
        <v>1041</v>
      </c>
      <c r="L41" s="41"/>
      <c r="N41" s="99"/>
      <c r="O41" s="99"/>
      <c r="P41" s="99"/>
      <c r="R41" s="148">
        <f t="shared" si="3"/>
        <v>-9.8000000000000004E-2</v>
      </c>
      <c r="S41" s="149" t="e">
        <f t="shared" si="2"/>
        <v>#N/A</v>
      </c>
      <c r="T41" s="149" t="e">
        <f t="shared" si="2"/>
        <v>#N/A</v>
      </c>
      <c r="U41" s="149" t="e">
        <f t="shared" si="2"/>
        <v>#N/A</v>
      </c>
      <c r="V41" s="149" t="e">
        <f t="shared" si="2"/>
        <v>#N/A</v>
      </c>
      <c r="W41" s="149" t="e">
        <f t="shared" si="2"/>
        <v>#N/A</v>
      </c>
      <c r="X41" s="149" t="e">
        <f t="shared" si="2"/>
        <v>#N/A</v>
      </c>
      <c r="Y41" s="149" t="e">
        <f t="shared" si="2"/>
        <v>#N/A</v>
      </c>
      <c r="Z41" s="149" t="e">
        <f t="shared" si="2"/>
        <v>#N/A</v>
      </c>
      <c r="AA41" s="149" t="e">
        <f t="shared" si="2"/>
        <v>#N/A</v>
      </c>
      <c r="AB41" s="149" t="e">
        <f t="shared" si="2"/>
        <v>#N/A</v>
      </c>
      <c r="AC41" s="149" t="e">
        <f t="shared" si="2"/>
        <v>#N/A</v>
      </c>
      <c r="AD41" s="149" t="e">
        <f t="shared" si="2"/>
        <v>#N/A</v>
      </c>
    </row>
    <row r="42" spans="1:30">
      <c r="A42" s="160" t="s">
        <v>239</v>
      </c>
      <c r="B42" s="41" t="s">
        <v>505</v>
      </c>
      <c r="C42" s="41" t="s">
        <v>698</v>
      </c>
      <c r="D42" s="94">
        <v>3550</v>
      </c>
      <c r="E42" s="148">
        <v>-0.14000000000000001</v>
      </c>
      <c r="F42" s="41" t="s">
        <v>1042</v>
      </c>
      <c r="L42" s="41"/>
      <c r="N42" s="99"/>
      <c r="O42" s="99"/>
      <c r="P42" s="99"/>
      <c r="R42" s="148">
        <f t="shared" si="3"/>
        <v>-9.7000000000000003E-2</v>
      </c>
      <c r="S42" s="149" t="e">
        <f t="shared" si="2"/>
        <v>#N/A</v>
      </c>
      <c r="T42" s="149" t="e">
        <f t="shared" si="2"/>
        <v>#N/A</v>
      </c>
      <c r="U42" s="149" t="e">
        <f t="shared" si="2"/>
        <v>#N/A</v>
      </c>
      <c r="V42" s="149" t="e">
        <f t="shared" si="2"/>
        <v>#N/A</v>
      </c>
      <c r="W42" s="149" t="e">
        <f t="shared" si="2"/>
        <v>#N/A</v>
      </c>
      <c r="X42" s="149" t="e">
        <f t="shared" si="2"/>
        <v>#N/A</v>
      </c>
      <c r="Y42" s="149" t="e">
        <f t="shared" si="2"/>
        <v>#N/A</v>
      </c>
      <c r="Z42" s="149" t="e">
        <f t="shared" si="2"/>
        <v>#N/A</v>
      </c>
      <c r="AA42" s="149" t="e">
        <f t="shared" si="2"/>
        <v>#N/A</v>
      </c>
      <c r="AB42" s="149" t="e">
        <f t="shared" si="2"/>
        <v>#N/A</v>
      </c>
      <c r="AC42" s="149" t="e">
        <f t="shared" si="2"/>
        <v>#N/A</v>
      </c>
      <c r="AD42" s="149" t="e">
        <f t="shared" si="2"/>
        <v>#N/A</v>
      </c>
    </row>
    <row r="43" spans="1:30">
      <c r="A43" s="160" t="s">
        <v>240</v>
      </c>
      <c r="B43" s="41" t="s">
        <v>506</v>
      </c>
      <c r="C43" s="41" t="s">
        <v>698</v>
      </c>
      <c r="D43" s="94">
        <v>3600</v>
      </c>
      <c r="E43" s="148">
        <v>-0.128</v>
      </c>
      <c r="F43" s="41" t="s">
        <v>1043</v>
      </c>
      <c r="L43" s="41"/>
      <c r="N43" s="99"/>
      <c r="O43" s="99"/>
      <c r="P43" s="99"/>
      <c r="R43" s="148">
        <f t="shared" si="3"/>
        <v>-9.6000000000000002E-2</v>
      </c>
      <c r="S43" s="149" t="e">
        <f t="shared" si="2"/>
        <v>#N/A</v>
      </c>
      <c r="T43" s="149" t="e">
        <f t="shared" si="2"/>
        <v>#N/A</v>
      </c>
      <c r="U43" s="149" t="e">
        <f t="shared" si="2"/>
        <v>#N/A</v>
      </c>
      <c r="V43" s="149" t="e">
        <f t="shared" si="2"/>
        <v>#N/A</v>
      </c>
      <c r="W43" s="149" t="e">
        <f t="shared" si="2"/>
        <v>#N/A</v>
      </c>
      <c r="X43" s="149" t="e">
        <f t="shared" si="2"/>
        <v>#N/A</v>
      </c>
      <c r="Y43" s="149" t="e">
        <f t="shared" si="2"/>
        <v>#N/A</v>
      </c>
      <c r="Z43" s="149" t="e">
        <f t="shared" si="2"/>
        <v>#N/A</v>
      </c>
      <c r="AA43" s="149" t="e">
        <f t="shared" si="2"/>
        <v>#N/A</v>
      </c>
      <c r="AB43" s="149" t="e">
        <f t="shared" si="2"/>
        <v>#N/A</v>
      </c>
      <c r="AC43" s="149" t="e">
        <f t="shared" si="2"/>
        <v>#N/A</v>
      </c>
      <c r="AD43" s="149" t="e">
        <f t="shared" si="2"/>
        <v>#N/A</v>
      </c>
    </row>
    <row r="44" spans="1:30">
      <c r="A44" s="160" t="s">
        <v>241</v>
      </c>
      <c r="B44" s="41" t="s">
        <v>507</v>
      </c>
      <c r="C44" s="41" t="s">
        <v>698</v>
      </c>
      <c r="D44" s="94">
        <v>3650</v>
      </c>
      <c r="E44" s="148">
        <v>-0.115</v>
      </c>
      <c r="F44" s="41" t="s">
        <v>1044</v>
      </c>
      <c r="L44" s="41"/>
      <c r="N44" s="99"/>
      <c r="O44" s="99"/>
      <c r="P44" s="99"/>
      <c r="R44" s="148">
        <f t="shared" si="3"/>
        <v>-9.5000000000000001E-2</v>
      </c>
      <c r="S44" s="149" t="e">
        <f t="shared" si="2"/>
        <v>#N/A</v>
      </c>
      <c r="T44" s="149" t="e">
        <f t="shared" si="2"/>
        <v>#N/A</v>
      </c>
      <c r="U44" s="149" t="e">
        <f t="shared" si="2"/>
        <v>#N/A</v>
      </c>
      <c r="V44" s="149" t="e">
        <f t="shared" si="2"/>
        <v>#N/A</v>
      </c>
      <c r="W44" s="149" t="e">
        <f t="shared" si="2"/>
        <v>#N/A</v>
      </c>
      <c r="X44" s="149" t="e">
        <f t="shared" si="2"/>
        <v>#N/A</v>
      </c>
      <c r="Y44" s="149" t="e">
        <f t="shared" si="2"/>
        <v>#N/A</v>
      </c>
      <c r="Z44" s="149" t="e">
        <f t="shared" si="2"/>
        <v>#N/A</v>
      </c>
      <c r="AA44" s="149" t="e">
        <f t="shared" si="2"/>
        <v>#N/A</v>
      </c>
      <c r="AB44" s="149" t="e">
        <f t="shared" si="2"/>
        <v>#N/A</v>
      </c>
      <c r="AC44" s="149" t="e">
        <f t="shared" si="2"/>
        <v>#N/A</v>
      </c>
      <c r="AD44" s="149" t="e">
        <f t="shared" si="2"/>
        <v>#N/A</v>
      </c>
    </row>
    <row r="45" spans="1:30">
      <c r="A45" s="160" t="s">
        <v>242</v>
      </c>
      <c r="B45" s="41" t="s">
        <v>508</v>
      </c>
      <c r="C45" s="41" t="s">
        <v>698</v>
      </c>
      <c r="D45" s="94">
        <v>3700</v>
      </c>
      <c r="E45" s="148">
        <v>-0.10300000000000001</v>
      </c>
      <c r="F45" s="41" t="s">
        <v>1045</v>
      </c>
      <c r="L45" s="41"/>
      <c r="N45" s="99"/>
      <c r="O45" s="99"/>
      <c r="P45" s="99"/>
      <c r="R45" s="148">
        <f t="shared" si="3"/>
        <v>-9.4E-2</v>
      </c>
      <c r="S45" s="149" t="e">
        <f t="shared" ref="S45:AD66" si="4">IF(VLOOKUP(S$8&amp;"@"&amp;$R45,$F:$Q,$R$7,0)=0,NA(),VLOOKUP(S$8&amp;"@"&amp;$R45,$F:$Q,$R$7,0))</f>
        <v>#N/A</v>
      </c>
      <c r="T45" s="149" t="e">
        <f t="shared" si="4"/>
        <v>#N/A</v>
      </c>
      <c r="U45" s="149" t="e">
        <f t="shared" si="4"/>
        <v>#N/A</v>
      </c>
      <c r="V45" s="149" t="e">
        <f t="shared" si="4"/>
        <v>#N/A</v>
      </c>
      <c r="W45" s="149" t="e">
        <f t="shared" si="4"/>
        <v>#N/A</v>
      </c>
      <c r="X45" s="149" t="e">
        <f t="shared" si="4"/>
        <v>#N/A</v>
      </c>
      <c r="Y45" s="149" t="e">
        <f t="shared" si="4"/>
        <v>#N/A</v>
      </c>
      <c r="Z45" s="149" t="e">
        <f t="shared" si="4"/>
        <v>#N/A</v>
      </c>
      <c r="AA45" s="149" t="e">
        <f t="shared" si="4"/>
        <v>#N/A</v>
      </c>
      <c r="AB45" s="149" t="e">
        <f t="shared" si="4"/>
        <v>#N/A</v>
      </c>
      <c r="AC45" s="149" t="e">
        <f t="shared" si="4"/>
        <v>#N/A</v>
      </c>
      <c r="AD45" s="149" t="e">
        <f t="shared" si="4"/>
        <v>#N/A</v>
      </c>
    </row>
    <row r="46" spans="1:30">
      <c r="A46" s="160" t="s">
        <v>243</v>
      </c>
      <c r="B46" s="41" t="s">
        <v>509</v>
      </c>
      <c r="C46" s="41" t="s">
        <v>698</v>
      </c>
      <c r="D46" s="94">
        <v>3750</v>
      </c>
      <c r="E46" s="148">
        <v>-9.0999999999999998E-2</v>
      </c>
      <c r="F46" s="41" t="s">
        <v>1046</v>
      </c>
      <c r="L46" s="41"/>
      <c r="N46" s="99"/>
      <c r="O46" s="99"/>
      <c r="P46" s="99"/>
      <c r="R46" s="148">
        <f t="shared" si="3"/>
        <v>-9.2999999999999999E-2</v>
      </c>
      <c r="S46" s="149" t="e">
        <f t="shared" si="4"/>
        <v>#N/A</v>
      </c>
      <c r="T46" s="149" t="e">
        <f t="shared" si="4"/>
        <v>#N/A</v>
      </c>
      <c r="U46" s="149" t="e">
        <f t="shared" si="4"/>
        <v>#N/A</v>
      </c>
      <c r="V46" s="149" t="e">
        <f t="shared" si="4"/>
        <v>#N/A</v>
      </c>
      <c r="W46" s="149" t="e">
        <f t="shared" si="4"/>
        <v>#N/A</v>
      </c>
      <c r="X46" s="149" t="e">
        <f t="shared" si="4"/>
        <v>#N/A</v>
      </c>
      <c r="Y46" s="149" t="e">
        <f t="shared" si="4"/>
        <v>#N/A</v>
      </c>
      <c r="Z46" s="149" t="e">
        <f t="shared" si="4"/>
        <v>#N/A</v>
      </c>
      <c r="AA46" s="149" t="e">
        <f t="shared" si="4"/>
        <v>#N/A</v>
      </c>
      <c r="AB46" s="149" t="e">
        <f t="shared" si="4"/>
        <v>#N/A</v>
      </c>
      <c r="AC46" s="149" t="e">
        <f t="shared" si="4"/>
        <v>#N/A</v>
      </c>
      <c r="AD46" s="149" t="e">
        <f t="shared" si="4"/>
        <v>#N/A</v>
      </c>
    </row>
    <row r="47" spans="1:30">
      <c r="A47" s="160" t="s">
        <v>244</v>
      </c>
      <c r="B47" s="41" t="s">
        <v>510</v>
      </c>
      <c r="C47" s="41" t="s">
        <v>698</v>
      </c>
      <c r="D47" s="94">
        <v>3800</v>
      </c>
      <c r="E47" s="148">
        <v>-7.9000000000000001E-2</v>
      </c>
      <c r="F47" s="41" t="s">
        <v>1047</v>
      </c>
      <c r="L47" s="41"/>
      <c r="N47" s="99"/>
      <c r="O47" s="99"/>
      <c r="P47" s="99"/>
      <c r="R47" s="148">
        <f t="shared" si="3"/>
        <v>-9.1999999999999998E-2</v>
      </c>
      <c r="S47" s="149" t="e">
        <f t="shared" si="4"/>
        <v>#N/A</v>
      </c>
      <c r="T47" s="149" t="e">
        <f t="shared" si="4"/>
        <v>#N/A</v>
      </c>
      <c r="U47" s="149" t="e">
        <f t="shared" si="4"/>
        <v>#N/A</v>
      </c>
      <c r="V47" s="149" t="e">
        <f t="shared" si="4"/>
        <v>#N/A</v>
      </c>
      <c r="W47" s="149" t="e">
        <f t="shared" si="4"/>
        <v>#N/A</v>
      </c>
      <c r="X47" s="149" t="e">
        <f t="shared" si="4"/>
        <v>#N/A</v>
      </c>
      <c r="Y47" s="149" t="e">
        <f t="shared" si="4"/>
        <v>#N/A</v>
      </c>
      <c r="Z47" s="149" t="e">
        <f t="shared" si="4"/>
        <v>#N/A</v>
      </c>
      <c r="AA47" s="149" t="e">
        <f t="shared" si="4"/>
        <v>#N/A</v>
      </c>
      <c r="AB47" s="149" t="e">
        <f t="shared" si="4"/>
        <v>#N/A</v>
      </c>
      <c r="AC47" s="149" t="e">
        <f t="shared" si="4"/>
        <v>#N/A</v>
      </c>
      <c r="AD47" s="149" t="e">
        <f t="shared" si="4"/>
        <v>#N/A</v>
      </c>
    </row>
    <row r="48" spans="1:30">
      <c r="A48" s="160" t="s">
        <v>245</v>
      </c>
      <c r="B48" s="41" t="s">
        <v>511</v>
      </c>
      <c r="C48" s="41" t="s">
        <v>698</v>
      </c>
      <c r="D48" s="94">
        <v>3850</v>
      </c>
      <c r="E48" s="148">
        <v>-6.7000000000000004E-2</v>
      </c>
      <c r="F48" s="41" t="s">
        <v>1048</v>
      </c>
      <c r="L48" s="41"/>
      <c r="N48" s="99"/>
      <c r="O48" s="99"/>
      <c r="P48" s="99"/>
      <c r="R48" s="148">
        <f t="shared" si="3"/>
        <v>-9.0999999999999998E-2</v>
      </c>
      <c r="S48" s="149" t="e">
        <f t="shared" si="4"/>
        <v>#N/A</v>
      </c>
      <c r="T48" s="149" t="e">
        <f t="shared" si="4"/>
        <v>#N/A</v>
      </c>
      <c r="U48" s="149" t="e">
        <f t="shared" si="4"/>
        <v>#N/A</v>
      </c>
      <c r="V48" s="149" t="e">
        <f t="shared" si="4"/>
        <v>#N/A</v>
      </c>
      <c r="W48" s="149" t="e">
        <f t="shared" si="4"/>
        <v>#N/A</v>
      </c>
      <c r="X48" s="149" t="e">
        <f t="shared" si="4"/>
        <v>#N/A</v>
      </c>
      <c r="Y48" s="149" t="e">
        <f t="shared" si="4"/>
        <v>#N/A</v>
      </c>
      <c r="Z48" s="149" t="e">
        <f t="shared" si="4"/>
        <v>#N/A</v>
      </c>
      <c r="AA48" s="149" t="e">
        <f t="shared" si="4"/>
        <v>#N/A</v>
      </c>
      <c r="AB48" s="149" t="e">
        <f t="shared" si="4"/>
        <v>#N/A</v>
      </c>
      <c r="AC48" s="149" t="e">
        <f t="shared" si="4"/>
        <v>#N/A</v>
      </c>
      <c r="AD48" s="149" t="e">
        <f t="shared" si="4"/>
        <v>#N/A</v>
      </c>
    </row>
    <row r="49" spans="1:30">
      <c r="A49" s="160" t="s">
        <v>246</v>
      </c>
      <c r="B49" s="41" t="s">
        <v>512</v>
      </c>
      <c r="C49" s="41" t="s">
        <v>698</v>
      </c>
      <c r="D49" s="94">
        <v>3900</v>
      </c>
      <c r="E49" s="148">
        <v>-5.5E-2</v>
      </c>
      <c r="F49" s="41" t="s">
        <v>1049</v>
      </c>
      <c r="L49" s="41"/>
      <c r="N49" s="99"/>
      <c r="O49" s="99"/>
      <c r="P49" s="99"/>
      <c r="R49" s="148">
        <f t="shared" si="3"/>
        <v>-0.09</v>
      </c>
      <c r="S49" s="149" t="e">
        <f t="shared" si="4"/>
        <v>#N/A</v>
      </c>
      <c r="T49" s="149" t="e">
        <f t="shared" si="4"/>
        <v>#N/A</v>
      </c>
      <c r="U49" s="149" t="e">
        <f t="shared" si="4"/>
        <v>#N/A</v>
      </c>
      <c r="V49" s="149" t="e">
        <f t="shared" si="4"/>
        <v>#N/A</v>
      </c>
      <c r="W49" s="149" t="e">
        <f t="shared" si="4"/>
        <v>#N/A</v>
      </c>
      <c r="X49" s="149" t="e">
        <f t="shared" si="4"/>
        <v>#N/A</v>
      </c>
      <c r="Y49" s="149" t="e">
        <f t="shared" si="4"/>
        <v>#N/A</v>
      </c>
      <c r="Z49" s="149" t="e">
        <f t="shared" si="4"/>
        <v>#N/A</v>
      </c>
      <c r="AA49" s="149" t="e">
        <f t="shared" si="4"/>
        <v>#N/A</v>
      </c>
      <c r="AB49" s="149" t="e">
        <f t="shared" si="4"/>
        <v>#N/A</v>
      </c>
      <c r="AC49" s="149" t="e">
        <f t="shared" si="4"/>
        <v>#N/A</v>
      </c>
      <c r="AD49" s="149" t="e">
        <f t="shared" si="4"/>
        <v>#N/A</v>
      </c>
    </row>
    <row r="50" spans="1:30">
      <c r="A50" s="160" t="s">
        <v>247</v>
      </c>
      <c r="B50" s="41" t="s">
        <v>513</v>
      </c>
      <c r="C50" s="41" t="s">
        <v>698</v>
      </c>
      <c r="D50" s="94">
        <v>3950</v>
      </c>
      <c r="E50" s="148">
        <v>-4.2999999999999997E-2</v>
      </c>
      <c r="F50" s="41" t="s">
        <v>1050</v>
      </c>
      <c r="L50" s="41"/>
      <c r="N50" s="99"/>
      <c r="O50" s="99"/>
      <c r="P50" s="99"/>
      <c r="R50" s="148">
        <f t="shared" si="3"/>
        <v>-8.8999999999999996E-2</v>
      </c>
      <c r="S50" s="149" t="e">
        <f t="shared" si="4"/>
        <v>#N/A</v>
      </c>
      <c r="T50" s="149" t="e">
        <f t="shared" si="4"/>
        <v>#N/A</v>
      </c>
      <c r="U50" s="149" t="e">
        <f t="shared" si="4"/>
        <v>#N/A</v>
      </c>
      <c r="V50" s="149" t="e">
        <f t="shared" si="4"/>
        <v>#N/A</v>
      </c>
      <c r="W50" s="149" t="e">
        <f t="shared" si="4"/>
        <v>#N/A</v>
      </c>
      <c r="X50" s="149" t="e">
        <f t="shared" si="4"/>
        <v>#N/A</v>
      </c>
      <c r="Y50" s="149" t="e">
        <f t="shared" si="4"/>
        <v>#N/A</v>
      </c>
      <c r="Z50" s="149" t="e">
        <f t="shared" si="4"/>
        <v>#N/A</v>
      </c>
      <c r="AA50" s="149" t="e">
        <f t="shared" si="4"/>
        <v>#N/A</v>
      </c>
      <c r="AB50" s="149" t="e">
        <f t="shared" si="4"/>
        <v>#N/A</v>
      </c>
      <c r="AC50" s="149" t="e">
        <f t="shared" si="4"/>
        <v>#N/A</v>
      </c>
      <c r="AD50" s="149" t="e">
        <f t="shared" si="4"/>
        <v>#N/A</v>
      </c>
    </row>
    <row r="51" spans="1:30">
      <c r="A51" s="160" t="s">
        <v>248</v>
      </c>
      <c r="B51" s="41" t="s">
        <v>514</v>
      </c>
      <c r="C51" s="41" t="s">
        <v>698</v>
      </c>
      <c r="D51" s="94">
        <v>4000</v>
      </c>
      <c r="E51" s="148">
        <v>-3.1E-2</v>
      </c>
      <c r="F51" s="41" t="s">
        <v>743</v>
      </c>
      <c r="L51" s="41"/>
      <c r="N51" s="99"/>
      <c r="O51" s="99"/>
      <c r="P51" s="99"/>
      <c r="R51" s="148">
        <f t="shared" si="3"/>
        <v>-8.7999999999999995E-2</v>
      </c>
      <c r="S51" s="149" t="e">
        <f t="shared" si="4"/>
        <v>#N/A</v>
      </c>
      <c r="T51" s="149" t="e">
        <f t="shared" si="4"/>
        <v>#N/A</v>
      </c>
      <c r="U51" s="149" t="e">
        <f t="shared" si="4"/>
        <v>#N/A</v>
      </c>
      <c r="V51" s="149" t="e">
        <f t="shared" si="4"/>
        <v>#N/A</v>
      </c>
      <c r="W51" s="149" t="e">
        <f t="shared" si="4"/>
        <v>#N/A</v>
      </c>
      <c r="X51" s="149" t="e">
        <f t="shared" si="4"/>
        <v>#N/A</v>
      </c>
      <c r="Y51" s="149" t="e">
        <f t="shared" si="4"/>
        <v>#N/A</v>
      </c>
      <c r="Z51" s="149" t="e">
        <f t="shared" si="4"/>
        <v>#N/A</v>
      </c>
      <c r="AA51" s="149" t="e">
        <f t="shared" si="4"/>
        <v>#N/A</v>
      </c>
      <c r="AB51" s="149" t="e">
        <f t="shared" si="4"/>
        <v>#N/A</v>
      </c>
      <c r="AC51" s="149" t="e">
        <f t="shared" si="4"/>
        <v>#N/A</v>
      </c>
      <c r="AD51" s="149" t="e">
        <f t="shared" si="4"/>
        <v>#N/A</v>
      </c>
    </row>
    <row r="52" spans="1:30">
      <c r="A52" s="160" t="s">
        <v>249</v>
      </c>
      <c r="B52" s="41" t="s">
        <v>515</v>
      </c>
      <c r="C52" s="41" t="s">
        <v>698</v>
      </c>
      <c r="D52" s="94">
        <v>4050</v>
      </c>
      <c r="E52" s="148">
        <v>-1.8000000000000002E-2</v>
      </c>
      <c r="F52" s="41" t="s">
        <v>1051</v>
      </c>
      <c r="L52" s="41"/>
      <c r="N52" s="99"/>
      <c r="O52" s="99"/>
      <c r="P52" s="99"/>
      <c r="R52" s="148">
        <f t="shared" si="3"/>
        <v>-8.6999999999999994E-2</v>
      </c>
      <c r="S52" s="149" t="e">
        <f t="shared" si="4"/>
        <v>#N/A</v>
      </c>
      <c r="T52" s="149" t="e">
        <f t="shared" si="4"/>
        <v>#N/A</v>
      </c>
      <c r="U52" s="149" t="e">
        <f t="shared" si="4"/>
        <v>#N/A</v>
      </c>
      <c r="V52" s="149" t="e">
        <f t="shared" si="4"/>
        <v>#N/A</v>
      </c>
      <c r="W52" s="149" t="e">
        <f t="shared" si="4"/>
        <v>#N/A</v>
      </c>
      <c r="X52" s="149" t="e">
        <f t="shared" si="4"/>
        <v>#N/A</v>
      </c>
      <c r="Y52" s="149" t="e">
        <f t="shared" si="4"/>
        <v>#N/A</v>
      </c>
      <c r="Z52" s="149" t="e">
        <f t="shared" si="4"/>
        <v>#N/A</v>
      </c>
      <c r="AA52" s="149" t="e">
        <f t="shared" si="4"/>
        <v>#N/A</v>
      </c>
      <c r="AB52" s="149" t="e">
        <f t="shared" si="4"/>
        <v>#N/A</v>
      </c>
      <c r="AC52" s="149" t="e">
        <f t="shared" si="4"/>
        <v>#N/A</v>
      </c>
      <c r="AD52" s="149" t="e">
        <f t="shared" si="4"/>
        <v>#N/A</v>
      </c>
    </row>
    <row r="53" spans="1:30">
      <c r="A53" s="160" t="s">
        <v>250</v>
      </c>
      <c r="B53" s="41" t="s">
        <v>516</v>
      </c>
      <c r="C53" s="41" t="s">
        <v>698</v>
      </c>
      <c r="D53" s="94">
        <v>4100</v>
      </c>
      <c r="E53" s="148">
        <v>-6.0000000000000001E-3</v>
      </c>
      <c r="F53" s="41" t="s">
        <v>744</v>
      </c>
      <c r="L53" s="41"/>
      <c r="N53" s="99"/>
      <c r="O53" s="99"/>
      <c r="P53" s="99"/>
      <c r="R53" s="148">
        <f t="shared" si="3"/>
        <v>-8.5999999999999993E-2</v>
      </c>
      <c r="S53" s="149" t="e">
        <f t="shared" si="4"/>
        <v>#N/A</v>
      </c>
      <c r="T53" s="149" t="e">
        <f t="shared" si="4"/>
        <v>#N/A</v>
      </c>
      <c r="U53" s="149" t="e">
        <f t="shared" si="4"/>
        <v>#N/A</v>
      </c>
      <c r="V53" s="149" t="e">
        <f t="shared" si="4"/>
        <v>#N/A</v>
      </c>
      <c r="W53" s="149" t="e">
        <f t="shared" si="4"/>
        <v>#N/A</v>
      </c>
      <c r="X53" s="149" t="e">
        <f t="shared" si="4"/>
        <v>#N/A</v>
      </c>
      <c r="Y53" s="149" t="e">
        <f t="shared" si="4"/>
        <v>#N/A</v>
      </c>
      <c r="Z53" s="149" t="e">
        <f t="shared" si="4"/>
        <v>#N/A</v>
      </c>
      <c r="AA53" s="149" t="e">
        <f t="shared" si="4"/>
        <v>#N/A</v>
      </c>
      <c r="AB53" s="149" t="e">
        <f t="shared" si="4"/>
        <v>#N/A</v>
      </c>
      <c r="AC53" s="149" t="e">
        <f t="shared" si="4"/>
        <v>#N/A</v>
      </c>
      <c r="AD53" s="149" t="e">
        <f t="shared" si="4"/>
        <v>#N/A</v>
      </c>
    </row>
    <row r="54" spans="1:30">
      <c r="A54" s="160" t="s">
        <v>251</v>
      </c>
      <c r="B54" s="41" t="s">
        <v>517</v>
      </c>
      <c r="C54" s="41" t="s">
        <v>698</v>
      </c>
      <c r="D54" s="94">
        <v>4150</v>
      </c>
      <c r="E54" s="148">
        <v>6.0000000000000001E-3</v>
      </c>
      <c r="F54" s="41" t="s">
        <v>745</v>
      </c>
      <c r="L54" s="41"/>
      <c r="N54" s="99"/>
      <c r="O54" s="99"/>
      <c r="P54" s="99"/>
      <c r="R54" s="148">
        <f t="shared" si="3"/>
        <v>-8.5000000000000006E-2</v>
      </c>
      <c r="S54" s="149" t="e">
        <f t="shared" si="4"/>
        <v>#N/A</v>
      </c>
      <c r="T54" s="149" t="e">
        <f t="shared" si="4"/>
        <v>#N/A</v>
      </c>
      <c r="U54" s="149" t="e">
        <f t="shared" si="4"/>
        <v>#N/A</v>
      </c>
      <c r="V54" s="149" t="e">
        <f t="shared" si="4"/>
        <v>#N/A</v>
      </c>
      <c r="W54" s="149" t="e">
        <f t="shared" si="4"/>
        <v>#N/A</v>
      </c>
      <c r="X54" s="149" t="e">
        <f t="shared" si="4"/>
        <v>#N/A</v>
      </c>
      <c r="Y54" s="149" t="e">
        <f t="shared" si="4"/>
        <v>#N/A</v>
      </c>
      <c r="Z54" s="149" t="e">
        <f t="shared" si="4"/>
        <v>#N/A</v>
      </c>
      <c r="AA54" s="149" t="e">
        <f t="shared" si="4"/>
        <v>#N/A</v>
      </c>
      <c r="AB54" s="149" t="e">
        <f t="shared" si="4"/>
        <v>#N/A</v>
      </c>
      <c r="AC54" s="149" t="e">
        <f t="shared" si="4"/>
        <v>#N/A</v>
      </c>
      <c r="AD54" s="149" t="e">
        <f t="shared" si="4"/>
        <v>#N/A</v>
      </c>
    </row>
    <row r="55" spans="1:30">
      <c r="A55" s="160" t="s">
        <v>252</v>
      </c>
      <c r="B55" s="41" t="s">
        <v>518</v>
      </c>
      <c r="C55" s="41" t="s">
        <v>698</v>
      </c>
      <c r="D55" s="94">
        <v>4200</v>
      </c>
      <c r="E55" s="148">
        <v>1.8000000000000002E-2</v>
      </c>
      <c r="F55" s="41" t="s">
        <v>746</v>
      </c>
      <c r="L55" s="41"/>
      <c r="N55" s="99"/>
      <c r="O55" s="99"/>
      <c r="P55" s="99"/>
      <c r="R55" s="148">
        <f t="shared" si="3"/>
        <v>-8.4000000000000005E-2</v>
      </c>
      <c r="S55" s="149" t="e">
        <f t="shared" si="4"/>
        <v>#N/A</v>
      </c>
      <c r="T55" s="149" t="e">
        <f t="shared" si="4"/>
        <v>#N/A</v>
      </c>
      <c r="U55" s="149" t="e">
        <f t="shared" si="4"/>
        <v>#N/A</v>
      </c>
      <c r="V55" s="149" t="e">
        <f t="shared" si="4"/>
        <v>#N/A</v>
      </c>
      <c r="W55" s="149" t="e">
        <f t="shared" si="4"/>
        <v>#N/A</v>
      </c>
      <c r="X55" s="149" t="e">
        <f t="shared" si="4"/>
        <v>#N/A</v>
      </c>
      <c r="Y55" s="149" t="e">
        <f t="shared" si="4"/>
        <v>#N/A</v>
      </c>
      <c r="Z55" s="149" t="e">
        <f t="shared" si="4"/>
        <v>#N/A</v>
      </c>
      <c r="AA55" s="149" t="e">
        <f t="shared" si="4"/>
        <v>#N/A</v>
      </c>
      <c r="AB55" s="149" t="e">
        <f t="shared" si="4"/>
        <v>#N/A</v>
      </c>
      <c r="AC55" s="149" t="e">
        <f t="shared" si="4"/>
        <v>#N/A</v>
      </c>
      <c r="AD55" s="149" t="e">
        <f t="shared" si="4"/>
        <v>#N/A</v>
      </c>
    </row>
    <row r="56" spans="1:30">
      <c r="A56" s="160" t="s">
        <v>253</v>
      </c>
      <c r="B56" s="41" t="s">
        <v>519</v>
      </c>
      <c r="C56" s="41" t="s">
        <v>698</v>
      </c>
      <c r="D56" s="94">
        <v>4250</v>
      </c>
      <c r="E56" s="148">
        <v>0.03</v>
      </c>
      <c r="F56" s="41" t="s">
        <v>1052</v>
      </c>
      <c r="L56" s="41"/>
      <c r="N56" s="99"/>
      <c r="O56" s="99"/>
      <c r="P56" s="99"/>
      <c r="R56" s="148">
        <f t="shared" si="3"/>
        <v>-8.3000000000000004E-2</v>
      </c>
      <c r="S56" s="149" t="e">
        <f t="shared" si="4"/>
        <v>#N/A</v>
      </c>
      <c r="T56" s="149" t="e">
        <f t="shared" si="4"/>
        <v>#N/A</v>
      </c>
      <c r="U56" s="149" t="e">
        <f t="shared" si="4"/>
        <v>#N/A</v>
      </c>
      <c r="V56" s="149" t="e">
        <f t="shared" si="4"/>
        <v>#N/A</v>
      </c>
      <c r="W56" s="149" t="e">
        <f t="shared" si="4"/>
        <v>#N/A</v>
      </c>
      <c r="X56" s="149" t="e">
        <f t="shared" si="4"/>
        <v>#N/A</v>
      </c>
      <c r="Y56" s="149" t="e">
        <f t="shared" si="4"/>
        <v>#N/A</v>
      </c>
      <c r="Z56" s="149" t="e">
        <f t="shared" si="4"/>
        <v>#N/A</v>
      </c>
      <c r="AA56" s="149" t="e">
        <f t="shared" si="4"/>
        <v>#N/A</v>
      </c>
      <c r="AB56" s="149" t="e">
        <f t="shared" si="4"/>
        <v>#N/A</v>
      </c>
      <c r="AC56" s="149" t="e">
        <f t="shared" si="4"/>
        <v>#N/A</v>
      </c>
      <c r="AD56" s="149" t="e">
        <f t="shared" si="4"/>
        <v>#N/A</v>
      </c>
    </row>
    <row r="57" spans="1:30">
      <c r="A57" s="160" t="s">
        <v>254</v>
      </c>
      <c r="B57" s="41" t="s">
        <v>520</v>
      </c>
      <c r="C57" s="41" t="s">
        <v>698</v>
      </c>
      <c r="D57" s="94">
        <v>4300</v>
      </c>
      <c r="E57" s="148">
        <v>4.2000000000000003E-2</v>
      </c>
      <c r="F57" s="41" t="s">
        <v>1053</v>
      </c>
      <c r="L57" s="41"/>
      <c r="N57" s="99"/>
      <c r="O57" s="99"/>
      <c r="P57" s="99"/>
      <c r="R57" s="148">
        <f t="shared" si="3"/>
        <v>-8.2000000000000003E-2</v>
      </c>
      <c r="S57" s="149" t="e">
        <f t="shared" si="4"/>
        <v>#N/A</v>
      </c>
      <c r="T57" s="149" t="e">
        <f t="shared" si="4"/>
        <v>#N/A</v>
      </c>
      <c r="U57" s="149" t="e">
        <f t="shared" si="4"/>
        <v>#N/A</v>
      </c>
      <c r="V57" s="149" t="e">
        <f t="shared" si="4"/>
        <v>#N/A</v>
      </c>
      <c r="W57" s="149" t="e">
        <f t="shared" si="4"/>
        <v>#N/A</v>
      </c>
      <c r="X57" s="149" t="e">
        <f t="shared" si="4"/>
        <v>#N/A</v>
      </c>
      <c r="Y57" s="149" t="e">
        <f t="shared" si="4"/>
        <v>#N/A</v>
      </c>
      <c r="Z57" s="149" t="e">
        <f t="shared" si="4"/>
        <v>#N/A</v>
      </c>
      <c r="AA57" s="149" t="e">
        <f t="shared" si="4"/>
        <v>#N/A</v>
      </c>
      <c r="AB57" s="149" t="e">
        <f t="shared" si="4"/>
        <v>#N/A</v>
      </c>
      <c r="AC57" s="149" t="e">
        <f t="shared" si="4"/>
        <v>#N/A</v>
      </c>
      <c r="AD57" s="149" t="e">
        <f t="shared" si="4"/>
        <v>#N/A</v>
      </c>
    </row>
    <row r="58" spans="1:30">
      <c r="A58" s="160" t="s">
        <v>255</v>
      </c>
      <c r="B58" s="41" t="s">
        <v>521</v>
      </c>
      <c r="C58" s="41" t="s">
        <v>698</v>
      </c>
      <c r="D58" s="94">
        <v>4350</v>
      </c>
      <c r="E58" s="148">
        <v>5.4000000000000006E-2</v>
      </c>
      <c r="F58" s="41" t="s">
        <v>1054</v>
      </c>
      <c r="L58" s="41"/>
      <c r="N58" s="99"/>
      <c r="O58" s="99"/>
      <c r="P58" s="99"/>
      <c r="R58" s="148">
        <f t="shared" si="3"/>
        <v>-8.1000000000000003E-2</v>
      </c>
      <c r="S58" s="149" t="e">
        <f t="shared" si="4"/>
        <v>#N/A</v>
      </c>
      <c r="T58" s="149" t="e">
        <f t="shared" si="4"/>
        <v>#N/A</v>
      </c>
      <c r="U58" s="149" t="e">
        <f t="shared" si="4"/>
        <v>#N/A</v>
      </c>
      <c r="V58" s="149" t="e">
        <f t="shared" si="4"/>
        <v>#N/A</v>
      </c>
      <c r="W58" s="149" t="e">
        <f t="shared" si="4"/>
        <v>#N/A</v>
      </c>
      <c r="X58" s="149" t="e">
        <f t="shared" si="4"/>
        <v>#N/A</v>
      </c>
      <c r="Y58" s="149" t="e">
        <f t="shared" si="4"/>
        <v>#N/A</v>
      </c>
      <c r="Z58" s="149" t="e">
        <f t="shared" si="4"/>
        <v>#N/A</v>
      </c>
      <c r="AA58" s="149" t="e">
        <f t="shared" si="4"/>
        <v>#N/A</v>
      </c>
      <c r="AB58" s="149" t="e">
        <f t="shared" si="4"/>
        <v>#N/A</v>
      </c>
      <c r="AC58" s="149" t="e">
        <f t="shared" si="4"/>
        <v>#N/A</v>
      </c>
      <c r="AD58" s="149" t="e">
        <f t="shared" si="4"/>
        <v>#N/A</v>
      </c>
    </row>
    <row r="59" spans="1:30">
      <c r="A59" s="160" t="s">
        <v>256</v>
      </c>
      <c r="B59" s="41" t="s">
        <v>522</v>
      </c>
      <c r="C59" s="41" t="s">
        <v>698</v>
      </c>
      <c r="D59" s="94">
        <v>4400</v>
      </c>
      <c r="E59" s="148">
        <v>6.6000000000000003E-2</v>
      </c>
      <c r="F59" s="41" t="s">
        <v>1055</v>
      </c>
      <c r="L59" s="41"/>
      <c r="N59" s="99"/>
      <c r="O59" s="99"/>
      <c r="P59" s="99"/>
      <c r="R59" s="148">
        <f t="shared" si="3"/>
        <v>-0.08</v>
      </c>
      <c r="S59" s="149" t="e">
        <f t="shared" si="4"/>
        <v>#N/A</v>
      </c>
      <c r="T59" s="149" t="e">
        <f t="shared" si="4"/>
        <v>#N/A</v>
      </c>
      <c r="U59" s="149" t="e">
        <f t="shared" si="4"/>
        <v>#N/A</v>
      </c>
      <c r="V59" s="149" t="e">
        <f t="shared" si="4"/>
        <v>#N/A</v>
      </c>
      <c r="W59" s="149" t="e">
        <f t="shared" si="4"/>
        <v>#N/A</v>
      </c>
      <c r="X59" s="149" t="e">
        <f t="shared" si="4"/>
        <v>#N/A</v>
      </c>
      <c r="Y59" s="149" t="e">
        <f t="shared" si="4"/>
        <v>#N/A</v>
      </c>
      <c r="Z59" s="149" t="e">
        <f t="shared" si="4"/>
        <v>#N/A</v>
      </c>
      <c r="AA59" s="149" t="e">
        <f t="shared" si="4"/>
        <v>#N/A</v>
      </c>
      <c r="AB59" s="149" t="e">
        <f t="shared" si="4"/>
        <v>#N/A</v>
      </c>
      <c r="AC59" s="149" t="e">
        <f t="shared" si="4"/>
        <v>#N/A</v>
      </c>
      <c r="AD59" s="149" t="e">
        <f t="shared" si="4"/>
        <v>#N/A</v>
      </c>
    </row>
    <row r="60" spans="1:30">
      <c r="A60" s="160" t="s">
        <v>257</v>
      </c>
      <c r="B60" s="41" t="s">
        <v>523</v>
      </c>
      <c r="C60" s="41" t="s">
        <v>698</v>
      </c>
      <c r="D60" s="94">
        <v>4450</v>
      </c>
      <c r="E60" s="148">
        <v>7.9000000000000001E-2</v>
      </c>
      <c r="F60" s="41" t="s">
        <v>1056</v>
      </c>
      <c r="L60" s="41"/>
      <c r="N60" s="99"/>
      <c r="O60" s="99"/>
      <c r="P60" s="99"/>
      <c r="R60" s="148">
        <f t="shared" si="3"/>
        <v>-7.9000000000000001E-2</v>
      </c>
      <c r="S60" s="149" t="e">
        <f t="shared" si="4"/>
        <v>#N/A</v>
      </c>
      <c r="T60" s="149" t="e">
        <f t="shared" si="4"/>
        <v>#N/A</v>
      </c>
      <c r="U60" s="149" t="e">
        <f t="shared" si="4"/>
        <v>#N/A</v>
      </c>
      <c r="V60" s="149" t="e">
        <f t="shared" si="4"/>
        <v>#N/A</v>
      </c>
      <c r="W60" s="149" t="e">
        <f t="shared" si="4"/>
        <v>#N/A</v>
      </c>
      <c r="X60" s="149" t="e">
        <f t="shared" si="4"/>
        <v>#N/A</v>
      </c>
      <c r="Y60" s="149" t="e">
        <f t="shared" si="4"/>
        <v>#N/A</v>
      </c>
      <c r="Z60" s="149" t="e">
        <f t="shared" si="4"/>
        <v>#N/A</v>
      </c>
      <c r="AA60" s="149" t="e">
        <f t="shared" si="4"/>
        <v>#N/A</v>
      </c>
      <c r="AB60" s="149" t="e">
        <f t="shared" si="4"/>
        <v>#N/A</v>
      </c>
      <c r="AC60" s="149" t="e">
        <f t="shared" si="4"/>
        <v>#N/A</v>
      </c>
      <c r="AD60" s="149" t="e">
        <f t="shared" si="4"/>
        <v>#N/A</v>
      </c>
    </row>
    <row r="61" spans="1:30">
      <c r="A61" s="160" t="s">
        <v>801</v>
      </c>
      <c r="B61" s="41" t="s">
        <v>1057</v>
      </c>
      <c r="C61" s="41" t="s">
        <v>698</v>
      </c>
      <c r="D61" s="94">
        <v>4500</v>
      </c>
      <c r="E61" s="148">
        <v>9.0999999999999998E-2</v>
      </c>
      <c r="F61" s="41" t="s">
        <v>1058</v>
      </c>
      <c r="L61" s="41"/>
      <c r="N61" s="99"/>
      <c r="O61" s="99"/>
      <c r="P61" s="99"/>
      <c r="R61" s="148">
        <f t="shared" si="3"/>
        <v>-7.8E-2</v>
      </c>
      <c r="S61" s="149" t="e">
        <f t="shared" si="4"/>
        <v>#N/A</v>
      </c>
      <c r="T61" s="149" t="e">
        <f t="shared" si="4"/>
        <v>#N/A</v>
      </c>
      <c r="U61" s="149" t="e">
        <f t="shared" si="4"/>
        <v>#N/A</v>
      </c>
      <c r="V61" s="149" t="e">
        <f t="shared" si="4"/>
        <v>#N/A</v>
      </c>
      <c r="W61" s="149" t="e">
        <f t="shared" si="4"/>
        <v>#N/A</v>
      </c>
      <c r="X61" s="149" t="e">
        <f t="shared" si="4"/>
        <v>#N/A</v>
      </c>
      <c r="Y61" s="149" t="e">
        <f t="shared" si="4"/>
        <v>#N/A</v>
      </c>
      <c r="Z61" s="149" t="e">
        <f t="shared" si="4"/>
        <v>#N/A</v>
      </c>
      <c r="AA61" s="149" t="e">
        <f t="shared" si="4"/>
        <v>#N/A</v>
      </c>
      <c r="AB61" s="149" t="e">
        <f t="shared" si="4"/>
        <v>#N/A</v>
      </c>
      <c r="AC61" s="149" t="e">
        <f t="shared" si="4"/>
        <v>#N/A</v>
      </c>
      <c r="AD61" s="149" t="e">
        <f t="shared" si="4"/>
        <v>#N/A</v>
      </c>
    </row>
    <row r="62" spans="1:30">
      <c r="A62" s="160" t="s">
        <v>802</v>
      </c>
      <c r="B62" s="41" t="s">
        <v>1059</v>
      </c>
      <c r="C62" s="41" t="s">
        <v>698</v>
      </c>
      <c r="D62" s="94">
        <v>4550</v>
      </c>
      <c r="E62" s="148">
        <v>0.10300000000000001</v>
      </c>
      <c r="F62" s="41" t="s">
        <v>1060</v>
      </c>
      <c r="L62" s="41"/>
      <c r="N62" s="99"/>
      <c r="O62" s="99"/>
      <c r="P62" s="99"/>
      <c r="R62" s="148">
        <f t="shared" si="3"/>
        <v>-7.6999999999999999E-2</v>
      </c>
      <c r="S62" s="149" t="e">
        <f t="shared" si="4"/>
        <v>#N/A</v>
      </c>
      <c r="T62" s="149" t="e">
        <f t="shared" si="4"/>
        <v>#N/A</v>
      </c>
      <c r="U62" s="149" t="e">
        <f t="shared" si="4"/>
        <v>#N/A</v>
      </c>
      <c r="V62" s="149" t="e">
        <f t="shared" si="4"/>
        <v>#N/A</v>
      </c>
      <c r="W62" s="149" t="e">
        <f t="shared" si="4"/>
        <v>#N/A</v>
      </c>
      <c r="X62" s="149" t="e">
        <f t="shared" si="4"/>
        <v>#N/A</v>
      </c>
      <c r="Y62" s="149" t="e">
        <f t="shared" si="4"/>
        <v>#N/A</v>
      </c>
      <c r="Z62" s="149" t="e">
        <f t="shared" si="4"/>
        <v>#N/A</v>
      </c>
      <c r="AA62" s="149" t="e">
        <f t="shared" si="4"/>
        <v>#N/A</v>
      </c>
      <c r="AB62" s="149" t="e">
        <f t="shared" si="4"/>
        <v>#N/A</v>
      </c>
      <c r="AC62" s="149" t="e">
        <f t="shared" si="4"/>
        <v>#N/A</v>
      </c>
      <c r="AD62" s="149" t="e">
        <f t="shared" si="4"/>
        <v>#N/A</v>
      </c>
    </row>
    <row r="63" spans="1:30">
      <c r="A63" s="160" t="s">
        <v>803</v>
      </c>
      <c r="B63" s="41" t="s">
        <v>1061</v>
      </c>
      <c r="C63" s="41" t="s">
        <v>698</v>
      </c>
      <c r="D63" s="94">
        <v>4600</v>
      </c>
      <c r="E63" s="148">
        <v>0.115</v>
      </c>
      <c r="F63" s="41" t="s">
        <v>1062</v>
      </c>
      <c r="L63" s="41"/>
      <c r="N63" s="99"/>
      <c r="O63" s="99"/>
      <c r="P63" s="99"/>
      <c r="R63" s="148">
        <f t="shared" si="3"/>
        <v>-7.5999999999999998E-2</v>
      </c>
      <c r="S63" s="149" t="e">
        <f t="shared" si="4"/>
        <v>#N/A</v>
      </c>
      <c r="T63" s="149" t="e">
        <f t="shared" si="4"/>
        <v>#N/A</v>
      </c>
      <c r="U63" s="149" t="e">
        <f t="shared" si="4"/>
        <v>#N/A</v>
      </c>
      <c r="V63" s="149" t="e">
        <f t="shared" si="4"/>
        <v>#N/A</v>
      </c>
      <c r="W63" s="149" t="e">
        <f t="shared" si="4"/>
        <v>#N/A</v>
      </c>
      <c r="X63" s="149" t="e">
        <f t="shared" si="4"/>
        <v>#N/A</v>
      </c>
      <c r="Y63" s="149" t="e">
        <f t="shared" si="4"/>
        <v>#N/A</v>
      </c>
      <c r="Z63" s="149" t="e">
        <f t="shared" si="4"/>
        <v>#N/A</v>
      </c>
      <c r="AA63" s="149" t="e">
        <f t="shared" si="4"/>
        <v>#N/A</v>
      </c>
      <c r="AB63" s="149" t="e">
        <f t="shared" si="4"/>
        <v>#N/A</v>
      </c>
      <c r="AC63" s="149" t="e">
        <f t="shared" si="4"/>
        <v>#N/A</v>
      </c>
      <c r="AD63" s="149" t="e">
        <f t="shared" si="4"/>
        <v>#N/A</v>
      </c>
    </row>
    <row r="64" spans="1:30">
      <c r="A64" s="160" t="s">
        <v>804</v>
      </c>
      <c r="B64" s="41" t="s">
        <v>1063</v>
      </c>
      <c r="C64" s="41" t="s">
        <v>698</v>
      </c>
      <c r="D64" s="94">
        <v>4650</v>
      </c>
      <c r="E64" s="148">
        <v>0.127</v>
      </c>
      <c r="F64" s="41" t="s">
        <v>1064</v>
      </c>
      <c r="L64" s="41"/>
      <c r="N64" s="99"/>
      <c r="O64" s="99"/>
      <c r="P64" s="99"/>
      <c r="R64" s="148">
        <f t="shared" si="3"/>
        <v>-7.4999999999999997E-2</v>
      </c>
      <c r="S64" s="149" t="e">
        <f t="shared" si="4"/>
        <v>#N/A</v>
      </c>
      <c r="T64" s="149" t="e">
        <f t="shared" si="4"/>
        <v>#N/A</v>
      </c>
      <c r="U64" s="149" t="e">
        <f t="shared" si="4"/>
        <v>#N/A</v>
      </c>
      <c r="V64" s="149" t="e">
        <f t="shared" si="4"/>
        <v>#N/A</v>
      </c>
      <c r="W64" s="149" t="e">
        <f t="shared" si="4"/>
        <v>#N/A</v>
      </c>
      <c r="X64" s="149" t="e">
        <f t="shared" si="4"/>
        <v>#N/A</v>
      </c>
      <c r="Y64" s="149" t="e">
        <f t="shared" si="4"/>
        <v>#N/A</v>
      </c>
      <c r="Z64" s="149" t="e">
        <f t="shared" si="4"/>
        <v>#N/A</v>
      </c>
      <c r="AA64" s="149" t="e">
        <f t="shared" si="4"/>
        <v>#N/A</v>
      </c>
      <c r="AB64" s="149" t="e">
        <f t="shared" si="4"/>
        <v>#N/A</v>
      </c>
      <c r="AC64" s="149" t="e">
        <f t="shared" si="4"/>
        <v>#N/A</v>
      </c>
      <c r="AD64" s="149" t="e">
        <f t="shared" si="4"/>
        <v>#N/A</v>
      </c>
    </row>
    <row r="65" spans="1:30">
      <c r="A65" s="160" t="s">
        <v>805</v>
      </c>
      <c r="B65" s="41" t="s">
        <v>1065</v>
      </c>
      <c r="C65" s="41" t="s">
        <v>713</v>
      </c>
      <c r="D65" s="94">
        <v>3300</v>
      </c>
      <c r="E65" s="148">
        <v>-0.2</v>
      </c>
      <c r="F65" s="41" t="s">
        <v>1066</v>
      </c>
      <c r="L65" s="41"/>
      <c r="N65" s="99"/>
      <c r="O65" s="99"/>
      <c r="P65" s="99"/>
      <c r="R65" s="148">
        <f t="shared" si="3"/>
        <v>-7.3999999999999996E-2</v>
      </c>
      <c r="S65" s="149" t="e">
        <f t="shared" si="4"/>
        <v>#N/A</v>
      </c>
      <c r="T65" s="149" t="e">
        <f t="shared" si="4"/>
        <v>#N/A</v>
      </c>
      <c r="U65" s="149" t="e">
        <f t="shared" si="4"/>
        <v>#N/A</v>
      </c>
      <c r="V65" s="149" t="e">
        <f t="shared" si="4"/>
        <v>#N/A</v>
      </c>
      <c r="W65" s="149" t="e">
        <f t="shared" si="4"/>
        <v>#N/A</v>
      </c>
      <c r="X65" s="149" t="e">
        <f t="shared" si="4"/>
        <v>#N/A</v>
      </c>
      <c r="Y65" s="149" t="e">
        <f t="shared" si="4"/>
        <v>#N/A</v>
      </c>
      <c r="Z65" s="149" t="e">
        <f t="shared" si="4"/>
        <v>#N/A</v>
      </c>
      <c r="AA65" s="149" t="e">
        <f t="shared" si="4"/>
        <v>#N/A</v>
      </c>
      <c r="AB65" s="149" t="e">
        <f t="shared" si="4"/>
        <v>#N/A</v>
      </c>
      <c r="AC65" s="149" t="e">
        <f t="shared" si="4"/>
        <v>#N/A</v>
      </c>
      <c r="AD65" s="149" t="e">
        <f t="shared" si="4"/>
        <v>#N/A</v>
      </c>
    </row>
    <row r="66" spans="1:30">
      <c r="A66" s="160" t="s">
        <v>806</v>
      </c>
      <c r="B66" s="41" t="s">
        <v>1067</v>
      </c>
      <c r="C66" s="41" t="s">
        <v>713</v>
      </c>
      <c r="D66" s="94">
        <v>3350</v>
      </c>
      <c r="E66" s="148">
        <v>-0.188</v>
      </c>
      <c r="F66" s="41" t="s">
        <v>1068</v>
      </c>
      <c r="L66" s="41"/>
      <c r="N66" s="99"/>
      <c r="O66" s="99"/>
      <c r="P66" s="99"/>
      <c r="R66" s="148">
        <f t="shared" si="3"/>
        <v>-7.2999999999999995E-2</v>
      </c>
      <c r="S66" s="149" t="e">
        <f t="shared" si="4"/>
        <v>#N/A</v>
      </c>
      <c r="T66" s="149" t="e">
        <f t="shared" si="4"/>
        <v>#N/A</v>
      </c>
      <c r="U66" s="149" t="e">
        <f t="shared" si="4"/>
        <v>#N/A</v>
      </c>
      <c r="V66" s="149" t="e">
        <f t="shared" ref="T66:AD89" si="5">IF(VLOOKUP(V$8&amp;"@"&amp;$R66,$F:$Q,$R$7,0)=0,NA(),VLOOKUP(V$8&amp;"@"&amp;$R66,$F:$Q,$R$7,0))</f>
        <v>#N/A</v>
      </c>
      <c r="W66" s="149" t="e">
        <f t="shared" si="5"/>
        <v>#N/A</v>
      </c>
      <c r="X66" s="149" t="e">
        <f t="shared" si="5"/>
        <v>#N/A</v>
      </c>
      <c r="Y66" s="149" t="e">
        <f t="shared" si="5"/>
        <v>#N/A</v>
      </c>
      <c r="Z66" s="149" t="e">
        <f t="shared" si="5"/>
        <v>#N/A</v>
      </c>
      <c r="AA66" s="149" t="e">
        <f t="shared" si="5"/>
        <v>#N/A</v>
      </c>
      <c r="AB66" s="149" t="e">
        <f t="shared" si="5"/>
        <v>#N/A</v>
      </c>
      <c r="AC66" s="149" t="e">
        <f t="shared" si="5"/>
        <v>#N/A</v>
      </c>
      <c r="AD66" s="149" t="e">
        <f t="shared" si="5"/>
        <v>#N/A</v>
      </c>
    </row>
    <row r="67" spans="1:30">
      <c r="A67" s="160" t="s">
        <v>807</v>
      </c>
      <c r="B67" s="41" t="s">
        <v>1069</v>
      </c>
      <c r="C67" s="41" t="s">
        <v>713</v>
      </c>
      <c r="D67" s="94">
        <v>3400</v>
      </c>
      <c r="E67" s="148">
        <v>-0.17600000000000002</v>
      </c>
      <c r="F67" s="41" t="s">
        <v>1070</v>
      </c>
      <c r="L67" s="41"/>
      <c r="N67" s="99"/>
      <c r="O67" s="99"/>
      <c r="P67" s="99"/>
      <c r="R67" s="148">
        <f t="shared" si="3"/>
        <v>-7.1999999999999995E-2</v>
      </c>
      <c r="S67" s="149" t="e">
        <f t="shared" ref="S67:S130" si="6">IF(VLOOKUP(S$8&amp;"@"&amp;$R67,$F:$Q,$R$7,0)=0,NA(),VLOOKUP(S$8&amp;"@"&amp;$R67,$F:$Q,$R$7,0))</f>
        <v>#N/A</v>
      </c>
      <c r="T67" s="149" t="e">
        <f t="shared" si="5"/>
        <v>#N/A</v>
      </c>
      <c r="U67" s="149" t="e">
        <f t="shared" si="5"/>
        <v>#N/A</v>
      </c>
      <c r="V67" s="149" t="e">
        <f t="shared" si="5"/>
        <v>#N/A</v>
      </c>
      <c r="W67" s="149" t="e">
        <f t="shared" si="5"/>
        <v>#N/A</v>
      </c>
      <c r="X67" s="149" t="e">
        <f t="shared" si="5"/>
        <v>#N/A</v>
      </c>
      <c r="Y67" s="149" t="e">
        <f t="shared" si="5"/>
        <v>#N/A</v>
      </c>
      <c r="Z67" s="149" t="e">
        <f t="shared" si="5"/>
        <v>#N/A</v>
      </c>
      <c r="AA67" s="149" t="e">
        <f t="shared" si="5"/>
        <v>#N/A</v>
      </c>
      <c r="AB67" s="149" t="e">
        <f t="shared" si="5"/>
        <v>#N/A</v>
      </c>
      <c r="AC67" s="149" t="e">
        <f t="shared" si="5"/>
        <v>#N/A</v>
      </c>
      <c r="AD67" s="149" t="e">
        <f t="shared" si="5"/>
        <v>#N/A</v>
      </c>
    </row>
    <row r="68" spans="1:30">
      <c r="A68" s="160" t="s">
        <v>808</v>
      </c>
      <c r="B68" s="41" t="s">
        <v>1071</v>
      </c>
      <c r="C68" s="41" t="s">
        <v>713</v>
      </c>
      <c r="D68" s="94">
        <v>3450</v>
      </c>
      <c r="E68" s="148">
        <v>-0.16399999999999998</v>
      </c>
      <c r="F68" s="41" t="s">
        <v>1072</v>
      </c>
      <c r="L68" s="41"/>
      <c r="N68" s="99"/>
      <c r="O68" s="99"/>
      <c r="P68" s="99"/>
      <c r="R68" s="148">
        <f t="shared" si="3"/>
        <v>-7.0999999999999994E-2</v>
      </c>
      <c r="S68" s="149" t="e">
        <f t="shared" si="6"/>
        <v>#N/A</v>
      </c>
      <c r="T68" s="149" t="e">
        <f t="shared" si="5"/>
        <v>#N/A</v>
      </c>
      <c r="U68" s="149" t="e">
        <f t="shared" si="5"/>
        <v>#N/A</v>
      </c>
      <c r="V68" s="149" t="e">
        <f t="shared" si="5"/>
        <v>#N/A</v>
      </c>
      <c r="W68" s="149" t="e">
        <f t="shared" si="5"/>
        <v>#N/A</v>
      </c>
      <c r="X68" s="149" t="e">
        <f t="shared" si="5"/>
        <v>#N/A</v>
      </c>
      <c r="Y68" s="149" t="e">
        <f t="shared" si="5"/>
        <v>#N/A</v>
      </c>
      <c r="Z68" s="149" t="e">
        <f t="shared" si="5"/>
        <v>#N/A</v>
      </c>
      <c r="AA68" s="149" t="e">
        <f t="shared" si="5"/>
        <v>#N/A</v>
      </c>
      <c r="AB68" s="149" t="e">
        <f t="shared" si="5"/>
        <v>#N/A</v>
      </c>
      <c r="AC68" s="149" t="e">
        <f t="shared" si="5"/>
        <v>#N/A</v>
      </c>
      <c r="AD68" s="149" t="e">
        <f t="shared" si="5"/>
        <v>#N/A</v>
      </c>
    </row>
    <row r="69" spans="1:30">
      <c r="A69" s="160" t="s">
        <v>809</v>
      </c>
      <c r="B69" s="41" t="s">
        <v>1073</v>
      </c>
      <c r="C69" s="41" t="s">
        <v>713</v>
      </c>
      <c r="D69" s="94">
        <v>3500</v>
      </c>
      <c r="E69" s="148">
        <v>-0.152</v>
      </c>
      <c r="F69" s="41" t="s">
        <v>1074</v>
      </c>
      <c r="L69" s="41"/>
      <c r="N69" s="99"/>
      <c r="O69" s="99"/>
      <c r="P69" s="99"/>
      <c r="R69" s="148">
        <f t="shared" si="3"/>
        <v>-7.0000000000000007E-2</v>
      </c>
      <c r="S69" s="149" t="e">
        <f t="shared" si="6"/>
        <v>#N/A</v>
      </c>
      <c r="T69" s="149" t="e">
        <f t="shared" si="5"/>
        <v>#N/A</v>
      </c>
      <c r="U69" s="149" t="e">
        <f t="shared" si="5"/>
        <v>#N/A</v>
      </c>
      <c r="V69" s="149" t="e">
        <f t="shared" si="5"/>
        <v>#N/A</v>
      </c>
      <c r="W69" s="149" t="e">
        <f t="shared" si="5"/>
        <v>#N/A</v>
      </c>
      <c r="X69" s="149" t="e">
        <f t="shared" si="5"/>
        <v>#N/A</v>
      </c>
      <c r="Y69" s="149" t="e">
        <f t="shared" si="5"/>
        <v>#N/A</v>
      </c>
      <c r="Z69" s="149" t="e">
        <f t="shared" si="5"/>
        <v>#N/A</v>
      </c>
      <c r="AA69" s="149" t="e">
        <f t="shared" si="5"/>
        <v>#N/A</v>
      </c>
      <c r="AB69" s="149" t="e">
        <f t="shared" si="5"/>
        <v>#N/A</v>
      </c>
      <c r="AC69" s="149" t="e">
        <f t="shared" si="5"/>
        <v>#N/A</v>
      </c>
      <c r="AD69" s="149" t="e">
        <f t="shared" si="5"/>
        <v>#N/A</v>
      </c>
    </row>
    <row r="70" spans="1:30">
      <c r="A70" s="160" t="s">
        <v>187</v>
      </c>
      <c r="B70" s="41" t="s">
        <v>453</v>
      </c>
      <c r="C70" s="41" t="s">
        <v>713</v>
      </c>
      <c r="D70" s="94">
        <v>3550</v>
      </c>
      <c r="E70" s="148">
        <v>-0.14000000000000001</v>
      </c>
      <c r="F70" s="41" t="s">
        <v>1075</v>
      </c>
      <c r="L70" s="41"/>
      <c r="N70" s="99"/>
      <c r="O70" s="99"/>
      <c r="P70" s="99"/>
      <c r="R70" s="148">
        <f t="shared" si="3"/>
        <v>-6.9000000000000006E-2</v>
      </c>
      <c r="S70" s="149" t="e">
        <f t="shared" si="6"/>
        <v>#N/A</v>
      </c>
      <c r="T70" s="149" t="e">
        <f t="shared" si="5"/>
        <v>#N/A</v>
      </c>
      <c r="U70" s="149" t="e">
        <f t="shared" si="5"/>
        <v>#N/A</v>
      </c>
      <c r="V70" s="149" t="e">
        <f t="shared" si="5"/>
        <v>#N/A</v>
      </c>
      <c r="W70" s="149" t="e">
        <f t="shared" si="5"/>
        <v>#N/A</v>
      </c>
      <c r="X70" s="149" t="e">
        <f t="shared" si="5"/>
        <v>#N/A</v>
      </c>
      <c r="Y70" s="149" t="e">
        <f t="shared" si="5"/>
        <v>#N/A</v>
      </c>
      <c r="Z70" s="149" t="e">
        <f t="shared" si="5"/>
        <v>#N/A</v>
      </c>
      <c r="AA70" s="149" t="e">
        <f t="shared" si="5"/>
        <v>#N/A</v>
      </c>
      <c r="AB70" s="149" t="e">
        <f t="shared" si="5"/>
        <v>#N/A</v>
      </c>
      <c r="AC70" s="149" t="e">
        <f t="shared" si="5"/>
        <v>#N/A</v>
      </c>
      <c r="AD70" s="149" t="e">
        <f t="shared" si="5"/>
        <v>#N/A</v>
      </c>
    </row>
    <row r="71" spans="1:30">
      <c r="A71" s="160" t="s">
        <v>188</v>
      </c>
      <c r="B71" s="41" t="s">
        <v>454</v>
      </c>
      <c r="C71" s="41" t="s">
        <v>713</v>
      </c>
      <c r="D71" s="94">
        <v>3600</v>
      </c>
      <c r="E71" s="148">
        <v>-0.128</v>
      </c>
      <c r="F71" s="41" t="s">
        <v>1076</v>
      </c>
      <c r="L71" s="41"/>
      <c r="N71" s="99"/>
      <c r="O71" s="99"/>
      <c r="P71" s="99"/>
      <c r="R71" s="148">
        <f t="shared" si="3"/>
        <v>-6.8000000000000005E-2</v>
      </c>
      <c r="S71" s="149" t="e">
        <f t="shared" si="6"/>
        <v>#N/A</v>
      </c>
      <c r="T71" s="149" t="e">
        <f t="shared" si="5"/>
        <v>#N/A</v>
      </c>
      <c r="U71" s="149" t="e">
        <f t="shared" si="5"/>
        <v>#N/A</v>
      </c>
      <c r="V71" s="149" t="e">
        <f t="shared" si="5"/>
        <v>#N/A</v>
      </c>
      <c r="W71" s="149" t="e">
        <f t="shared" si="5"/>
        <v>#N/A</v>
      </c>
      <c r="X71" s="149" t="e">
        <f t="shared" si="5"/>
        <v>#N/A</v>
      </c>
      <c r="Y71" s="149" t="e">
        <f t="shared" si="5"/>
        <v>#N/A</v>
      </c>
      <c r="Z71" s="149" t="e">
        <f t="shared" si="5"/>
        <v>#N/A</v>
      </c>
      <c r="AA71" s="149" t="e">
        <f t="shared" si="5"/>
        <v>#N/A</v>
      </c>
      <c r="AB71" s="149" t="e">
        <f t="shared" si="5"/>
        <v>#N/A</v>
      </c>
      <c r="AC71" s="149" t="e">
        <f t="shared" si="5"/>
        <v>#N/A</v>
      </c>
      <c r="AD71" s="149" t="e">
        <f t="shared" si="5"/>
        <v>#N/A</v>
      </c>
    </row>
    <row r="72" spans="1:30">
      <c r="A72" s="160" t="s">
        <v>189</v>
      </c>
      <c r="B72" s="41" t="s">
        <v>455</v>
      </c>
      <c r="C72" s="41" t="s">
        <v>713</v>
      </c>
      <c r="D72" s="94">
        <v>3650</v>
      </c>
      <c r="E72" s="148">
        <v>-0.115</v>
      </c>
      <c r="F72" s="41" t="s">
        <v>1077</v>
      </c>
      <c r="L72" s="41"/>
      <c r="N72" s="99"/>
      <c r="O72" s="99"/>
      <c r="P72" s="99"/>
      <c r="R72" s="148">
        <f t="shared" si="3"/>
        <v>-6.7000000000000004E-2</v>
      </c>
      <c r="S72" s="149" t="e">
        <f t="shared" si="6"/>
        <v>#N/A</v>
      </c>
      <c r="T72" s="149" t="e">
        <f t="shared" si="5"/>
        <v>#N/A</v>
      </c>
      <c r="U72" s="149" t="e">
        <f t="shared" si="5"/>
        <v>#N/A</v>
      </c>
      <c r="V72" s="149" t="e">
        <f t="shared" si="5"/>
        <v>#N/A</v>
      </c>
      <c r="W72" s="149" t="e">
        <f t="shared" si="5"/>
        <v>#N/A</v>
      </c>
      <c r="X72" s="149" t="e">
        <f t="shared" si="5"/>
        <v>#N/A</v>
      </c>
      <c r="Y72" s="149" t="e">
        <f t="shared" si="5"/>
        <v>#N/A</v>
      </c>
      <c r="Z72" s="149" t="e">
        <f t="shared" si="5"/>
        <v>#N/A</v>
      </c>
      <c r="AA72" s="149" t="e">
        <f t="shared" si="5"/>
        <v>#N/A</v>
      </c>
      <c r="AB72" s="149" t="e">
        <f t="shared" si="5"/>
        <v>#N/A</v>
      </c>
      <c r="AC72" s="149" t="e">
        <f t="shared" si="5"/>
        <v>#N/A</v>
      </c>
      <c r="AD72" s="149" t="e">
        <f t="shared" si="5"/>
        <v>#N/A</v>
      </c>
    </row>
    <row r="73" spans="1:30">
      <c r="A73" s="160" t="s">
        <v>190</v>
      </c>
      <c r="B73" s="41" t="s">
        <v>456</v>
      </c>
      <c r="C73" s="41" t="s">
        <v>713</v>
      </c>
      <c r="D73" s="94">
        <v>3700</v>
      </c>
      <c r="E73" s="148">
        <v>-0.10300000000000001</v>
      </c>
      <c r="F73" s="41" t="s">
        <v>1078</v>
      </c>
      <c r="L73" s="41"/>
      <c r="N73" s="99"/>
      <c r="O73" s="99"/>
      <c r="P73" s="99"/>
      <c r="R73" s="148">
        <f t="shared" si="3"/>
        <v>-6.6000000000000003E-2</v>
      </c>
      <c r="S73" s="149" t="e">
        <f t="shared" si="6"/>
        <v>#N/A</v>
      </c>
      <c r="T73" s="149" t="e">
        <f t="shared" si="5"/>
        <v>#N/A</v>
      </c>
      <c r="U73" s="149" t="e">
        <f t="shared" si="5"/>
        <v>#N/A</v>
      </c>
      <c r="V73" s="149" t="e">
        <f t="shared" si="5"/>
        <v>#N/A</v>
      </c>
      <c r="W73" s="149" t="e">
        <f t="shared" si="5"/>
        <v>#N/A</v>
      </c>
      <c r="X73" s="149" t="e">
        <f t="shared" si="5"/>
        <v>#N/A</v>
      </c>
      <c r="Y73" s="149" t="e">
        <f t="shared" si="5"/>
        <v>#N/A</v>
      </c>
      <c r="Z73" s="149" t="e">
        <f t="shared" si="5"/>
        <v>#N/A</v>
      </c>
      <c r="AA73" s="149" t="e">
        <f t="shared" si="5"/>
        <v>#N/A</v>
      </c>
      <c r="AB73" s="149" t="e">
        <f t="shared" si="5"/>
        <v>#N/A</v>
      </c>
      <c r="AC73" s="149" t="e">
        <f t="shared" si="5"/>
        <v>#N/A</v>
      </c>
      <c r="AD73" s="149" t="e">
        <f t="shared" si="5"/>
        <v>#N/A</v>
      </c>
    </row>
    <row r="74" spans="1:30">
      <c r="A74" s="160" t="s">
        <v>191</v>
      </c>
      <c r="B74" s="41" t="s">
        <v>457</v>
      </c>
      <c r="C74" s="41" t="s">
        <v>713</v>
      </c>
      <c r="D74" s="94">
        <v>3750</v>
      </c>
      <c r="E74" s="148">
        <v>-9.0999999999999998E-2</v>
      </c>
      <c r="F74" s="41" t="s">
        <v>1079</v>
      </c>
      <c r="L74" s="41"/>
      <c r="N74" s="99"/>
      <c r="O74" s="99"/>
      <c r="P74" s="99"/>
      <c r="R74" s="148">
        <f t="shared" si="3"/>
        <v>-6.5000000000000002E-2</v>
      </c>
      <c r="S74" s="149" t="e">
        <f t="shared" si="6"/>
        <v>#N/A</v>
      </c>
      <c r="T74" s="149" t="e">
        <f t="shared" si="5"/>
        <v>#N/A</v>
      </c>
      <c r="U74" s="149" t="e">
        <f t="shared" si="5"/>
        <v>#N/A</v>
      </c>
      <c r="V74" s="149" t="e">
        <f t="shared" si="5"/>
        <v>#N/A</v>
      </c>
      <c r="W74" s="149" t="e">
        <f t="shared" si="5"/>
        <v>#N/A</v>
      </c>
      <c r="X74" s="149" t="e">
        <f t="shared" si="5"/>
        <v>#N/A</v>
      </c>
      <c r="Y74" s="149" t="e">
        <f t="shared" si="5"/>
        <v>#N/A</v>
      </c>
      <c r="Z74" s="149" t="e">
        <f t="shared" si="5"/>
        <v>#N/A</v>
      </c>
      <c r="AA74" s="149" t="e">
        <f t="shared" si="5"/>
        <v>#N/A</v>
      </c>
      <c r="AB74" s="149" t="e">
        <f t="shared" si="5"/>
        <v>#N/A</v>
      </c>
      <c r="AC74" s="149" t="e">
        <f t="shared" si="5"/>
        <v>#N/A</v>
      </c>
      <c r="AD74" s="149" t="e">
        <f t="shared" si="5"/>
        <v>#N/A</v>
      </c>
    </row>
    <row r="75" spans="1:30">
      <c r="A75" s="160" t="s">
        <v>192</v>
      </c>
      <c r="B75" s="41" t="s">
        <v>458</v>
      </c>
      <c r="C75" s="41" t="s">
        <v>713</v>
      </c>
      <c r="D75" s="94">
        <v>3800</v>
      </c>
      <c r="E75" s="148">
        <v>-7.9000000000000001E-2</v>
      </c>
      <c r="F75" s="41" t="s">
        <v>1080</v>
      </c>
      <c r="L75" s="41"/>
      <c r="N75" s="99"/>
      <c r="O75" s="99"/>
      <c r="P75" s="99"/>
      <c r="R75" s="148">
        <f t="shared" si="3"/>
        <v>-6.4000000000000001E-2</v>
      </c>
      <c r="S75" s="149" t="e">
        <f t="shared" si="6"/>
        <v>#N/A</v>
      </c>
      <c r="T75" s="149" t="e">
        <f t="shared" si="5"/>
        <v>#N/A</v>
      </c>
      <c r="U75" s="149" t="e">
        <f t="shared" si="5"/>
        <v>#N/A</v>
      </c>
      <c r="V75" s="149" t="e">
        <f t="shared" si="5"/>
        <v>#N/A</v>
      </c>
      <c r="W75" s="149" t="e">
        <f t="shared" si="5"/>
        <v>#N/A</v>
      </c>
      <c r="X75" s="149" t="e">
        <f t="shared" si="5"/>
        <v>#N/A</v>
      </c>
      <c r="Y75" s="149" t="e">
        <f t="shared" si="5"/>
        <v>#N/A</v>
      </c>
      <c r="Z75" s="149" t="e">
        <f t="shared" si="5"/>
        <v>#N/A</v>
      </c>
      <c r="AA75" s="149" t="e">
        <f t="shared" si="5"/>
        <v>#N/A</v>
      </c>
      <c r="AB75" s="149" t="e">
        <f t="shared" si="5"/>
        <v>#N/A</v>
      </c>
      <c r="AC75" s="149" t="e">
        <f t="shared" si="5"/>
        <v>#N/A</v>
      </c>
      <c r="AD75" s="149" t="e">
        <f t="shared" si="5"/>
        <v>#N/A</v>
      </c>
    </row>
    <row r="76" spans="1:30">
      <c r="A76" s="160" t="s">
        <v>193</v>
      </c>
      <c r="B76" s="41" t="s">
        <v>459</v>
      </c>
      <c r="C76" s="41" t="s">
        <v>713</v>
      </c>
      <c r="D76" s="94">
        <v>3850</v>
      </c>
      <c r="E76" s="148">
        <v>-6.7000000000000004E-2</v>
      </c>
      <c r="F76" s="41" t="s">
        <v>1081</v>
      </c>
      <c r="L76" s="41"/>
      <c r="N76" s="99"/>
      <c r="O76" s="99"/>
      <c r="P76" s="99"/>
      <c r="R76" s="148">
        <f t="shared" ref="R76:R139" si="7">ROUND(R75+0.001,3)</f>
        <v>-6.3E-2</v>
      </c>
      <c r="S76" s="149" t="e">
        <f t="shared" si="6"/>
        <v>#N/A</v>
      </c>
      <c r="T76" s="149" t="e">
        <f t="shared" si="5"/>
        <v>#N/A</v>
      </c>
      <c r="U76" s="149" t="e">
        <f t="shared" si="5"/>
        <v>#N/A</v>
      </c>
      <c r="V76" s="149" t="e">
        <f t="shared" si="5"/>
        <v>#N/A</v>
      </c>
      <c r="W76" s="149" t="e">
        <f t="shared" si="5"/>
        <v>#N/A</v>
      </c>
      <c r="X76" s="149" t="e">
        <f t="shared" si="5"/>
        <v>#N/A</v>
      </c>
      <c r="Y76" s="149" t="e">
        <f t="shared" si="5"/>
        <v>#N/A</v>
      </c>
      <c r="Z76" s="149" t="e">
        <f t="shared" si="5"/>
        <v>#N/A</v>
      </c>
      <c r="AA76" s="149" t="e">
        <f t="shared" si="5"/>
        <v>#N/A</v>
      </c>
      <c r="AB76" s="149" t="e">
        <f t="shared" si="5"/>
        <v>#N/A</v>
      </c>
      <c r="AC76" s="149" t="e">
        <f t="shared" si="5"/>
        <v>#N/A</v>
      </c>
      <c r="AD76" s="149" t="e">
        <f t="shared" si="5"/>
        <v>#N/A</v>
      </c>
    </row>
    <row r="77" spans="1:30">
      <c r="A77" s="160" t="s">
        <v>194</v>
      </c>
      <c r="B77" s="41" t="s">
        <v>460</v>
      </c>
      <c r="C77" s="41" t="s">
        <v>713</v>
      </c>
      <c r="D77" s="94">
        <v>3900</v>
      </c>
      <c r="E77" s="148">
        <v>-5.5E-2</v>
      </c>
      <c r="F77" s="41" t="s">
        <v>1082</v>
      </c>
      <c r="L77" s="41"/>
      <c r="N77" s="99"/>
      <c r="O77" s="99"/>
      <c r="P77" s="99"/>
      <c r="R77" s="148">
        <f t="shared" si="7"/>
        <v>-6.2E-2</v>
      </c>
      <c r="S77" s="149" t="e">
        <f t="shared" si="6"/>
        <v>#N/A</v>
      </c>
      <c r="T77" s="149" t="e">
        <f t="shared" si="5"/>
        <v>#N/A</v>
      </c>
      <c r="U77" s="149" t="e">
        <f t="shared" si="5"/>
        <v>#N/A</v>
      </c>
      <c r="V77" s="149" t="e">
        <f t="shared" si="5"/>
        <v>#N/A</v>
      </c>
      <c r="W77" s="149" t="e">
        <f t="shared" si="5"/>
        <v>#N/A</v>
      </c>
      <c r="X77" s="149" t="e">
        <f t="shared" si="5"/>
        <v>#N/A</v>
      </c>
      <c r="Y77" s="149" t="e">
        <f t="shared" si="5"/>
        <v>#N/A</v>
      </c>
      <c r="Z77" s="149" t="e">
        <f t="shared" si="5"/>
        <v>#N/A</v>
      </c>
      <c r="AA77" s="149" t="e">
        <f t="shared" si="5"/>
        <v>#N/A</v>
      </c>
      <c r="AB77" s="149" t="e">
        <f t="shared" si="5"/>
        <v>#N/A</v>
      </c>
      <c r="AC77" s="149" t="e">
        <f t="shared" si="5"/>
        <v>#N/A</v>
      </c>
      <c r="AD77" s="149" t="e">
        <f t="shared" si="5"/>
        <v>#N/A</v>
      </c>
    </row>
    <row r="78" spans="1:30">
      <c r="A78" s="160" t="s">
        <v>195</v>
      </c>
      <c r="B78" s="41" t="s">
        <v>461</v>
      </c>
      <c r="C78" s="41" t="s">
        <v>713</v>
      </c>
      <c r="D78" s="94">
        <v>3950</v>
      </c>
      <c r="E78" s="148">
        <v>-4.2999999999999997E-2</v>
      </c>
      <c r="F78" s="41" t="s">
        <v>1083</v>
      </c>
      <c r="L78" s="41"/>
      <c r="N78" s="99"/>
      <c r="O78" s="99"/>
      <c r="P78" s="99"/>
      <c r="R78" s="148">
        <f t="shared" si="7"/>
        <v>-6.0999999999999999E-2</v>
      </c>
      <c r="S78" s="149" t="e">
        <f t="shared" si="6"/>
        <v>#N/A</v>
      </c>
      <c r="T78" s="149" t="e">
        <f t="shared" si="5"/>
        <v>#N/A</v>
      </c>
      <c r="U78" s="149" t="e">
        <f t="shared" si="5"/>
        <v>#N/A</v>
      </c>
      <c r="V78" s="149" t="e">
        <f t="shared" si="5"/>
        <v>#N/A</v>
      </c>
      <c r="W78" s="149" t="e">
        <f t="shared" si="5"/>
        <v>#N/A</v>
      </c>
      <c r="X78" s="149" t="e">
        <f t="shared" si="5"/>
        <v>#N/A</v>
      </c>
      <c r="Y78" s="149" t="e">
        <f t="shared" si="5"/>
        <v>#N/A</v>
      </c>
      <c r="Z78" s="149" t="e">
        <f t="shared" si="5"/>
        <v>#N/A</v>
      </c>
      <c r="AA78" s="149" t="e">
        <f t="shared" si="5"/>
        <v>#N/A</v>
      </c>
      <c r="AB78" s="149" t="e">
        <f t="shared" si="5"/>
        <v>#N/A</v>
      </c>
      <c r="AC78" s="149" t="e">
        <f t="shared" si="5"/>
        <v>#N/A</v>
      </c>
      <c r="AD78" s="149" t="e">
        <f t="shared" si="5"/>
        <v>#N/A</v>
      </c>
    </row>
    <row r="79" spans="1:30">
      <c r="A79" s="160" t="s">
        <v>196</v>
      </c>
      <c r="B79" s="41" t="s">
        <v>462</v>
      </c>
      <c r="C79" s="41" t="s">
        <v>713</v>
      </c>
      <c r="D79" s="94">
        <v>4000</v>
      </c>
      <c r="E79" s="148">
        <v>-3.1E-2</v>
      </c>
      <c r="F79" s="41" t="s">
        <v>730</v>
      </c>
      <c r="L79" s="41"/>
      <c r="N79" s="99"/>
      <c r="O79" s="99"/>
      <c r="P79" s="99"/>
      <c r="R79" s="148">
        <f t="shared" si="7"/>
        <v>-0.06</v>
      </c>
      <c r="S79" s="149" t="e">
        <f t="shared" si="6"/>
        <v>#N/A</v>
      </c>
      <c r="T79" s="149" t="e">
        <f t="shared" si="5"/>
        <v>#N/A</v>
      </c>
      <c r="U79" s="149" t="e">
        <f t="shared" si="5"/>
        <v>#N/A</v>
      </c>
      <c r="V79" s="149" t="e">
        <f t="shared" si="5"/>
        <v>#N/A</v>
      </c>
      <c r="W79" s="149" t="e">
        <f t="shared" si="5"/>
        <v>#N/A</v>
      </c>
      <c r="X79" s="149" t="e">
        <f t="shared" si="5"/>
        <v>#N/A</v>
      </c>
      <c r="Y79" s="149" t="e">
        <f t="shared" si="5"/>
        <v>#N/A</v>
      </c>
      <c r="Z79" s="149" t="e">
        <f t="shared" si="5"/>
        <v>#N/A</v>
      </c>
      <c r="AA79" s="149" t="e">
        <f t="shared" si="5"/>
        <v>#N/A</v>
      </c>
      <c r="AB79" s="149" t="e">
        <f t="shared" si="5"/>
        <v>#N/A</v>
      </c>
      <c r="AC79" s="149" t="e">
        <f t="shared" si="5"/>
        <v>#N/A</v>
      </c>
      <c r="AD79" s="149" t="e">
        <f t="shared" si="5"/>
        <v>#N/A</v>
      </c>
    </row>
    <row r="80" spans="1:30">
      <c r="A80" s="160" t="s">
        <v>197</v>
      </c>
      <c r="B80" s="41" t="s">
        <v>463</v>
      </c>
      <c r="C80" s="41" t="s">
        <v>713</v>
      </c>
      <c r="D80" s="94">
        <v>4050</v>
      </c>
      <c r="E80" s="148">
        <v>-1.8000000000000002E-2</v>
      </c>
      <c r="F80" s="41" t="s">
        <v>1084</v>
      </c>
      <c r="L80" s="41"/>
      <c r="N80" s="99"/>
      <c r="O80" s="99"/>
      <c r="P80" s="99"/>
      <c r="R80" s="148">
        <f t="shared" si="7"/>
        <v>-5.8999999999999997E-2</v>
      </c>
      <c r="S80" s="149" t="e">
        <f t="shared" si="6"/>
        <v>#N/A</v>
      </c>
      <c r="T80" s="149" t="e">
        <f t="shared" si="5"/>
        <v>#N/A</v>
      </c>
      <c r="U80" s="149" t="e">
        <f t="shared" si="5"/>
        <v>#N/A</v>
      </c>
      <c r="V80" s="149" t="e">
        <f t="shared" si="5"/>
        <v>#N/A</v>
      </c>
      <c r="W80" s="149" t="e">
        <f t="shared" si="5"/>
        <v>#N/A</v>
      </c>
      <c r="X80" s="149" t="e">
        <f t="shared" si="5"/>
        <v>#N/A</v>
      </c>
      <c r="Y80" s="149" t="e">
        <f t="shared" si="5"/>
        <v>#N/A</v>
      </c>
      <c r="Z80" s="149" t="e">
        <f t="shared" si="5"/>
        <v>#N/A</v>
      </c>
      <c r="AA80" s="149" t="e">
        <f t="shared" si="5"/>
        <v>#N/A</v>
      </c>
      <c r="AB80" s="149" t="e">
        <f t="shared" si="5"/>
        <v>#N/A</v>
      </c>
      <c r="AC80" s="149" t="e">
        <f t="shared" si="5"/>
        <v>#N/A</v>
      </c>
      <c r="AD80" s="149" t="e">
        <f t="shared" si="5"/>
        <v>#N/A</v>
      </c>
    </row>
    <row r="81" spans="1:30">
      <c r="A81" s="160" t="s">
        <v>198</v>
      </c>
      <c r="B81" s="41" t="s">
        <v>464</v>
      </c>
      <c r="C81" s="41" t="s">
        <v>713</v>
      </c>
      <c r="D81" s="94">
        <v>4100</v>
      </c>
      <c r="E81" s="148">
        <v>-6.0000000000000001E-3</v>
      </c>
      <c r="F81" s="41" t="s">
        <v>731</v>
      </c>
      <c r="L81" s="41"/>
      <c r="N81" s="99"/>
      <c r="O81" s="99"/>
      <c r="P81" s="99"/>
      <c r="R81" s="148">
        <f t="shared" si="7"/>
        <v>-5.8000000000000003E-2</v>
      </c>
      <c r="S81" s="149" t="e">
        <f t="shared" si="6"/>
        <v>#N/A</v>
      </c>
      <c r="T81" s="149" t="e">
        <f t="shared" si="5"/>
        <v>#N/A</v>
      </c>
      <c r="U81" s="149" t="e">
        <f t="shared" si="5"/>
        <v>#N/A</v>
      </c>
      <c r="V81" s="149" t="e">
        <f t="shared" si="5"/>
        <v>#N/A</v>
      </c>
      <c r="W81" s="149" t="e">
        <f t="shared" si="5"/>
        <v>#N/A</v>
      </c>
      <c r="X81" s="149" t="e">
        <f t="shared" si="5"/>
        <v>#N/A</v>
      </c>
      <c r="Y81" s="149" t="e">
        <f t="shared" si="5"/>
        <v>#N/A</v>
      </c>
      <c r="Z81" s="149" t="e">
        <f t="shared" si="5"/>
        <v>#N/A</v>
      </c>
      <c r="AA81" s="149" t="e">
        <f t="shared" si="5"/>
        <v>#N/A</v>
      </c>
      <c r="AB81" s="149" t="e">
        <f t="shared" si="5"/>
        <v>#N/A</v>
      </c>
      <c r="AC81" s="149" t="e">
        <f t="shared" si="5"/>
        <v>#N/A</v>
      </c>
      <c r="AD81" s="149" t="e">
        <f t="shared" si="5"/>
        <v>#N/A</v>
      </c>
    </row>
    <row r="82" spans="1:30">
      <c r="A82" s="160" t="s">
        <v>199</v>
      </c>
      <c r="B82" s="41" t="s">
        <v>465</v>
      </c>
      <c r="C82" s="41" t="s">
        <v>713</v>
      </c>
      <c r="D82" s="94">
        <v>4150</v>
      </c>
      <c r="E82" s="148">
        <v>6.0000000000000001E-3</v>
      </c>
      <c r="F82" s="41" t="s">
        <v>732</v>
      </c>
      <c r="L82" s="41"/>
      <c r="N82" s="99"/>
      <c r="O82" s="99"/>
      <c r="P82" s="99"/>
      <c r="R82" s="148">
        <f t="shared" si="7"/>
        <v>-5.7000000000000002E-2</v>
      </c>
      <c r="S82" s="149" t="e">
        <f t="shared" si="6"/>
        <v>#N/A</v>
      </c>
      <c r="T82" s="149" t="e">
        <f t="shared" si="5"/>
        <v>#N/A</v>
      </c>
      <c r="U82" s="149" t="e">
        <f t="shared" si="5"/>
        <v>#N/A</v>
      </c>
      <c r="V82" s="149" t="e">
        <f t="shared" si="5"/>
        <v>#N/A</v>
      </c>
      <c r="W82" s="149" t="e">
        <f t="shared" si="5"/>
        <v>#N/A</v>
      </c>
      <c r="X82" s="149" t="e">
        <f t="shared" si="5"/>
        <v>#N/A</v>
      </c>
      <c r="Y82" s="149" t="e">
        <f t="shared" si="5"/>
        <v>#N/A</v>
      </c>
      <c r="Z82" s="149" t="e">
        <f t="shared" si="5"/>
        <v>#N/A</v>
      </c>
      <c r="AA82" s="149" t="e">
        <f t="shared" si="5"/>
        <v>#N/A</v>
      </c>
      <c r="AB82" s="149" t="e">
        <f t="shared" si="5"/>
        <v>#N/A</v>
      </c>
      <c r="AC82" s="149" t="e">
        <f t="shared" si="5"/>
        <v>#N/A</v>
      </c>
      <c r="AD82" s="149" t="e">
        <f t="shared" si="5"/>
        <v>#N/A</v>
      </c>
    </row>
    <row r="83" spans="1:30">
      <c r="A83" s="160" t="s">
        <v>200</v>
      </c>
      <c r="B83" s="41" t="s">
        <v>466</v>
      </c>
      <c r="C83" s="41" t="s">
        <v>713</v>
      </c>
      <c r="D83" s="94">
        <v>4200</v>
      </c>
      <c r="E83" s="148">
        <v>1.8000000000000002E-2</v>
      </c>
      <c r="F83" s="41" t="s">
        <v>733</v>
      </c>
      <c r="L83" s="41"/>
      <c r="N83" s="99"/>
      <c r="O83" s="99"/>
      <c r="P83" s="99"/>
      <c r="R83" s="148">
        <f t="shared" si="7"/>
        <v>-5.6000000000000001E-2</v>
      </c>
      <c r="S83" s="149" t="e">
        <f t="shared" si="6"/>
        <v>#N/A</v>
      </c>
      <c r="T83" s="149" t="e">
        <f t="shared" si="5"/>
        <v>#N/A</v>
      </c>
      <c r="U83" s="149" t="e">
        <f t="shared" si="5"/>
        <v>#N/A</v>
      </c>
      <c r="V83" s="149" t="e">
        <f t="shared" si="5"/>
        <v>#N/A</v>
      </c>
      <c r="W83" s="149" t="e">
        <f t="shared" si="5"/>
        <v>#N/A</v>
      </c>
      <c r="X83" s="149" t="e">
        <f t="shared" si="5"/>
        <v>#N/A</v>
      </c>
      <c r="Y83" s="149" t="e">
        <f t="shared" si="5"/>
        <v>#N/A</v>
      </c>
      <c r="Z83" s="149" t="e">
        <f t="shared" si="5"/>
        <v>#N/A</v>
      </c>
      <c r="AA83" s="149" t="e">
        <f t="shared" si="5"/>
        <v>#N/A</v>
      </c>
      <c r="AB83" s="149" t="e">
        <f t="shared" si="5"/>
        <v>#N/A</v>
      </c>
      <c r="AC83" s="149" t="e">
        <f t="shared" si="5"/>
        <v>#N/A</v>
      </c>
      <c r="AD83" s="149" t="e">
        <f t="shared" si="5"/>
        <v>#N/A</v>
      </c>
    </row>
    <row r="84" spans="1:30">
      <c r="A84" s="160" t="s">
        <v>201</v>
      </c>
      <c r="B84" s="41" t="s">
        <v>467</v>
      </c>
      <c r="C84" s="41" t="s">
        <v>713</v>
      </c>
      <c r="D84" s="94">
        <v>4250</v>
      </c>
      <c r="E84" s="148">
        <v>0.03</v>
      </c>
      <c r="F84" s="41" t="s">
        <v>1085</v>
      </c>
      <c r="L84" s="41"/>
      <c r="N84" s="99"/>
      <c r="O84" s="99"/>
      <c r="P84" s="99"/>
      <c r="R84" s="148">
        <f t="shared" si="7"/>
        <v>-5.5E-2</v>
      </c>
      <c r="S84" s="149" t="e">
        <f t="shared" si="6"/>
        <v>#N/A</v>
      </c>
      <c r="T84" s="149" t="e">
        <f t="shared" si="5"/>
        <v>#N/A</v>
      </c>
      <c r="U84" s="149" t="e">
        <f t="shared" si="5"/>
        <v>#N/A</v>
      </c>
      <c r="V84" s="149" t="e">
        <f t="shared" si="5"/>
        <v>#N/A</v>
      </c>
      <c r="W84" s="149" t="e">
        <f t="shared" si="5"/>
        <v>#N/A</v>
      </c>
      <c r="X84" s="149" t="e">
        <f t="shared" si="5"/>
        <v>#N/A</v>
      </c>
      <c r="Y84" s="149" t="e">
        <f t="shared" si="5"/>
        <v>#N/A</v>
      </c>
      <c r="Z84" s="149" t="e">
        <f t="shared" si="5"/>
        <v>#N/A</v>
      </c>
      <c r="AA84" s="149" t="e">
        <f t="shared" si="5"/>
        <v>#N/A</v>
      </c>
      <c r="AB84" s="149" t="e">
        <f t="shared" si="5"/>
        <v>#N/A</v>
      </c>
      <c r="AC84" s="149" t="e">
        <f t="shared" si="5"/>
        <v>#N/A</v>
      </c>
      <c r="AD84" s="149" t="e">
        <f t="shared" si="5"/>
        <v>#N/A</v>
      </c>
    </row>
    <row r="85" spans="1:30">
      <c r="A85" s="160" t="s">
        <v>202</v>
      </c>
      <c r="B85" s="41" t="s">
        <v>468</v>
      </c>
      <c r="C85" s="41" t="s">
        <v>713</v>
      </c>
      <c r="D85" s="94">
        <v>4300</v>
      </c>
      <c r="E85" s="148">
        <v>4.2000000000000003E-2</v>
      </c>
      <c r="F85" s="41" t="s">
        <v>1086</v>
      </c>
      <c r="L85" s="41"/>
      <c r="N85" s="99"/>
      <c r="O85" s="99"/>
      <c r="P85" s="99"/>
      <c r="R85" s="148">
        <f t="shared" si="7"/>
        <v>-5.3999999999999999E-2</v>
      </c>
      <c r="S85" s="149" t="e">
        <f t="shared" si="6"/>
        <v>#N/A</v>
      </c>
      <c r="T85" s="149" t="e">
        <f t="shared" si="5"/>
        <v>#N/A</v>
      </c>
      <c r="U85" s="149" t="e">
        <f t="shared" si="5"/>
        <v>#N/A</v>
      </c>
      <c r="V85" s="149" t="e">
        <f t="shared" si="5"/>
        <v>#N/A</v>
      </c>
      <c r="W85" s="149" t="e">
        <f t="shared" si="5"/>
        <v>#N/A</v>
      </c>
      <c r="X85" s="149" t="e">
        <f t="shared" si="5"/>
        <v>#N/A</v>
      </c>
      <c r="Y85" s="149" t="e">
        <f t="shared" si="5"/>
        <v>#N/A</v>
      </c>
      <c r="Z85" s="149" t="e">
        <f t="shared" si="5"/>
        <v>#N/A</v>
      </c>
      <c r="AA85" s="149" t="e">
        <f t="shared" si="5"/>
        <v>#N/A</v>
      </c>
      <c r="AB85" s="149" t="e">
        <f t="shared" si="5"/>
        <v>#N/A</v>
      </c>
      <c r="AC85" s="149" t="e">
        <f t="shared" si="5"/>
        <v>#N/A</v>
      </c>
      <c r="AD85" s="149" t="e">
        <f t="shared" si="5"/>
        <v>#N/A</v>
      </c>
    </row>
    <row r="86" spans="1:30">
      <c r="A86" s="160" t="s">
        <v>203</v>
      </c>
      <c r="B86" s="41" t="s">
        <v>469</v>
      </c>
      <c r="C86" s="41" t="s">
        <v>713</v>
      </c>
      <c r="D86" s="94">
        <v>4350</v>
      </c>
      <c r="E86" s="148">
        <v>5.4000000000000006E-2</v>
      </c>
      <c r="F86" s="41" t="s">
        <v>1087</v>
      </c>
      <c r="L86" s="41"/>
      <c r="N86" s="99"/>
      <c r="O86" s="99"/>
      <c r="P86" s="99"/>
      <c r="R86" s="148">
        <f t="shared" si="7"/>
        <v>-5.2999999999999999E-2</v>
      </c>
      <c r="S86" s="149" t="e">
        <f t="shared" si="6"/>
        <v>#N/A</v>
      </c>
      <c r="T86" s="149" t="e">
        <f t="shared" si="5"/>
        <v>#N/A</v>
      </c>
      <c r="U86" s="149" t="e">
        <f t="shared" si="5"/>
        <v>#N/A</v>
      </c>
      <c r="V86" s="149" t="e">
        <f t="shared" si="5"/>
        <v>#N/A</v>
      </c>
      <c r="W86" s="149" t="e">
        <f t="shared" si="5"/>
        <v>#N/A</v>
      </c>
      <c r="X86" s="149" t="e">
        <f t="shared" si="5"/>
        <v>#N/A</v>
      </c>
      <c r="Y86" s="149" t="e">
        <f t="shared" si="5"/>
        <v>#N/A</v>
      </c>
      <c r="Z86" s="149" t="e">
        <f t="shared" si="5"/>
        <v>#N/A</v>
      </c>
      <c r="AA86" s="149" t="e">
        <f t="shared" si="5"/>
        <v>#N/A</v>
      </c>
      <c r="AB86" s="149" t="e">
        <f t="shared" si="5"/>
        <v>#N/A</v>
      </c>
      <c r="AC86" s="149" t="e">
        <f t="shared" si="5"/>
        <v>#N/A</v>
      </c>
      <c r="AD86" s="149" t="e">
        <f t="shared" si="5"/>
        <v>#N/A</v>
      </c>
    </row>
    <row r="87" spans="1:30">
      <c r="A87" s="160" t="s">
        <v>204</v>
      </c>
      <c r="B87" s="41" t="s">
        <v>470</v>
      </c>
      <c r="C87" s="41" t="s">
        <v>713</v>
      </c>
      <c r="D87" s="94">
        <v>4400</v>
      </c>
      <c r="E87" s="148">
        <v>6.6000000000000003E-2</v>
      </c>
      <c r="F87" s="41" t="s">
        <v>1088</v>
      </c>
      <c r="L87" s="41"/>
      <c r="N87" s="99"/>
      <c r="O87" s="99"/>
      <c r="P87" s="99"/>
      <c r="R87" s="148">
        <f t="shared" si="7"/>
        <v>-5.1999999999999998E-2</v>
      </c>
      <c r="S87" s="149" t="e">
        <f t="shared" si="6"/>
        <v>#N/A</v>
      </c>
      <c r="T87" s="149" t="e">
        <f t="shared" si="5"/>
        <v>#N/A</v>
      </c>
      <c r="U87" s="149" t="e">
        <f t="shared" si="5"/>
        <v>#N/A</v>
      </c>
      <c r="V87" s="149" t="e">
        <f t="shared" si="5"/>
        <v>#N/A</v>
      </c>
      <c r="W87" s="149" t="e">
        <f t="shared" si="5"/>
        <v>#N/A</v>
      </c>
      <c r="X87" s="149" t="e">
        <f t="shared" si="5"/>
        <v>#N/A</v>
      </c>
      <c r="Y87" s="149" t="e">
        <f t="shared" si="5"/>
        <v>#N/A</v>
      </c>
      <c r="Z87" s="149" t="e">
        <f t="shared" si="5"/>
        <v>#N/A</v>
      </c>
      <c r="AA87" s="149" t="e">
        <f t="shared" si="5"/>
        <v>#N/A</v>
      </c>
      <c r="AB87" s="149" t="e">
        <f t="shared" si="5"/>
        <v>#N/A</v>
      </c>
      <c r="AC87" s="149" t="e">
        <f t="shared" si="5"/>
        <v>#N/A</v>
      </c>
      <c r="AD87" s="149" t="e">
        <f t="shared" si="5"/>
        <v>#N/A</v>
      </c>
    </row>
    <row r="88" spans="1:30">
      <c r="A88" s="160" t="s">
        <v>205</v>
      </c>
      <c r="B88" s="41" t="s">
        <v>471</v>
      </c>
      <c r="C88" s="41" t="s">
        <v>713</v>
      </c>
      <c r="D88" s="94">
        <v>4450</v>
      </c>
      <c r="E88" s="148">
        <v>7.9000000000000001E-2</v>
      </c>
      <c r="F88" s="41" t="s">
        <v>1089</v>
      </c>
      <c r="L88" s="41"/>
      <c r="N88" s="99"/>
      <c r="O88" s="99"/>
      <c r="P88" s="99"/>
      <c r="R88" s="148">
        <f t="shared" si="7"/>
        <v>-5.0999999999999997E-2</v>
      </c>
      <c r="S88" s="149" t="e">
        <f t="shared" si="6"/>
        <v>#N/A</v>
      </c>
      <c r="T88" s="149" t="e">
        <f t="shared" si="5"/>
        <v>#N/A</v>
      </c>
      <c r="U88" s="149" t="e">
        <f t="shared" si="5"/>
        <v>#N/A</v>
      </c>
      <c r="V88" s="149" t="e">
        <f t="shared" si="5"/>
        <v>#N/A</v>
      </c>
      <c r="W88" s="149" t="e">
        <f t="shared" si="5"/>
        <v>#N/A</v>
      </c>
      <c r="X88" s="149" t="e">
        <f t="shared" si="5"/>
        <v>#N/A</v>
      </c>
      <c r="Y88" s="149" t="e">
        <f t="shared" si="5"/>
        <v>#N/A</v>
      </c>
      <c r="Z88" s="149" t="e">
        <f t="shared" si="5"/>
        <v>#N/A</v>
      </c>
      <c r="AA88" s="149" t="e">
        <f t="shared" si="5"/>
        <v>#N/A</v>
      </c>
      <c r="AB88" s="149" t="e">
        <f t="shared" si="5"/>
        <v>#N/A</v>
      </c>
      <c r="AC88" s="149" t="e">
        <f t="shared" si="5"/>
        <v>#N/A</v>
      </c>
      <c r="AD88" s="149" t="e">
        <f t="shared" si="5"/>
        <v>#N/A</v>
      </c>
    </row>
    <row r="89" spans="1:30">
      <c r="A89" s="160" t="s">
        <v>810</v>
      </c>
      <c r="B89" s="41" t="s">
        <v>1090</v>
      </c>
      <c r="C89" s="41" t="s">
        <v>713</v>
      </c>
      <c r="D89" s="94">
        <v>4500</v>
      </c>
      <c r="E89" s="148">
        <v>9.0999999999999998E-2</v>
      </c>
      <c r="F89" s="41" t="s">
        <v>1091</v>
      </c>
      <c r="L89" s="41"/>
      <c r="N89" s="99"/>
      <c r="O89" s="99"/>
      <c r="P89" s="99"/>
      <c r="R89" s="148">
        <f t="shared" si="7"/>
        <v>-0.05</v>
      </c>
      <c r="S89" s="149" t="e">
        <f t="shared" si="6"/>
        <v>#N/A</v>
      </c>
      <c r="T89" s="149" t="e">
        <f t="shared" si="5"/>
        <v>#N/A</v>
      </c>
      <c r="U89" s="149" t="e">
        <f t="shared" si="5"/>
        <v>#N/A</v>
      </c>
      <c r="V89" s="149" t="e">
        <f t="shared" si="5"/>
        <v>#N/A</v>
      </c>
      <c r="W89" s="149" t="e">
        <f t="shared" si="5"/>
        <v>#N/A</v>
      </c>
      <c r="X89" s="149" t="e">
        <f t="shared" ref="T89:AD112" si="8">IF(VLOOKUP(X$8&amp;"@"&amp;$R89,$F:$Q,$R$7,0)=0,NA(),VLOOKUP(X$8&amp;"@"&amp;$R89,$F:$Q,$R$7,0))</f>
        <v>#N/A</v>
      </c>
      <c r="Y89" s="149" t="e">
        <f t="shared" si="8"/>
        <v>#N/A</v>
      </c>
      <c r="Z89" s="149" t="e">
        <f t="shared" si="8"/>
        <v>#N/A</v>
      </c>
      <c r="AA89" s="149" t="e">
        <f t="shared" si="8"/>
        <v>#N/A</v>
      </c>
      <c r="AB89" s="149" t="e">
        <f t="shared" si="8"/>
        <v>#N/A</v>
      </c>
      <c r="AC89" s="149" t="e">
        <f t="shared" si="8"/>
        <v>#N/A</v>
      </c>
      <c r="AD89" s="149" t="e">
        <f t="shared" si="8"/>
        <v>#N/A</v>
      </c>
    </row>
    <row r="90" spans="1:30">
      <c r="A90" s="160" t="s">
        <v>811</v>
      </c>
      <c r="B90" s="41" t="s">
        <v>1092</v>
      </c>
      <c r="C90" s="41" t="s">
        <v>713</v>
      </c>
      <c r="D90" s="94">
        <v>4550</v>
      </c>
      <c r="E90" s="148">
        <v>0.10300000000000001</v>
      </c>
      <c r="F90" s="41" t="s">
        <v>1093</v>
      </c>
      <c r="L90" s="41"/>
      <c r="N90" s="99"/>
      <c r="O90" s="99"/>
      <c r="P90" s="99"/>
      <c r="R90" s="148">
        <f t="shared" si="7"/>
        <v>-4.9000000000000002E-2</v>
      </c>
      <c r="S90" s="149" t="e">
        <f t="shared" si="6"/>
        <v>#N/A</v>
      </c>
      <c r="T90" s="149" t="e">
        <f t="shared" si="8"/>
        <v>#N/A</v>
      </c>
      <c r="U90" s="149" t="e">
        <f t="shared" si="8"/>
        <v>#N/A</v>
      </c>
      <c r="V90" s="149" t="e">
        <f t="shared" si="8"/>
        <v>#N/A</v>
      </c>
      <c r="W90" s="149" t="e">
        <f t="shared" si="8"/>
        <v>#N/A</v>
      </c>
      <c r="X90" s="149" t="e">
        <f t="shared" si="8"/>
        <v>#N/A</v>
      </c>
      <c r="Y90" s="149" t="e">
        <f t="shared" si="8"/>
        <v>#N/A</v>
      </c>
      <c r="Z90" s="149" t="e">
        <f t="shared" si="8"/>
        <v>#N/A</v>
      </c>
      <c r="AA90" s="149" t="e">
        <f t="shared" si="8"/>
        <v>#N/A</v>
      </c>
      <c r="AB90" s="149" t="e">
        <f t="shared" si="8"/>
        <v>#N/A</v>
      </c>
      <c r="AC90" s="149" t="e">
        <f t="shared" si="8"/>
        <v>#N/A</v>
      </c>
      <c r="AD90" s="149" t="e">
        <f t="shared" si="8"/>
        <v>#N/A</v>
      </c>
    </row>
    <row r="91" spans="1:30">
      <c r="A91" s="160" t="s">
        <v>812</v>
      </c>
      <c r="B91" s="41" t="s">
        <v>1094</v>
      </c>
      <c r="C91" s="41" t="s">
        <v>713</v>
      </c>
      <c r="D91" s="94">
        <v>4600</v>
      </c>
      <c r="E91" s="148">
        <v>0.115</v>
      </c>
      <c r="F91" s="41" t="s">
        <v>1095</v>
      </c>
      <c r="L91" s="41"/>
      <c r="N91" s="99"/>
      <c r="O91" s="99"/>
      <c r="P91" s="99"/>
      <c r="R91" s="148">
        <f t="shared" si="7"/>
        <v>-4.8000000000000001E-2</v>
      </c>
      <c r="S91" s="149" t="e">
        <f t="shared" si="6"/>
        <v>#N/A</v>
      </c>
      <c r="T91" s="149" t="e">
        <f t="shared" si="8"/>
        <v>#N/A</v>
      </c>
      <c r="U91" s="149" t="e">
        <f t="shared" si="8"/>
        <v>#N/A</v>
      </c>
      <c r="V91" s="149" t="e">
        <f t="shared" si="8"/>
        <v>#N/A</v>
      </c>
      <c r="W91" s="149" t="e">
        <f t="shared" si="8"/>
        <v>#N/A</v>
      </c>
      <c r="X91" s="149" t="e">
        <f t="shared" si="8"/>
        <v>#N/A</v>
      </c>
      <c r="Y91" s="149" t="e">
        <f t="shared" si="8"/>
        <v>#N/A</v>
      </c>
      <c r="Z91" s="149" t="e">
        <f t="shared" si="8"/>
        <v>#N/A</v>
      </c>
      <c r="AA91" s="149" t="e">
        <f t="shared" si="8"/>
        <v>#N/A</v>
      </c>
      <c r="AB91" s="149" t="e">
        <f t="shared" si="8"/>
        <v>#N/A</v>
      </c>
      <c r="AC91" s="149" t="e">
        <f t="shared" si="8"/>
        <v>#N/A</v>
      </c>
      <c r="AD91" s="149" t="e">
        <f t="shared" si="8"/>
        <v>#N/A</v>
      </c>
    </row>
    <row r="92" spans="1:30">
      <c r="A92" s="160" t="s">
        <v>813</v>
      </c>
      <c r="B92" s="41" t="s">
        <v>1096</v>
      </c>
      <c r="C92" s="41" t="s">
        <v>713</v>
      </c>
      <c r="D92" s="94">
        <v>4650</v>
      </c>
      <c r="E92" s="148">
        <v>0.127</v>
      </c>
      <c r="F92" s="41" t="s">
        <v>1097</v>
      </c>
      <c r="L92" s="41"/>
      <c r="N92" s="99"/>
      <c r="O92" s="99"/>
      <c r="P92" s="99"/>
      <c r="R92" s="148">
        <f t="shared" si="7"/>
        <v>-4.7E-2</v>
      </c>
      <c r="S92" s="149" t="e">
        <f t="shared" si="6"/>
        <v>#N/A</v>
      </c>
      <c r="T92" s="149" t="e">
        <f t="shared" si="8"/>
        <v>#N/A</v>
      </c>
      <c r="U92" s="149" t="e">
        <f t="shared" si="8"/>
        <v>#N/A</v>
      </c>
      <c r="V92" s="149" t="e">
        <f t="shared" si="8"/>
        <v>#N/A</v>
      </c>
      <c r="W92" s="149" t="e">
        <f t="shared" si="8"/>
        <v>#N/A</v>
      </c>
      <c r="X92" s="149" t="e">
        <f t="shared" si="8"/>
        <v>#N/A</v>
      </c>
      <c r="Y92" s="149" t="e">
        <f t="shared" si="8"/>
        <v>#N/A</v>
      </c>
      <c r="Z92" s="149" t="e">
        <f t="shared" si="8"/>
        <v>#N/A</v>
      </c>
      <c r="AA92" s="149" t="e">
        <f t="shared" si="8"/>
        <v>#N/A</v>
      </c>
      <c r="AB92" s="149" t="e">
        <f t="shared" si="8"/>
        <v>#N/A</v>
      </c>
      <c r="AC92" s="149" t="e">
        <f t="shared" si="8"/>
        <v>#N/A</v>
      </c>
      <c r="AD92" s="149" t="e">
        <f t="shared" si="8"/>
        <v>#N/A</v>
      </c>
    </row>
    <row r="93" spans="1:30">
      <c r="A93" s="160" t="s">
        <v>814</v>
      </c>
      <c r="B93" s="41" t="s">
        <v>1098</v>
      </c>
      <c r="C93" s="41" t="s">
        <v>699</v>
      </c>
      <c r="D93" s="94">
        <v>3300</v>
      </c>
      <c r="E93" s="148">
        <v>-0.2</v>
      </c>
      <c r="F93" s="41" t="s">
        <v>1099</v>
      </c>
      <c r="L93" s="41"/>
      <c r="N93" s="99"/>
      <c r="O93" s="99"/>
      <c r="P93" s="99"/>
      <c r="R93" s="148">
        <f t="shared" si="7"/>
        <v>-4.5999999999999999E-2</v>
      </c>
      <c r="S93" s="149" t="e">
        <f t="shared" si="6"/>
        <v>#N/A</v>
      </c>
      <c r="T93" s="149" t="e">
        <f t="shared" si="8"/>
        <v>#N/A</v>
      </c>
      <c r="U93" s="149" t="e">
        <f t="shared" si="8"/>
        <v>#N/A</v>
      </c>
      <c r="V93" s="149" t="e">
        <f t="shared" si="8"/>
        <v>#N/A</v>
      </c>
      <c r="W93" s="149" t="e">
        <f t="shared" si="8"/>
        <v>#N/A</v>
      </c>
      <c r="X93" s="149" t="e">
        <f t="shared" si="8"/>
        <v>#N/A</v>
      </c>
      <c r="Y93" s="149" t="e">
        <f t="shared" si="8"/>
        <v>#N/A</v>
      </c>
      <c r="Z93" s="149" t="e">
        <f t="shared" si="8"/>
        <v>#N/A</v>
      </c>
      <c r="AA93" s="149" t="e">
        <f t="shared" si="8"/>
        <v>#N/A</v>
      </c>
      <c r="AB93" s="149" t="e">
        <f t="shared" si="8"/>
        <v>#N/A</v>
      </c>
      <c r="AC93" s="149" t="e">
        <f t="shared" si="8"/>
        <v>#N/A</v>
      </c>
      <c r="AD93" s="149" t="e">
        <f t="shared" si="8"/>
        <v>#N/A</v>
      </c>
    </row>
    <row r="94" spans="1:30">
      <c r="A94" s="160" t="s">
        <v>815</v>
      </c>
      <c r="B94" s="41" t="s">
        <v>1100</v>
      </c>
      <c r="C94" s="41" t="s">
        <v>699</v>
      </c>
      <c r="D94" s="94">
        <v>3350</v>
      </c>
      <c r="E94" s="148">
        <v>-0.188</v>
      </c>
      <c r="F94" s="41" t="s">
        <v>1101</v>
      </c>
      <c r="L94" s="41"/>
      <c r="N94" s="99"/>
      <c r="O94" s="99"/>
      <c r="P94" s="99"/>
      <c r="R94" s="148">
        <f t="shared" si="7"/>
        <v>-4.4999999999999998E-2</v>
      </c>
      <c r="S94" s="149" t="e">
        <f t="shared" si="6"/>
        <v>#N/A</v>
      </c>
      <c r="T94" s="149" t="e">
        <f t="shared" si="8"/>
        <v>#N/A</v>
      </c>
      <c r="U94" s="149" t="e">
        <f t="shared" si="8"/>
        <v>#N/A</v>
      </c>
      <c r="V94" s="149" t="e">
        <f t="shared" si="8"/>
        <v>#N/A</v>
      </c>
      <c r="W94" s="149" t="e">
        <f t="shared" si="8"/>
        <v>#N/A</v>
      </c>
      <c r="X94" s="149" t="e">
        <f t="shared" si="8"/>
        <v>#N/A</v>
      </c>
      <c r="Y94" s="149" t="e">
        <f t="shared" si="8"/>
        <v>#N/A</v>
      </c>
      <c r="Z94" s="149" t="e">
        <f t="shared" si="8"/>
        <v>#N/A</v>
      </c>
      <c r="AA94" s="149" t="e">
        <f t="shared" si="8"/>
        <v>#N/A</v>
      </c>
      <c r="AB94" s="149" t="e">
        <f t="shared" si="8"/>
        <v>#N/A</v>
      </c>
      <c r="AC94" s="149" t="e">
        <f t="shared" si="8"/>
        <v>#N/A</v>
      </c>
      <c r="AD94" s="149" t="e">
        <f t="shared" si="8"/>
        <v>#N/A</v>
      </c>
    </row>
    <row r="95" spans="1:30">
      <c r="A95" s="160" t="s">
        <v>816</v>
      </c>
      <c r="B95" s="41" t="s">
        <v>1102</v>
      </c>
      <c r="C95" s="41" t="s">
        <v>699</v>
      </c>
      <c r="D95" s="94">
        <v>3400</v>
      </c>
      <c r="E95" s="148">
        <v>-0.17600000000000002</v>
      </c>
      <c r="F95" s="41" t="s">
        <v>1103</v>
      </c>
      <c r="L95" s="41"/>
      <c r="N95" s="99"/>
      <c r="O95" s="99"/>
      <c r="P95" s="99"/>
      <c r="R95" s="148">
        <f t="shared" si="7"/>
        <v>-4.3999999999999997E-2</v>
      </c>
      <c r="S95" s="149" t="e">
        <f t="shared" si="6"/>
        <v>#N/A</v>
      </c>
      <c r="T95" s="149" t="e">
        <f t="shared" si="8"/>
        <v>#N/A</v>
      </c>
      <c r="U95" s="149" t="e">
        <f t="shared" si="8"/>
        <v>#N/A</v>
      </c>
      <c r="V95" s="149" t="e">
        <f t="shared" si="8"/>
        <v>#N/A</v>
      </c>
      <c r="W95" s="149" t="e">
        <f t="shared" si="8"/>
        <v>#N/A</v>
      </c>
      <c r="X95" s="149" t="e">
        <f t="shared" si="8"/>
        <v>#N/A</v>
      </c>
      <c r="Y95" s="149" t="e">
        <f t="shared" si="8"/>
        <v>#N/A</v>
      </c>
      <c r="Z95" s="149" t="e">
        <f t="shared" si="8"/>
        <v>#N/A</v>
      </c>
      <c r="AA95" s="149" t="e">
        <f t="shared" si="8"/>
        <v>#N/A</v>
      </c>
      <c r="AB95" s="149" t="e">
        <f t="shared" si="8"/>
        <v>#N/A</v>
      </c>
      <c r="AC95" s="149" t="e">
        <f t="shared" si="8"/>
        <v>#N/A</v>
      </c>
      <c r="AD95" s="149" t="e">
        <f t="shared" si="8"/>
        <v>#N/A</v>
      </c>
    </row>
    <row r="96" spans="1:30">
      <c r="A96" s="160" t="s">
        <v>817</v>
      </c>
      <c r="B96" s="41" t="s">
        <v>1104</v>
      </c>
      <c r="C96" s="41" t="s">
        <v>699</v>
      </c>
      <c r="D96" s="94">
        <v>3450</v>
      </c>
      <c r="E96" s="148">
        <v>-0.16399999999999998</v>
      </c>
      <c r="F96" s="41" t="s">
        <v>1105</v>
      </c>
      <c r="L96" s="41"/>
      <c r="N96" s="99"/>
      <c r="O96" s="99"/>
      <c r="P96" s="99"/>
      <c r="R96" s="148">
        <f t="shared" si="7"/>
        <v>-4.2999999999999997E-2</v>
      </c>
      <c r="S96" s="149" t="e">
        <f t="shared" si="6"/>
        <v>#N/A</v>
      </c>
      <c r="T96" s="149" t="e">
        <f t="shared" si="8"/>
        <v>#N/A</v>
      </c>
      <c r="U96" s="149" t="e">
        <f t="shared" si="8"/>
        <v>#N/A</v>
      </c>
      <c r="V96" s="149" t="e">
        <f t="shared" si="8"/>
        <v>#N/A</v>
      </c>
      <c r="W96" s="149" t="e">
        <f t="shared" si="8"/>
        <v>#N/A</v>
      </c>
      <c r="X96" s="149" t="e">
        <f t="shared" si="8"/>
        <v>#N/A</v>
      </c>
      <c r="Y96" s="149" t="e">
        <f t="shared" si="8"/>
        <v>#N/A</v>
      </c>
      <c r="Z96" s="149" t="e">
        <f t="shared" si="8"/>
        <v>#N/A</v>
      </c>
      <c r="AA96" s="149" t="e">
        <f t="shared" si="8"/>
        <v>#N/A</v>
      </c>
      <c r="AB96" s="149" t="e">
        <f t="shared" si="8"/>
        <v>#N/A</v>
      </c>
      <c r="AC96" s="149" t="e">
        <f t="shared" si="8"/>
        <v>#N/A</v>
      </c>
      <c r="AD96" s="149" t="e">
        <f t="shared" si="8"/>
        <v>#N/A</v>
      </c>
    </row>
    <row r="97" spans="1:30">
      <c r="A97" s="160" t="s">
        <v>818</v>
      </c>
      <c r="B97" s="41" t="s">
        <v>1106</v>
      </c>
      <c r="C97" s="41" t="s">
        <v>699</v>
      </c>
      <c r="D97" s="94">
        <v>3500</v>
      </c>
      <c r="E97" s="148">
        <v>-0.152</v>
      </c>
      <c r="F97" s="41" t="s">
        <v>1107</v>
      </c>
      <c r="L97" s="41"/>
      <c r="N97" s="99"/>
      <c r="O97" s="99"/>
      <c r="P97" s="99"/>
      <c r="R97" s="148">
        <f t="shared" si="7"/>
        <v>-4.2000000000000003E-2</v>
      </c>
      <c r="S97" s="149" t="e">
        <f t="shared" si="6"/>
        <v>#N/A</v>
      </c>
      <c r="T97" s="149" t="e">
        <f t="shared" si="8"/>
        <v>#N/A</v>
      </c>
      <c r="U97" s="149" t="e">
        <f t="shared" si="8"/>
        <v>#N/A</v>
      </c>
      <c r="V97" s="149" t="e">
        <f t="shared" si="8"/>
        <v>#N/A</v>
      </c>
      <c r="W97" s="149" t="e">
        <f t="shared" si="8"/>
        <v>#N/A</v>
      </c>
      <c r="X97" s="149" t="e">
        <f t="shared" si="8"/>
        <v>#N/A</v>
      </c>
      <c r="Y97" s="149" t="e">
        <f t="shared" si="8"/>
        <v>#N/A</v>
      </c>
      <c r="Z97" s="149" t="e">
        <f t="shared" si="8"/>
        <v>#N/A</v>
      </c>
      <c r="AA97" s="149" t="e">
        <f t="shared" si="8"/>
        <v>#N/A</v>
      </c>
      <c r="AB97" s="149" t="e">
        <f t="shared" si="8"/>
        <v>#N/A</v>
      </c>
      <c r="AC97" s="149" t="e">
        <f t="shared" si="8"/>
        <v>#N/A</v>
      </c>
      <c r="AD97" s="149" t="e">
        <f t="shared" si="8"/>
        <v>#N/A</v>
      </c>
    </row>
    <row r="98" spans="1:30">
      <c r="A98" s="160" t="s">
        <v>258</v>
      </c>
      <c r="B98" s="41" t="s">
        <v>524</v>
      </c>
      <c r="C98" s="41" t="s">
        <v>699</v>
      </c>
      <c r="D98" s="94">
        <v>3550</v>
      </c>
      <c r="E98" s="148">
        <v>-0.14000000000000001</v>
      </c>
      <c r="F98" s="41" t="s">
        <v>1108</v>
      </c>
      <c r="L98" s="41"/>
      <c r="N98" s="99"/>
      <c r="O98" s="99"/>
      <c r="P98" s="99"/>
      <c r="R98" s="148">
        <f t="shared" si="7"/>
        <v>-4.1000000000000002E-2</v>
      </c>
      <c r="S98" s="149" t="e">
        <f t="shared" si="6"/>
        <v>#N/A</v>
      </c>
      <c r="T98" s="149" t="e">
        <f t="shared" si="8"/>
        <v>#N/A</v>
      </c>
      <c r="U98" s="149" t="e">
        <f t="shared" si="8"/>
        <v>#N/A</v>
      </c>
      <c r="V98" s="149" t="e">
        <f t="shared" si="8"/>
        <v>#N/A</v>
      </c>
      <c r="W98" s="149" t="e">
        <f t="shared" si="8"/>
        <v>#N/A</v>
      </c>
      <c r="X98" s="149" t="e">
        <f t="shared" si="8"/>
        <v>#N/A</v>
      </c>
      <c r="Y98" s="149" t="e">
        <f t="shared" si="8"/>
        <v>#N/A</v>
      </c>
      <c r="Z98" s="149" t="e">
        <f t="shared" si="8"/>
        <v>#N/A</v>
      </c>
      <c r="AA98" s="149" t="e">
        <f t="shared" si="8"/>
        <v>#N/A</v>
      </c>
      <c r="AB98" s="149" t="e">
        <f t="shared" si="8"/>
        <v>#N/A</v>
      </c>
      <c r="AC98" s="149" t="e">
        <f t="shared" si="8"/>
        <v>#N/A</v>
      </c>
      <c r="AD98" s="149" t="e">
        <f t="shared" si="8"/>
        <v>#N/A</v>
      </c>
    </row>
    <row r="99" spans="1:30">
      <c r="A99" s="160" t="s">
        <v>259</v>
      </c>
      <c r="B99" s="41" t="s">
        <v>525</v>
      </c>
      <c r="C99" s="41" t="s">
        <v>699</v>
      </c>
      <c r="D99" s="94">
        <v>3600</v>
      </c>
      <c r="E99" s="148">
        <v>-0.128</v>
      </c>
      <c r="F99" s="41" t="s">
        <v>1109</v>
      </c>
      <c r="L99" s="41"/>
      <c r="N99" s="99"/>
      <c r="O99" s="99"/>
      <c r="P99" s="99"/>
      <c r="R99" s="148">
        <f t="shared" si="7"/>
        <v>-0.04</v>
      </c>
      <c r="S99" s="149" t="e">
        <f t="shared" si="6"/>
        <v>#N/A</v>
      </c>
      <c r="T99" s="149" t="e">
        <f t="shared" si="8"/>
        <v>#N/A</v>
      </c>
      <c r="U99" s="149" t="e">
        <f t="shared" si="8"/>
        <v>#N/A</v>
      </c>
      <c r="V99" s="149" t="e">
        <f t="shared" si="8"/>
        <v>#N/A</v>
      </c>
      <c r="W99" s="149" t="e">
        <f t="shared" si="8"/>
        <v>#N/A</v>
      </c>
      <c r="X99" s="149" t="e">
        <f t="shared" si="8"/>
        <v>#N/A</v>
      </c>
      <c r="Y99" s="149" t="e">
        <f t="shared" si="8"/>
        <v>#N/A</v>
      </c>
      <c r="Z99" s="149" t="e">
        <f t="shared" si="8"/>
        <v>#N/A</v>
      </c>
      <c r="AA99" s="149" t="e">
        <f t="shared" si="8"/>
        <v>#N/A</v>
      </c>
      <c r="AB99" s="149" t="e">
        <f t="shared" si="8"/>
        <v>#N/A</v>
      </c>
      <c r="AC99" s="149" t="e">
        <f t="shared" si="8"/>
        <v>#N/A</v>
      </c>
      <c r="AD99" s="149" t="e">
        <f t="shared" si="8"/>
        <v>#N/A</v>
      </c>
    </row>
    <row r="100" spans="1:30">
      <c r="A100" s="160" t="s">
        <v>260</v>
      </c>
      <c r="B100" s="41" t="s">
        <v>526</v>
      </c>
      <c r="C100" s="41" t="s">
        <v>699</v>
      </c>
      <c r="D100" s="94">
        <v>3650</v>
      </c>
      <c r="E100" s="148">
        <v>-0.115</v>
      </c>
      <c r="F100" s="41" t="s">
        <v>1110</v>
      </c>
      <c r="L100" s="41"/>
      <c r="N100" s="99"/>
      <c r="O100" s="99"/>
      <c r="P100" s="99"/>
      <c r="R100" s="148">
        <f t="shared" si="7"/>
        <v>-3.9E-2</v>
      </c>
      <c r="S100" s="149" t="e">
        <f t="shared" si="6"/>
        <v>#N/A</v>
      </c>
      <c r="T100" s="149" t="e">
        <f t="shared" si="8"/>
        <v>#N/A</v>
      </c>
      <c r="U100" s="149" t="e">
        <f t="shared" si="8"/>
        <v>#N/A</v>
      </c>
      <c r="V100" s="149" t="e">
        <f t="shared" si="8"/>
        <v>#N/A</v>
      </c>
      <c r="W100" s="149" t="e">
        <f t="shared" si="8"/>
        <v>#N/A</v>
      </c>
      <c r="X100" s="149" t="e">
        <f t="shared" si="8"/>
        <v>#N/A</v>
      </c>
      <c r="Y100" s="149" t="e">
        <f t="shared" si="8"/>
        <v>#N/A</v>
      </c>
      <c r="Z100" s="149" t="e">
        <f t="shared" si="8"/>
        <v>#N/A</v>
      </c>
      <c r="AA100" s="149" t="e">
        <f t="shared" si="8"/>
        <v>#N/A</v>
      </c>
      <c r="AB100" s="149" t="e">
        <f t="shared" si="8"/>
        <v>#N/A</v>
      </c>
      <c r="AC100" s="149" t="e">
        <f t="shared" si="8"/>
        <v>#N/A</v>
      </c>
      <c r="AD100" s="149" t="e">
        <f t="shared" si="8"/>
        <v>#N/A</v>
      </c>
    </row>
    <row r="101" spans="1:30">
      <c r="A101" s="160" t="s">
        <v>261</v>
      </c>
      <c r="B101" s="41" t="s">
        <v>527</v>
      </c>
      <c r="C101" s="41" t="s">
        <v>699</v>
      </c>
      <c r="D101" s="94">
        <v>3700</v>
      </c>
      <c r="E101" s="148">
        <v>-0.10300000000000001</v>
      </c>
      <c r="F101" s="41" t="s">
        <v>1111</v>
      </c>
      <c r="L101" s="41"/>
      <c r="N101" s="99"/>
      <c r="O101" s="99"/>
      <c r="P101" s="99"/>
      <c r="R101" s="148">
        <f t="shared" si="7"/>
        <v>-3.7999999999999999E-2</v>
      </c>
      <c r="S101" s="149" t="e">
        <f t="shared" si="6"/>
        <v>#N/A</v>
      </c>
      <c r="T101" s="149" t="e">
        <f t="shared" si="8"/>
        <v>#N/A</v>
      </c>
      <c r="U101" s="149" t="e">
        <f t="shared" si="8"/>
        <v>#N/A</v>
      </c>
      <c r="V101" s="149" t="e">
        <f t="shared" si="8"/>
        <v>#N/A</v>
      </c>
      <c r="W101" s="149" t="e">
        <f t="shared" si="8"/>
        <v>#N/A</v>
      </c>
      <c r="X101" s="149" t="e">
        <f t="shared" si="8"/>
        <v>#N/A</v>
      </c>
      <c r="Y101" s="149" t="e">
        <f t="shared" si="8"/>
        <v>#N/A</v>
      </c>
      <c r="Z101" s="149" t="e">
        <f t="shared" si="8"/>
        <v>#N/A</v>
      </c>
      <c r="AA101" s="149" t="e">
        <f t="shared" si="8"/>
        <v>#N/A</v>
      </c>
      <c r="AB101" s="149" t="e">
        <f t="shared" si="8"/>
        <v>#N/A</v>
      </c>
      <c r="AC101" s="149" t="e">
        <f t="shared" si="8"/>
        <v>#N/A</v>
      </c>
      <c r="AD101" s="149" t="e">
        <f t="shared" si="8"/>
        <v>#N/A</v>
      </c>
    </row>
    <row r="102" spans="1:30">
      <c r="A102" s="160" t="s">
        <v>262</v>
      </c>
      <c r="B102" s="41" t="s">
        <v>528</v>
      </c>
      <c r="C102" s="41" t="s">
        <v>699</v>
      </c>
      <c r="D102" s="94">
        <v>3750</v>
      </c>
      <c r="E102" s="148">
        <v>-9.0999999999999998E-2</v>
      </c>
      <c r="F102" s="41" t="s">
        <v>1112</v>
      </c>
      <c r="L102" s="41"/>
      <c r="N102" s="99"/>
      <c r="O102" s="99"/>
      <c r="P102" s="99"/>
      <c r="R102" s="148">
        <f t="shared" si="7"/>
        <v>-3.6999999999999998E-2</v>
      </c>
      <c r="S102" s="149" t="e">
        <f t="shared" si="6"/>
        <v>#N/A</v>
      </c>
      <c r="T102" s="149" t="e">
        <f t="shared" si="8"/>
        <v>#N/A</v>
      </c>
      <c r="U102" s="149" t="e">
        <f t="shared" si="8"/>
        <v>#N/A</v>
      </c>
      <c r="V102" s="149" t="e">
        <f t="shared" si="8"/>
        <v>#N/A</v>
      </c>
      <c r="W102" s="149" t="e">
        <f t="shared" si="8"/>
        <v>#N/A</v>
      </c>
      <c r="X102" s="149" t="e">
        <f t="shared" si="8"/>
        <v>#N/A</v>
      </c>
      <c r="Y102" s="149" t="e">
        <f t="shared" si="8"/>
        <v>#N/A</v>
      </c>
      <c r="Z102" s="149" t="e">
        <f t="shared" si="8"/>
        <v>#N/A</v>
      </c>
      <c r="AA102" s="149" t="e">
        <f t="shared" si="8"/>
        <v>#N/A</v>
      </c>
      <c r="AB102" s="149" t="e">
        <f t="shared" si="8"/>
        <v>#N/A</v>
      </c>
      <c r="AC102" s="149" t="e">
        <f t="shared" si="8"/>
        <v>#N/A</v>
      </c>
      <c r="AD102" s="149" t="e">
        <f t="shared" si="8"/>
        <v>#N/A</v>
      </c>
    </row>
    <row r="103" spans="1:30">
      <c r="A103" s="160" t="s">
        <v>263</v>
      </c>
      <c r="B103" s="41" t="s">
        <v>529</v>
      </c>
      <c r="C103" s="41" t="s">
        <v>699</v>
      </c>
      <c r="D103" s="94">
        <v>3800</v>
      </c>
      <c r="E103" s="148">
        <v>-7.9000000000000001E-2</v>
      </c>
      <c r="F103" s="41" t="s">
        <v>1113</v>
      </c>
      <c r="L103" s="41"/>
      <c r="N103" s="99"/>
      <c r="O103" s="99"/>
      <c r="P103" s="99"/>
      <c r="R103" s="148">
        <f t="shared" si="7"/>
        <v>-3.5999999999999997E-2</v>
      </c>
      <c r="S103" s="149" t="e">
        <f t="shared" si="6"/>
        <v>#N/A</v>
      </c>
      <c r="T103" s="149" t="e">
        <f t="shared" si="8"/>
        <v>#N/A</v>
      </c>
      <c r="U103" s="149" t="e">
        <f t="shared" si="8"/>
        <v>#N/A</v>
      </c>
      <c r="V103" s="149" t="e">
        <f t="shared" si="8"/>
        <v>#N/A</v>
      </c>
      <c r="W103" s="149" t="e">
        <f t="shared" si="8"/>
        <v>#N/A</v>
      </c>
      <c r="X103" s="149" t="e">
        <f t="shared" si="8"/>
        <v>#N/A</v>
      </c>
      <c r="Y103" s="149" t="e">
        <f t="shared" si="8"/>
        <v>#N/A</v>
      </c>
      <c r="Z103" s="149" t="e">
        <f t="shared" si="8"/>
        <v>#N/A</v>
      </c>
      <c r="AA103" s="149" t="e">
        <f t="shared" si="8"/>
        <v>#N/A</v>
      </c>
      <c r="AB103" s="149" t="e">
        <f t="shared" si="8"/>
        <v>#N/A</v>
      </c>
      <c r="AC103" s="149" t="e">
        <f t="shared" si="8"/>
        <v>#N/A</v>
      </c>
      <c r="AD103" s="149" t="e">
        <f t="shared" si="8"/>
        <v>#N/A</v>
      </c>
    </row>
    <row r="104" spans="1:30">
      <c r="A104" s="160" t="s">
        <v>264</v>
      </c>
      <c r="B104" s="41" t="s">
        <v>530</v>
      </c>
      <c r="C104" s="41" t="s">
        <v>699</v>
      </c>
      <c r="D104" s="94">
        <v>3850</v>
      </c>
      <c r="E104" s="148">
        <v>-6.7000000000000004E-2</v>
      </c>
      <c r="F104" s="41" t="s">
        <v>1114</v>
      </c>
      <c r="L104" s="41"/>
      <c r="N104" s="99"/>
      <c r="O104" s="99"/>
      <c r="P104" s="99"/>
      <c r="R104" s="148">
        <f t="shared" si="7"/>
        <v>-3.5000000000000003E-2</v>
      </c>
      <c r="S104" s="149" t="e">
        <f t="shared" si="6"/>
        <v>#N/A</v>
      </c>
      <c r="T104" s="149" t="e">
        <f t="shared" si="8"/>
        <v>#N/A</v>
      </c>
      <c r="U104" s="149" t="e">
        <f t="shared" si="8"/>
        <v>#N/A</v>
      </c>
      <c r="V104" s="149" t="e">
        <f t="shared" si="8"/>
        <v>#N/A</v>
      </c>
      <c r="W104" s="149" t="e">
        <f t="shared" si="8"/>
        <v>#N/A</v>
      </c>
      <c r="X104" s="149" t="e">
        <f t="shared" si="8"/>
        <v>#N/A</v>
      </c>
      <c r="Y104" s="149" t="e">
        <f t="shared" si="8"/>
        <v>#N/A</v>
      </c>
      <c r="Z104" s="149" t="e">
        <f t="shared" si="8"/>
        <v>#N/A</v>
      </c>
      <c r="AA104" s="149" t="e">
        <f t="shared" si="8"/>
        <v>#N/A</v>
      </c>
      <c r="AB104" s="149" t="e">
        <f t="shared" si="8"/>
        <v>#N/A</v>
      </c>
      <c r="AC104" s="149" t="e">
        <f t="shared" si="8"/>
        <v>#N/A</v>
      </c>
      <c r="AD104" s="149" t="e">
        <f t="shared" si="8"/>
        <v>#N/A</v>
      </c>
    </row>
    <row r="105" spans="1:30">
      <c r="A105" s="160" t="s">
        <v>265</v>
      </c>
      <c r="B105" s="41" t="s">
        <v>531</v>
      </c>
      <c r="C105" s="41" t="s">
        <v>699</v>
      </c>
      <c r="D105" s="94">
        <v>3900</v>
      </c>
      <c r="E105" s="148">
        <v>-5.5E-2</v>
      </c>
      <c r="F105" s="41" t="s">
        <v>1115</v>
      </c>
      <c r="L105" s="41"/>
      <c r="N105" s="99"/>
      <c r="O105" s="99"/>
      <c r="P105" s="99"/>
      <c r="R105" s="148">
        <f t="shared" si="7"/>
        <v>-3.4000000000000002E-2</v>
      </c>
      <c r="S105" s="149" t="e">
        <f t="shared" si="6"/>
        <v>#N/A</v>
      </c>
      <c r="T105" s="149" t="e">
        <f t="shared" si="8"/>
        <v>#N/A</v>
      </c>
      <c r="U105" s="149" t="e">
        <f t="shared" si="8"/>
        <v>#N/A</v>
      </c>
      <c r="V105" s="149" t="e">
        <f t="shared" si="8"/>
        <v>#N/A</v>
      </c>
      <c r="W105" s="149" t="e">
        <f t="shared" si="8"/>
        <v>#N/A</v>
      </c>
      <c r="X105" s="149" t="e">
        <f t="shared" si="8"/>
        <v>#N/A</v>
      </c>
      <c r="Y105" s="149" t="e">
        <f t="shared" si="8"/>
        <v>#N/A</v>
      </c>
      <c r="Z105" s="149" t="e">
        <f t="shared" si="8"/>
        <v>#N/A</v>
      </c>
      <c r="AA105" s="149" t="e">
        <f t="shared" si="8"/>
        <v>#N/A</v>
      </c>
      <c r="AB105" s="149" t="e">
        <f t="shared" si="8"/>
        <v>#N/A</v>
      </c>
      <c r="AC105" s="149" t="e">
        <f t="shared" si="8"/>
        <v>#N/A</v>
      </c>
      <c r="AD105" s="149" t="e">
        <f t="shared" si="8"/>
        <v>#N/A</v>
      </c>
    </row>
    <row r="106" spans="1:30">
      <c r="A106" s="160" t="s">
        <v>266</v>
      </c>
      <c r="B106" s="41" t="s">
        <v>532</v>
      </c>
      <c r="C106" s="41" t="s">
        <v>699</v>
      </c>
      <c r="D106" s="94">
        <v>3950</v>
      </c>
      <c r="E106" s="148">
        <v>-4.2999999999999997E-2</v>
      </c>
      <c r="F106" s="41" t="s">
        <v>1116</v>
      </c>
      <c r="L106" s="41"/>
      <c r="N106" s="99"/>
      <c r="O106" s="99"/>
      <c r="P106" s="99"/>
      <c r="R106" s="148">
        <f t="shared" si="7"/>
        <v>-3.3000000000000002E-2</v>
      </c>
      <c r="S106" s="149" t="e">
        <f t="shared" si="6"/>
        <v>#N/A</v>
      </c>
      <c r="T106" s="149" t="e">
        <f t="shared" si="8"/>
        <v>#N/A</v>
      </c>
      <c r="U106" s="149" t="e">
        <f t="shared" si="8"/>
        <v>#N/A</v>
      </c>
      <c r="V106" s="149" t="e">
        <f t="shared" si="8"/>
        <v>#N/A</v>
      </c>
      <c r="W106" s="149" t="e">
        <f t="shared" si="8"/>
        <v>#N/A</v>
      </c>
      <c r="X106" s="149" t="e">
        <f t="shared" si="8"/>
        <v>#N/A</v>
      </c>
      <c r="Y106" s="149" t="e">
        <f t="shared" si="8"/>
        <v>#N/A</v>
      </c>
      <c r="Z106" s="149" t="e">
        <f t="shared" si="8"/>
        <v>#N/A</v>
      </c>
      <c r="AA106" s="149" t="e">
        <f t="shared" si="8"/>
        <v>#N/A</v>
      </c>
      <c r="AB106" s="149" t="e">
        <f t="shared" si="8"/>
        <v>#N/A</v>
      </c>
      <c r="AC106" s="149" t="e">
        <f t="shared" si="8"/>
        <v>#N/A</v>
      </c>
      <c r="AD106" s="149" t="e">
        <f t="shared" si="8"/>
        <v>#N/A</v>
      </c>
    </row>
    <row r="107" spans="1:30">
      <c r="A107" s="160" t="s">
        <v>267</v>
      </c>
      <c r="B107" s="41" t="s">
        <v>533</v>
      </c>
      <c r="C107" s="41" t="s">
        <v>699</v>
      </c>
      <c r="D107" s="94">
        <v>4000</v>
      </c>
      <c r="E107" s="148">
        <v>-3.1E-2</v>
      </c>
      <c r="F107" s="41" t="s">
        <v>747</v>
      </c>
      <c r="L107" s="41"/>
      <c r="N107" s="99"/>
      <c r="O107" s="99"/>
      <c r="P107" s="99"/>
      <c r="R107" s="148">
        <f t="shared" si="7"/>
        <v>-3.2000000000000001E-2</v>
      </c>
      <c r="S107" s="149" t="e">
        <f t="shared" si="6"/>
        <v>#N/A</v>
      </c>
      <c r="T107" s="149" t="e">
        <f t="shared" si="8"/>
        <v>#N/A</v>
      </c>
      <c r="U107" s="149" t="e">
        <f t="shared" si="8"/>
        <v>#N/A</v>
      </c>
      <c r="V107" s="149" t="e">
        <f t="shared" si="8"/>
        <v>#N/A</v>
      </c>
      <c r="W107" s="149" t="e">
        <f t="shared" si="8"/>
        <v>#N/A</v>
      </c>
      <c r="X107" s="149" t="e">
        <f t="shared" si="8"/>
        <v>#N/A</v>
      </c>
      <c r="Y107" s="149" t="e">
        <f t="shared" si="8"/>
        <v>#N/A</v>
      </c>
      <c r="Z107" s="149" t="e">
        <f t="shared" si="8"/>
        <v>#N/A</v>
      </c>
      <c r="AA107" s="149" t="e">
        <f t="shared" si="8"/>
        <v>#N/A</v>
      </c>
      <c r="AB107" s="149" t="e">
        <f t="shared" si="8"/>
        <v>#N/A</v>
      </c>
      <c r="AC107" s="149" t="e">
        <f t="shared" si="8"/>
        <v>#N/A</v>
      </c>
      <c r="AD107" s="149" t="e">
        <f t="shared" si="8"/>
        <v>#N/A</v>
      </c>
    </row>
    <row r="108" spans="1:30">
      <c r="A108" s="160" t="s">
        <v>268</v>
      </c>
      <c r="B108" s="41" t="s">
        <v>534</v>
      </c>
      <c r="C108" s="41" t="s">
        <v>699</v>
      </c>
      <c r="D108" s="94">
        <v>4050</v>
      </c>
      <c r="E108" s="148">
        <v>-1.8000000000000002E-2</v>
      </c>
      <c r="F108" s="41" t="s">
        <v>1117</v>
      </c>
      <c r="L108" s="41"/>
      <c r="N108" s="99"/>
      <c r="O108" s="99"/>
      <c r="P108" s="99"/>
      <c r="R108" s="148">
        <f t="shared" si="7"/>
        <v>-3.1E-2</v>
      </c>
      <c r="S108" s="149" t="e">
        <f t="shared" si="6"/>
        <v>#N/A</v>
      </c>
      <c r="T108" s="149" t="e">
        <f t="shared" si="8"/>
        <v>#N/A</v>
      </c>
      <c r="U108" s="149" t="e">
        <f t="shared" si="8"/>
        <v>#N/A</v>
      </c>
      <c r="V108" s="149" t="e">
        <f t="shared" si="8"/>
        <v>#N/A</v>
      </c>
      <c r="W108" s="149" t="e">
        <f t="shared" si="8"/>
        <v>#N/A</v>
      </c>
      <c r="X108" s="149" t="e">
        <f t="shared" si="8"/>
        <v>#N/A</v>
      </c>
      <c r="Y108" s="149" t="e">
        <f t="shared" si="8"/>
        <v>#N/A</v>
      </c>
      <c r="Z108" s="149" t="e">
        <f t="shared" si="8"/>
        <v>#N/A</v>
      </c>
      <c r="AA108" s="149" t="e">
        <f t="shared" si="8"/>
        <v>#N/A</v>
      </c>
      <c r="AB108" s="149" t="e">
        <f t="shared" si="8"/>
        <v>#N/A</v>
      </c>
      <c r="AC108" s="149" t="e">
        <f t="shared" si="8"/>
        <v>#N/A</v>
      </c>
      <c r="AD108" s="149" t="e">
        <f t="shared" si="8"/>
        <v>#N/A</v>
      </c>
    </row>
    <row r="109" spans="1:30">
      <c r="A109" s="160" t="s">
        <v>269</v>
      </c>
      <c r="B109" s="41" t="s">
        <v>535</v>
      </c>
      <c r="C109" s="41" t="s">
        <v>699</v>
      </c>
      <c r="D109" s="94">
        <v>4100</v>
      </c>
      <c r="E109" s="148">
        <v>-6.0000000000000001E-3</v>
      </c>
      <c r="F109" s="41" t="s">
        <v>748</v>
      </c>
      <c r="L109" s="41"/>
      <c r="N109" s="99"/>
      <c r="O109" s="99"/>
      <c r="P109" s="99"/>
      <c r="R109" s="148">
        <f t="shared" si="7"/>
        <v>-0.03</v>
      </c>
      <c r="S109" s="149" t="e">
        <f t="shared" si="6"/>
        <v>#N/A</v>
      </c>
      <c r="T109" s="149" t="e">
        <f t="shared" si="8"/>
        <v>#N/A</v>
      </c>
      <c r="U109" s="149" t="e">
        <f t="shared" si="8"/>
        <v>#N/A</v>
      </c>
      <c r="V109" s="149" t="e">
        <f t="shared" si="8"/>
        <v>#N/A</v>
      </c>
      <c r="W109" s="149" t="e">
        <f t="shared" si="8"/>
        <v>#N/A</v>
      </c>
      <c r="X109" s="149" t="e">
        <f t="shared" si="8"/>
        <v>#N/A</v>
      </c>
      <c r="Y109" s="149" t="e">
        <f t="shared" si="8"/>
        <v>#N/A</v>
      </c>
      <c r="Z109" s="149" t="e">
        <f t="shared" si="8"/>
        <v>#N/A</v>
      </c>
      <c r="AA109" s="149" t="e">
        <f t="shared" si="8"/>
        <v>#N/A</v>
      </c>
      <c r="AB109" s="149" t="e">
        <f t="shared" si="8"/>
        <v>#N/A</v>
      </c>
      <c r="AC109" s="149" t="e">
        <f t="shared" si="8"/>
        <v>#N/A</v>
      </c>
      <c r="AD109" s="149" t="e">
        <f t="shared" si="8"/>
        <v>#N/A</v>
      </c>
    </row>
    <row r="110" spans="1:30">
      <c r="A110" s="160" t="s">
        <v>270</v>
      </c>
      <c r="B110" s="41" t="s">
        <v>536</v>
      </c>
      <c r="C110" s="41" t="s">
        <v>699</v>
      </c>
      <c r="D110" s="94">
        <v>4150</v>
      </c>
      <c r="E110" s="148">
        <v>6.0000000000000001E-3</v>
      </c>
      <c r="F110" s="41" t="s">
        <v>749</v>
      </c>
      <c r="L110" s="41"/>
      <c r="N110" s="99"/>
      <c r="O110" s="99"/>
      <c r="P110" s="99"/>
      <c r="R110" s="148">
        <f t="shared" si="7"/>
        <v>-2.9000000000000001E-2</v>
      </c>
      <c r="S110" s="149" t="e">
        <f t="shared" si="6"/>
        <v>#N/A</v>
      </c>
      <c r="T110" s="149" t="e">
        <f t="shared" si="8"/>
        <v>#N/A</v>
      </c>
      <c r="U110" s="149" t="e">
        <f t="shared" si="8"/>
        <v>#N/A</v>
      </c>
      <c r="V110" s="149" t="e">
        <f t="shared" si="8"/>
        <v>#N/A</v>
      </c>
      <c r="W110" s="149" t="e">
        <f t="shared" si="8"/>
        <v>#N/A</v>
      </c>
      <c r="X110" s="149" t="e">
        <f t="shared" si="8"/>
        <v>#N/A</v>
      </c>
      <c r="Y110" s="149" t="e">
        <f t="shared" si="8"/>
        <v>#N/A</v>
      </c>
      <c r="Z110" s="149" t="e">
        <f t="shared" si="8"/>
        <v>#N/A</v>
      </c>
      <c r="AA110" s="149" t="e">
        <f t="shared" si="8"/>
        <v>#N/A</v>
      </c>
      <c r="AB110" s="149" t="e">
        <f t="shared" si="8"/>
        <v>#N/A</v>
      </c>
      <c r="AC110" s="149" t="e">
        <f t="shared" si="8"/>
        <v>#N/A</v>
      </c>
      <c r="AD110" s="149" t="e">
        <f t="shared" si="8"/>
        <v>#N/A</v>
      </c>
    </row>
    <row r="111" spans="1:30">
      <c r="A111" s="160" t="s">
        <v>271</v>
      </c>
      <c r="B111" s="41" t="s">
        <v>537</v>
      </c>
      <c r="C111" s="41" t="s">
        <v>699</v>
      </c>
      <c r="D111" s="94">
        <v>4200</v>
      </c>
      <c r="E111" s="148">
        <v>1.8000000000000002E-2</v>
      </c>
      <c r="F111" s="41" t="s">
        <v>750</v>
      </c>
      <c r="L111" s="41"/>
      <c r="N111" s="99"/>
      <c r="O111" s="99"/>
      <c r="P111" s="99"/>
      <c r="R111" s="148">
        <f t="shared" si="7"/>
        <v>-2.8000000000000001E-2</v>
      </c>
      <c r="S111" s="149" t="e">
        <f t="shared" si="6"/>
        <v>#N/A</v>
      </c>
      <c r="T111" s="149" t="e">
        <f t="shared" si="8"/>
        <v>#N/A</v>
      </c>
      <c r="U111" s="149" t="e">
        <f t="shared" si="8"/>
        <v>#N/A</v>
      </c>
      <c r="V111" s="149" t="e">
        <f t="shared" si="8"/>
        <v>#N/A</v>
      </c>
      <c r="W111" s="149" t="e">
        <f t="shared" si="8"/>
        <v>#N/A</v>
      </c>
      <c r="X111" s="149" t="e">
        <f t="shared" si="8"/>
        <v>#N/A</v>
      </c>
      <c r="Y111" s="149" t="e">
        <f t="shared" si="8"/>
        <v>#N/A</v>
      </c>
      <c r="Z111" s="149" t="e">
        <f t="shared" si="8"/>
        <v>#N/A</v>
      </c>
      <c r="AA111" s="149" t="e">
        <f t="shared" si="8"/>
        <v>#N/A</v>
      </c>
      <c r="AB111" s="149" t="e">
        <f t="shared" si="8"/>
        <v>#N/A</v>
      </c>
      <c r="AC111" s="149" t="e">
        <f t="shared" si="8"/>
        <v>#N/A</v>
      </c>
      <c r="AD111" s="149" t="e">
        <f t="shared" si="8"/>
        <v>#N/A</v>
      </c>
    </row>
    <row r="112" spans="1:30">
      <c r="A112" s="160" t="s">
        <v>272</v>
      </c>
      <c r="B112" s="41" t="s">
        <v>538</v>
      </c>
      <c r="C112" s="41" t="s">
        <v>699</v>
      </c>
      <c r="D112" s="94">
        <v>4250</v>
      </c>
      <c r="E112" s="148">
        <v>0.03</v>
      </c>
      <c r="F112" s="41" t="s">
        <v>1118</v>
      </c>
      <c r="L112" s="41"/>
      <c r="N112" s="99"/>
      <c r="O112" s="99"/>
      <c r="P112" s="99"/>
      <c r="R112" s="148">
        <f t="shared" si="7"/>
        <v>-2.7E-2</v>
      </c>
      <c r="S112" s="149" t="e">
        <f t="shared" si="6"/>
        <v>#N/A</v>
      </c>
      <c r="T112" s="149" t="e">
        <f t="shared" si="8"/>
        <v>#N/A</v>
      </c>
      <c r="U112" s="149" t="e">
        <f t="shared" si="8"/>
        <v>#N/A</v>
      </c>
      <c r="V112" s="149" t="e">
        <f t="shared" si="8"/>
        <v>#N/A</v>
      </c>
      <c r="W112" s="149" t="e">
        <f t="shared" si="8"/>
        <v>#N/A</v>
      </c>
      <c r="X112" s="149" t="e">
        <f t="shared" si="8"/>
        <v>#N/A</v>
      </c>
      <c r="Y112" s="149" t="e">
        <f t="shared" si="8"/>
        <v>#N/A</v>
      </c>
      <c r="Z112" s="149" t="e">
        <f t="shared" ref="T112:AD135" si="9">IF(VLOOKUP(Z$8&amp;"@"&amp;$R112,$F:$Q,$R$7,0)=0,NA(),VLOOKUP(Z$8&amp;"@"&amp;$R112,$F:$Q,$R$7,0))</f>
        <v>#N/A</v>
      </c>
      <c r="AA112" s="149" t="e">
        <f t="shared" si="9"/>
        <v>#N/A</v>
      </c>
      <c r="AB112" s="149" t="e">
        <f t="shared" si="9"/>
        <v>#N/A</v>
      </c>
      <c r="AC112" s="149" t="e">
        <f t="shared" si="9"/>
        <v>#N/A</v>
      </c>
      <c r="AD112" s="149" t="e">
        <f t="shared" si="9"/>
        <v>#N/A</v>
      </c>
    </row>
    <row r="113" spans="1:30">
      <c r="A113" s="160" t="s">
        <v>273</v>
      </c>
      <c r="B113" s="41" t="s">
        <v>539</v>
      </c>
      <c r="C113" s="41" t="s">
        <v>699</v>
      </c>
      <c r="D113" s="94">
        <v>4300</v>
      </c>
      <c r="E113" s="148">
        <v>4.2000000000000003E-2</v>
      </c>
      <c r="F113" s="41" t="s">
        <v>1119</v>
      </c>
      <c r="L113" s="41"/>
      <c r="N113" s="99"/>
      <c r="O113" s="99"/>
      <c r="P113" s="99"/>
      <c r="R113" s="148">
        <f t="shared" si="7"/>
        <v>-2.5999999999999999E-2</v>
      </c>
      <c r="S113" s="149" t="e">
        <f t="shared" si="6"/>
        <v>#N/A</v>
      </c>
      <c r="T113" s="149" t="e">
        <f t="shared" si="9"/>
        <v>#N/A</v>
      </c>
      <c r="U113" s="149" t="e">
        <f t="shared" si="9"/>
        <v>#N/A</v>
      </c>
      <c r="V113" s="149" t="e">
        <f t="shared" si="9"/>
        <v>#N/A</v>
      </c>
      <c r="W113" s="149" t="e">
        <f t="shared" si="9"/>
        <v>#N/A</v>
      </c>
      <c r="X113" s="149" t="e">
        <f t="shared" si="9"/>
        <v>#N/A</v>
      </c>
      <c r="Y113" s="149" t="e">
        <f t="shared" si="9"/>
        <v>#N/A</v>
      </c>
      <c r="Z113" s="149" t="e">
        <f t="shared" si="9"/>
        <v>#N/A</v>
      </c>
      <c r="AA113" s="149" t="e">
        <f t="shared" si="9"/>
        <v>#N/A</v>
      </c>
      <c r="AB113" s="149" t="e">
        <f t="shared" si="9"/>
        <v>#N/A</v>
      </c>
      <c r="AC113" s="149" t="e">
        <f t="shared" si="9"/>
        <v>#N/A</v>
      </c>
      <c r="AD113" s="149" t="e">
        <f t="shared" si="9"/>
        <v>#N/A</v>
      </c>
    </row>
    <row r="114" spans="1:30">
      <c r="A114" s="160" t="s">
        <v>274</v>
      </c>
      <c r="B114" s="41" t="s">
        <v>540</v>
      </c>
      <c r="C114" s="41" t="s">
        <v>699</v>
      </c>
      <c r="D114" s="94">
        <v>4350</v>
      </c>
      <c r="E114" s="148">
        <v>5.4000000000000006E-2</v>
      </c>
      <c r="F114" s="41" t="s">
        <v>1120</v>
      </c>
      <c r="L114" s="41"/>
      <c r="N114" s="99"/>
      <c r="O114" s="99"/>
      <c r="P114" s="99"/>
      <c r="R114" s="148">
        <f t="shared" si="7"/>
        <v>-2.5000000000000001E-2</v>
      </c>
      <c r="S114" s="149" t="e">
        <f t="shared" si="6"/>
        <v>#N/A</v>
      </c>
      <c r="T114" s="149" t="e">
        <f t="shared" si="9"/>
        <v>#N/A</v>
      </c>
      <c r="U114" s="149" t="e">
        <f t="shared" si="9"/>
        <v>#N/A</v>
      </c>
      <c r="V114" s="149" t="e">
        <f t="shared" si="9"/>
        <v>#N/A</v>
      </c>
      <c r="W114" s="149" t="e">
        <f t="shared" si="9"/>
        <v>#N/A</v>
      </c>
      <c r="X114" s="149" t="e">
        <f t="shared" si="9"/>
        <v>#N/A</v>
      </c>
      <c r="Y114" s="149" t="e">
        <f t="shared" si="9"/>
        <v>#N/A</v>
      </c>
      <c r="Z114" s="149" t="e">
        <f t="shared" si="9"/>
        <v>#N/A</v>
      </c>
      <c r="AA114" s="149" t="e">
        <f t="shared" si="9"/>
        <v>#N/A</v>
      </c>
      <c r="AB114" s="149" t="e">
        <f t="shared" si="9"/>
        <v>#N/A</v>
      </c>
      <c r="AC114" s="149" t="e">
        <f t="shared" si="9"/>
        <v>#N/A</v>
      </c>
      <c r="AD114" s="149" t="e">
        <f t="shared" si="9"/>
        <v>#N/A</v>
      </c>
    </row>
    <row r="115" spans="1:30">
      <c r="A115" s="160" t="s">
        <v>275</v>
      </c>
      <c r="B115" s="41" t="s">
        <v>541</v>
      </c>
      <c r="C115" s="41" t="s">
        <v>699</v>
      </c>
      <c r="D115" s="94">
        <v>4400</v>
      </c>
      <c r="E115" s="148">
        <v>6.6000000000000003E-2</v>
      </c>
      <c r="F115" s="41" t="s">
        <v>1121</v>
      </c>
      <c r="L115" s="41"/>
      <c r="N115" s="99"/>
      <c r="O115" s="99"/>
      <c r="P115" s="99"/>
      <c r="R115" s="148">
        <f t="shared" si="7"/>
        <v>-2.4E-2</v>
      </c>
      <c r="S115" s="149" t="e">
        <f t="shared" si="6"/>
        <v>#N/A</v>
      </c>
      <c r="T115" s="149" t="e">
        <f t="shared" si="9"/>
        <v>#N/A</v>
      </c>
      <c r="U115" s="149" t="e">
        <f t="shared" si="9"/>
        <v>#N/A</v>
      </c>
      <c r="V115" s="149" t="e">
        <f t="shared" si="9"/>
        <v>#N/A</v>
      </c>
      <c r="W115" s="149" t="e">
        <f t="shared" si="9"/>
        <v>#N/A</v>
      </c>
      <c r="X115" s="149" t="e">
        <f t="shared" si="9"/>
        <v>#N/A</v>
      </c>
      <c r="Y115" s="149" t="e">
        <f t="shared" si="9"/>
        <v>#N/A</v>
      </c>
      <c r="Z115" s="149" t="e">
        <f t="shared" si="9"/>
        <v>#N/A</v>
      </c>
      <c r="AA115" s="149" t="e">
        <f t="shared" si="9"/>
        <v>#N/A</v>
      </c>
      <c r="AB115" s="149" t="e">
        <f t="shared" si="9"/>
        <v>#N/A</v>
      </c>
      <c r="AC115" s="149" t="e">
        <f t="shared" si="9"/>
        <v>#N/A</v>
      </c>
      <c r="AD115" s="149" t="e">
        <f t="shared" si="9"/>
        <v>#N/A</v>
      </c>
    </row>
    <row r="116" spans="1:30">
      <c r="A116" s="160" t="s">
        <v>276</v>
      </c>
      <c r="B116" s="41" t="s">
        <v>542</v>
      </c>
      <c r="C116" s="41" t="s">
        <v>699</v>
      </c>
      <c r="D116" s="94">
        <v>4450</v>
      </c>
      <c r="E116" s="148">
        <v>7.9000000000000001E-2</v>
      </c>
      <c r="F116" s="41" t="s">
        <v>1122</v>
      </c>
      <c r="L116" s="41"/>
      <c r="N116" s="99"/>
      <c r="O116" s="99"/>
      <c r="P116" s="99"/>
      <c r="R116" s="148">
        <f t="shared" si="7"/>
        <v>-2.3E-2</v>
      </c>
      <c r="S116" s="149" t="e">
        <f t="shared" si="6"/>
        <v>#N/A</v>
      </c>
      <c r="T116" s="149" t="e">
        <f t="shared" si="9"/>
        <v>#N/A</v>
      </c>
      <c r="U116" s="149" t="e">
        <f t="shared" si="9"/>
        <v>#N/A</v>
      </c>
      <c r="V116" s="149" t="e">
        <f t="shared" si="9"/>
        <v>#N/A</v>
      </c>
      <c r="W116" s="149" t="e">
        <f t="shared" si="9"/>
        <v>#N/A</v>
      </c>
      <c r="X116" s="149" t="e">
        <f t="shared" si="9"/>
        <v>#N/A</v>
      </c>
      <c r="Y116" s="149" t="e">
        <f t="shared" si="9"/>
        <v>#N/A</v>
      </c>
      <c r="Z116" s="149" t="e">
        <f t="shared" si="9"/>
        <v>#N/A</v>
      </c>
      <c r="AA116" s="149" t="e">
        <f t="shared" si="9"/>
        <v>#N/A</v>
      </c>
      <c r="AB116" s="149" t="e">
        <f t="shared" si="9"/>
        <v>#N/A</v>
      </c>
      <c r="AC116" s="149" t="e">
        <f t="shared" si="9"/>
        <v>#N/A</v>
      </c>
      <c r="AD116" s="149" t="e">
        <f t="shared" si="9"/>
        <v>#N/A</v>
      </c>
    </row>
    <row r="117" spans="1:30">
      <c r="A117" s="160" t="s">
        <v>819</v>
      </c>
      <c r="B117" s="41" t="s">
        <v>1123</v>
      </c>
      <c r="C117" s="41" t="s">
        <v>699</v>
      </c>
      <c r="D117" s="94">
        <v>4500</v>
      </c>
      <c r="E117" s="148">
        <v>9.0999999999999998E-2</v>
      </c>
      <c r="F117" s="41" t="s">
        <v>1124</v>
      </c>
      <c r="L117" s="41"/>
      <c r="N117" s="99"/>
      <c r="O117" s="99"/>
      <c r="P117" s="99"/>
      <c r="R117" s="148">
        <f t="shared" si="7"/>
        <v>-2.1999999999999999E-2</v>
      </c>
      <c r="S117" s="149" t="e">
        <f t="shared" si="6"/>
        <v>#N/A</v>
      </c>
      <c r="T117" s="149" t="e">
        <f t="shared" si="9"/>
        <v>#N/A</v>
      </c>
      <c r="U117" s="149" t="e">
        <f t="shared" si="9"/>
        <v>#N/A</v>
      </c>
      <c r="V117" s="149" t="e">
        <f t="shared" si="9"/>
        <v>#N/A</v>
      </c>
      <c r="W117" s="149" t="e">
        <f t="shared" si="9"/>
        <v>#N/A</v>
      </c>
      <c r="X117" s="149" t="e">
        <f t="shared" si="9"/>
        <v>#N/A</v>
      </c>
      <c r="Y117" s="149" t="e">
        <f t="shared" si="9"/>
        <v>#N/A</v>
      </c>
      <c r="Z117" s="149" t="e">
        <f t="shared" si="9"/>
        <v>#N/A</v>
      </c>
      <c r="AA117" s="149" t="e">
        <f t="shared" si="9"/>
        <v>#N/A</v>
      </c>
      <c r="AB117" s="149" t="e">
        <f t="shared" si="9"/>
        <v>#N/A</v>
      </c>
      <c r="AC117" s="149" t="e">
        <f t="shared" si="9"/>
        <v>#N/A</v>
      </c>
      <c r="AD117" s="149" t="e">
        <f t="shared" si="9"/>
        <v>#N/A</v>
      </c>
    </row>
    <row r="118" spans="1:30">
      <c r="A118" s="160" t="s">
        <v>820</v>
      </c>
      <c r="B118" s="41" t="s">
        <v>1125</v>
      </c>
      <c r="C118" s="41" t="s">
        <v>699</v>
      </c>
      <c r="D118" s="94">
        <v>4550</v>
      </c>
      <c r="E118" s="148">
        <v>0.10300000000000001</v>
      </c>
      <c r="F118" s="41" t="s">
        <v>1126</v>
      </c>
      <c r="L118" s="41"/>
      <c r="N118" s="99"/>
      <c r="O118" s="99"/>
      <c r="P118" s="99"/>
      <c r="R118" s="148">
        <f t="shared" si="7"/>
        <v>-2.1000000000000001E-2</v>
      </c>
      <c r="S118" s="149" t="e">
        <f t="shared" si="6"/>
        <v>#N/A</v>
      </c>
      <c r="T118" s="149" t="e">
        <f t="shared" si="9"/>
        <v>#N/A</v>
      </c>
      <c r="U118" s="149" t="e">
        <f t="shared" si="9"/>
        <v>#N/A</v>
      </c>
      <c r="V118" s="149" t="e">
        <f t="shared" si="9"/>
        <v>#N/A</v>
      </c>
      <c r="W118" s="149" t="e">
        <f t="shared" si="9"/>
        <v>#N/A</v>
      </c>
      <c r="X118" s="149" t="e">
        <f t="shared" si="9"/>
        <v>#N/A</v>
      </c>
      <c r="Y118" s="149" t="e">
        <f t="shared" si="9"/>
        <v>#N/A</v>
      </c>
      <c r="Z118" s="149" t="e">
        <f t="shared" si="9"/>
        <v>#N/A</v>
      </c>
      <c r="AA118" s="149" t="e">
        <f t="shared" si="9"/>
        <v>#N/A</v>
      </c>
      <c r="AB118" s="149" t="e">
        <f t="shared" si="9"/>
        <v>#N/A</v>
      </c>
      <c r="AC118" s="149" t="e">
        <f t="shared" si="9"/>
        <v>#N/A</v>
      </c>
      <c r="AD118" s="149" t="e">
        <f t="shared" si="9"/>
        <v>#N/A</v>
      </c>
    </row>
    <row r="119" spans="1:30">
      <c r="A119" s="160" t="s">
        <v>821</v>
      </c>
      <c r="B119" s="41" t="s">
        <v>1127</v>
      </c>
      <c r="C119" s="41" t="s">
        <v>699</v>
      </c>
      <c r="D119" s="94">
        <v>4600</v>
      </c>
      <c r="E119" s="148">
        <v>0.115</v>
      </c>
      <c r="F119" s="41" t="s">
        <v>1128</v>
      </c>
      <c r="L119" s="41"/>
      <c r="N119" s="99"/>
      <c r="O119" s="99"/>
      <c r="P119" s="99"/>
      <c r="R119" s="148">
        <f t="shared" si="7"/>
        <v>-0.02</v>
      </c>
      <c r="S119" s="149" t="e">
        <f t="shared" si="6"/>
        <v>#N/A</v>
      </c>
      <c r="T119" s="149" t="e">
        <f t="shared" si="9"/>
        <v>#N/A</v>
      </c>
      <c r="U119" s="149" t="e">
        <f t="shared" si="9"/>
        <v>#N/A</v>
      </c>
      <c r="V119" s="149" t="e">
        <f t="shared" si="9"/>
        <v>#N/A</v>
      </c>
      <c r="W119" s="149" t="e">
        <f t="shared" si="9"/>
        <v>#N/A</v>
      </c>
      <c r="X119" s="149" t="e">
        <f t="shared" si="9"/>
        <v>#N/A</v>
      </c>
      <c r="Y119" s="149" t="e">
        <f t="shared" si="9"/>
        <v>#N/A</v>
      </c>
      <c r="Z119" s="149" t="e">
        <f t="shared" si="9"/>
        <v>#N/A</v>
      </c>
      <c r="AA119" s="149" t="e">
        <f t="shared" si="9"/>
        <v>#N/A</v>
      </c>
      <c r="AB119" s="149" t="e">
        <f t="shared" si="9"/>
        <v>#N/A</v>
      </c>
      <c r="AC119" s="149" t="e">
        <f t="shared" si="9"/>
        <v>#N/A</v>
      </c>
      <c r="AD119" s="149" t="e">
        <f t="shared" si="9"/>
        <v>#N/A</v>
      </c>
    </row>
    <row r="120" spans="1:30">
      <c r="A120" s="160" t="s">
        <v>822</v>
      </c>
      <c r="B120" s="41" t="s">
        <v>1129</v>
      </c>
      <c r="C120" s="41" t="s">
        <v>699</v>
      </c>
      <c r="D120" s="94">
        <v>4650</v>
      </c>
      <c r="E120" s="148">
        <v>0.127</v>
      </c>
      <c r="F120" s="41" t="s">
        <v>1130</v>
      </c>
      <c r="L120" s="41"/>
      <c r="N120" s="99"/>
      <c r="O120" s="99"/>
      <c r="P120" s="99"/>
      <c r="R120" s="148">
        <f t="shared" si="7"/>
        <v>-1.9E-2</v>
      </c>
      <c r="S120" s="149" t="e">
        <f t="shared" si="6"/>
        <v>#N/A</v>
      </c>
      <c r="T120" s="149" t="e">
        <f t="shared" si="9"/>
        <v>#N/A</v>
      </c>
      <c r="U120" s="149" t="e">
        <f t="shared" si="9"/>
        <v>#N/A</v>
      </c>
      <c r="V120" s="149" t="e">
        <f t="shared" si="9"/>
        <v>#N/A</v>
      </c>
      <c r="W120" s="149" t="e">
        <f t="shared" si="9"/>
        <v>#N/A</v>
      </c>
      <c r="X120" s="149" t="e">
        <f t="shared" si="9"/>
        <v>#N/A</v>
      </c>
      <c r="Y120" s="149" t="e">
        <f t="shared" si="9"/>
        <v>#N/A</v>
      </c>
      <c r="Z120" s="149" t="e">
        <f t="shared" si="9"/>
        <v>#N/A</v>
      </c>
      <c r="AA120" s="149" t="e">
        <f t="shared" si="9"/>
        <v>#N/A</v>
      </c>
      <c r="AB120" s="149" t="e">
        <f t="shared" si="9"/>
        <v>#N/A</v>
      </c>
      <c r="AC120" s="149" t="e">
        <f t="shared" si="9"/>
        <v>#N/A</v>
      </c>
      <c r="AD120" s="149" t="e">
        <f t="shared" si="9"/>
        <v>#N/A</v>
      </c>
    </row>
    <row r="121" spans="1:30">
      <c r="A121" s="160" t="s">
        <v>823</v>
      </c>
      <c r="B121" s="41" t="s">
        <v>1131</v>
      </c>
      <c r="C121" s="41" t="s">
        <v>1132</v>
      </c>
      <c r="D121" s="94">
        <v>3700</v>
      </c>
      <c r="E121" s="148">
        <v>-0.10300000000000001</v>
      </c>
      <c r="F121" s="41" t="s">
        <v>1133</v>
      </c>
      <c r="L121" s="41"/>
      <c r="N121" s="99"/>
      <c r="O121" s="99"/>
      <c r="P121" s="99"/>
      <c r="R121" s="148">
        <f t="shared" si="7"/>
        <v>-1.7999999999999999E-2</v>
      </c>
      <c r="S121" s="149" t="e">
        <f t="shared" si="6"/>
        <v>#N/A</v>
      </c>
      <c r="T121" s="149" t="e">
        <f t="shared" si="9"/>
        <v>#N/A</v>
      </c>
      <c r="U121" s="149" t="e">
        <f t="shared" si="9"/>
        <v>#N/A</v>
      </c>
      <c r="V121" s="149" t="e">
        <f t="shared" si="9"/>
        <v>#N/A</v>
      </c>
      <c r="W121" s="149" t="e">
        <f t="shared" si="9"/>
        <v>#N/A</v>
      </c>
      <c r="X121" s="149" t="e">
        <f t="shared" si="9"/>
        <v>#N/A</v>
      </c>
      <c r="Y121" s="149" t="e">
        <f t="shared" si="9"/>
        <v>#N/A</v>
      </c>
      <c r="Z121" s="149" t="e">
        <f t="shared" si="9"/>
        <v>#N/A</v>
      </c>
      <c r="AA121" s="149" t="e">
        <f t="shared" si="9"/>
        <v>#N/A</v>
      </c>
      <c r="AB121" s="149" t="e">
        <f t="shared" si="9"/>
        <v>#N/A</v>
      </c>
      <c r="AC121" s="149" t="e">
        <f t="shared" si="9"/>
        <v>#N/A</v>
      </c>
      <c r="AD121" s="149" t="e">
        <f t="shared" si="9"/>
        <v>#N/A</v>
      </c>
    </row>
    <row r="122" spans="1:30">
      <c r="A122" s="160" t="s">
        <v>824</v>
      </c>
      <c r="B122" s="41" t="s">
        <v>1134</v>
      </c>
      <c r="C122" s="41" t="s">
        <v>1132</v>
      </c>
      <c r="D122" s="94">
        <v>3750</v>
      </c>
      <c r="E122" s="148">
        <v>-9.0999999999999998E-2</v>
      </c>
      <c r="F122" s="41" t="s">
        <v>1135</v>
      </c>
      <c r="L122" s="41"/>
      <c r="N122" s="99"/>
      <c r="O122" s="99"/>
      <c r="P122" s="99"/>
      <c r="R122" s="148">
        <f t="shared" si="7"/>
        <v>-1.7000000000000001E-2</v>
      </c>
      <c r="S122" s="149" t="e">
        <f t="shared" si="6"/>
        <v>#N/A</v>
      </c>
      <c r="T122" s="149" t="e">
        <f t="shared" si="9"/>
        <v>#N/A</v>
      </c>
      <c r="U122" s="149" t="e">
        <f t="shared" si="9"/>
        <v>#N/A</v>
      </c>
      <c r="V122" s="149" t="e">
        <f t="shared" si="9"/>
        <v>#N/A</v>
      </c>
      <c r="W122" s="149" t="e">
        <f t="shared" si="9"/>
        <v>#N/A</v>
      </c>
      <c r="X122" s="149" t="e">
        <f t="shared" si="9"/>
        <v>#N/A</v>
      </c>
      <c r="Y122" s="149" t="e">
        <f t="shared" si="9"/>
        <v>#N/A</v>
      </c>
      <c r="Z122" s="149" t="e">
        <f t="shared" si="9"/>
        <v>#N/A</v>
      </c>
      <c r="AA122" s="149" t="e">
        <f t="shared" si="9"/>
        <v>#N/A</v>
      </c>
      <c r="AB122" s="149" t="e">
        <f t="shared" si="9"/>
        <v>#N/A</v>
      </c>
      <c r="AC122" s="149" t="e">
        <f t="shared" si="9"/>
        <v>#N/A</v>
      </c>
      <c r="AD122" s="149" t="e">
        <f t="shared" si="9"/>
        <v>#N/A</v>
      </c>
    </row>
    <row r="123" spans="1:30">
      <c r="A123" s="160" t="s">
        <v>825</v>
      </c>
      <c r="B123" s="41" t="s">
        <v>1136</v>
      </c>
      <c r="C123" s="41" t="s">
        <v>1132</v>
      </c>
      <c r="D123" s="94">
        <v>3800</v>
      </c>
      <c r="E123" s="148">
        <v>-7.9000000000000001E-2</v>
      </c>
      <c r="F123" s="41" t="s">
        <v>1137</v>
      </c>
      <c r="L123" s="41"/>
      <c r="N123" s="99"/>
      <c r="O123" s="99"/>
      <c r="P123" s="99"/>
      <c r="R123" s="148">
        <f t="shared" si="7"/>
        <v>-1.6E-2</v>
      </c>
      <c r="S123" s="149" t="e">
        <f t="shared" si="6"/>
        <v>#N/A</v>
      </c>
      <c r="T123" s="149" t="e">
        <f t="shared" si="9"/>
        <v>#N/A</v>
      </c>
      <c r="U123" s="149" t="e">
        <f t="shared" si="9"/>
        <v>#N/A</v>
      </c>
      <c r="V123" s="149" t="e">
        <f t="shared" si="9"/>
        <v>#N/A</v>
      </c>
      <c r="W123" s="149" t="e">
        <f t="shared" si="9"/>
        <v>#N/A</v>
      </c>
      <c r="X123" s="149" t="e">
        <f t="shared" si="9"/>
        <v>#N/A</v>
      </c>
      <c r="Y123" s="149" t="e">
        <f t="shared" si="9"/>
        <v>#N/A</v>
      </c>
      <c r="Z123" s="149" t="e">
        <f t="shared" si="9"/>
        <v>#N/A</v>
      </c>
      <c r="AA123" s="149" t="e">
        <f t="shared" si="9"/>
        <v>#N/A</v>
      </c>
      <c r="AB123" s="149" t="e">
        <f t="shared" si="9"/>
        <v>#N/A</v>
      </c>
      <c r="AC123" s="149" t="e">
        <f t="shared" si="9"/>
        <v>#N/A</v>
      </c>
      <c r="AD123" s="149" t="e">
        <f t="shared" si="9"/>
        <v>#N/A</v>
      </c>
    </row>
    <row r="124" spans="1:30">
      <c r="A124" s="160" t="s">
        <v>826</v>
      </c>
      <c r="B124" s="41" t="s">
        <v>1138</v>
      </c>
      <c r="C124" s="41" t="s">
        <v>1132</v>
      </c>
      <c r="D124" s="94">
        <v>3850</v>
      </c>
      <c r="E124" s="148">
        <v>-6.7000000000000004E-2</v>
      </c>
      <c r="F124" s="41" t="s">
        <v>1139</v>
      </c>
      <c r="L124" s="41"/>
      <c r="N124" s="99"/>
      <c r="O124" s="99"/>
      <c r="P124" s="99"/>
      <c r="R124" s="148">
        <f t="shared" si="7"/>
        <v>-1.4999999999999999E-2</v>
      </c>
      <c r="S124" s="149" t="e">
        <f t="shared" si="6"/>
        <v>#N/A</v>
      </c>
      <c r="T124" s="149" t="e">
        <f t="shared" si="9"/>
        <v>#N/A</v>
      </c>
      <c r="U124" s="149" t="e">
        <f t="shared" si="9"/>
        <v>#N/A</v>
      </c>
      <c r="V124" s="149" t="e">
        <f t="shared" si="9"/>
        <v>#N/A</v>
      </c>
      <c r="W124" s="149" t="e">
        <f t="shared" si="9"/>
        <v>#N/A</v>
      </c>
      <c r="X124" s="149" t="e">
        <f t="shared" si="9"/>
        <v>#N/A</v>
      </c>
      <c r="Y124" s="149" t="e">
        <f t="shared" si="9"/>
        <v>#N/A</v>
      </c>
      <c r="Z124" s="149" t="e">
        <f t="shared" si="9"/>
        <v>#N/A</v>
      </c>
      <c r="AA124" s="149" t="e">
        <f t="shared" si="9"/>
        <v>#N/A</v>
      </c>
      <c r="AB124" s="149" t="e">
        <f t="shared" si="9"/>
        <v>#N/A</v>
      </c>
      <c r="AC124" s="149" t="e">
        <f t="shared" si="9"/>
        <v>#N/A</v>
      </c>
      <c r="AD124" s="149" t="e">
        <f t="shared" si="9"/>
        <v>#N/A</v>
      </c>
    </row>
    <row r="125" spans="1:30">
      <c r="A125" s="160" t="s">
        <v>827</v>
      </c>
      <c r="B125" s="41" t="s">
        <v>1140</v>
      </c>
      <c r="C125" s="41" t="s">
        <v>1132</v>
      </c>
      <c r="D125" s="94">
        <v>3900</v>
      </c>
      <c r="E125" s="148">
        <v>-5.5E-2</v>
      </c>
      <c r="F125" s="41" t="s">
        <v>1141</v>
      </c>
      <c r="L125" s="41"/>
      <c r="N125" s="99"/>
      <c r="O125" s="99"/>
      <c r="P125" s="99"/>
      <c r="R125" s="148">
        <f t="shared" si="7"/>
        <v>-1.4E-2</v>
      </c>
      <c r="S125" s="149" t="e">
        <f t="shared" si="6"/>
        <v>#N/A</v>
      </c>
      <c r="T125" s="149" t="e">
        <f t="shared" si="9"/>
        <v>#N/A</v>
      </c>
      <c r="U125" s="149" t="e">
        <f t="shared" si="9"/>
        <v>#N/A</v>
      </c>
      <c r="V125" s="149" t="e">
        <f t="shared" si="9"/>
        <v>#N/A</v>
      </c>
      <c r="W125" s="149" t="e">
        <f t="shared" si="9"/>
        <v>#N/A</v>
      </c>
      <c r="X125" s="149" t="e">
        <f t="shared" si="9"/>
        <v>#N/A</v>
      </c>
      <c r="Y125" s="149" t="e">
        <f t="shared" si="9"/>
        <v>#N/A</v>
      </c>
      <c r="Z125" s="149" t="e">
        <f t="shared" si="9"/>
        <v>#N/A</v>
      </c>
      <c r="AA125" s="149" t="e">
        <f t="shared" si="9"/>
        <v>#N/A</v>
      </c>
      <c r="AB125" s="149" t="e">
        <f t="shared" si="9"/>
        <v>#N/A</v>
      </c>
      <c r="AC125" s="149" t="e">
        <f t="shared" si="9"/>
        <v>#N/A</v>
      </c>
      <c r="AD125" s="149" t="e">
        <f t="shared" si="9"/>
        <v>#N/A</v>
      </c>
    </row>
    <row r="126" spans="1:30">
      <c r="A126" s="160" t="s">
        <v>828</v>
      </c>
      <c r="B126" s="41" t="s">
        <v>1142</v>
      </c>
      <c r="C126" s="41" t="s">
        <v>1132</v>
      </c>
      <c r="D126" s="94">
        <v>3950</v>
      </c>
      <c r="E126" s="148">
        <v>-4.2999999999999997E-2</v>
      </c>
      <c r="F126" s="41" t="s">
        <v>1143</v>
      </c>
      <c r="L126" s="41"/>
      <c r="N126" s="99"/>
      <c r="O126" s="99"/>
      <c r="P126" s="99"/>
      <c r="R126" s="148">
        <f t="shared" si="7"/>
        <v>-1.2999999999999999E-2</v>
      </c>
      <c r="S126" s="149" t="e">
        <f t="shared" si="6"/>
        <v>#N/A</v>
      </c>
      <c r="T126" s="149" t="e">
        <f t="shared" si="9"/>
        <v>#N/A</v>
      </c>
      <c r="U126" s="149" t="e">
        <f t="shared" si="9"/>
        <v>#N/A</v>
      </c>
      <c r="V126" s="149" t="e">
        <f t="shared" si="9"/>
        <v>#N/A</v>
      </c>
      <c r="W126" s="149" t="e">
        <f t="shared" si="9"/>
        <v>#N/A</v>
      </c>
      <c r="X126" s="149" t="e">
        <f t="shared" si="9"/>
        <v>#N/A</v>
      </c>
      <c r="Y126" s="149" t="e">
        <f t="shared" si="9"/>
        <v>#N/A</v>
      </c>
      <c r="Z126" s="149" t="e">
        <f t="shared" si="9"/>
        <v>#N/A</v>
      </c>
      <c r="AA126" s="149" t="e">
        <f t="shared" si="9"/>
        <v>#N/A</v>
      </c>
      <c r="AB126" s="149" t="e">
        <f t="shared" si="9"/>
        <v>#N/A</v>
      </c>
      <c r="AC126" s="149" t="e">
        <f t="shared" si="9"/>
        <v>#N/A</v>
      </c>
      <c r="AD126" s="149" t="e">
        <f t="shared" si="9"/>
        <v>#N/A</v>
      </c>
    </row>
    <row r="127" spans="1:30">
      <c r="A127" s="160" t="s">
        <v>829</v>
      </c>
      <c r="B127" s="41" t="s">
        <v>1144</v>
      </c>
      <c r="C127" s="41" t="s">
        <v>1132</v>
      </c>
      <c r="D127" s="94">
        <v>4000</v>
      </c>
      <c r="E127" s="148">
        <v>-3.1E-2</v>
      </c>
      <c r="F127" s="41" t="s">
        <v>1145</v>
      </c>
      <c r="L127" s="41"/>
      <c r="N127" s="99"/>
      <c r="O127" s="99"/>
      <c r="P127" s="99"/>
      <c r="R127" s="148">
        <f t="shared" si="7"/>
        <v>-1.2E-2</v>
      </c>
      <c r="S127" s="149" t="e">
        <f t="shared" si="6"/>
        <v>#N/A</v>
      </c>
      <c r="T127" s="149" t="e">
        <f t="shared" si="9"/>
        <v>#N/A</v>
      </c>
      <c r="U127" s="149" t="e">
        <f t="shared" si="9"/>
        <v>#N/A</v>
      </c>
      <c r="V127" s="149" t="e">
        <f t="shared" si="9"/>
        <v>#N/A</v>
      </c>
      <c r="W127" s="149" t="e">
        <f t="shared" si="9"/>
        <v>#N/A</v>
      </c>
      <c r="X127" s="149" t="e">
        <f t="shared" si="9"/>
        <v>#N/A</v>
      </c>
      <c r="Y127" s="149" t="e">
        <f t="shared" si="9"/>
        <v>#N/A</v>
      </c>
      <c r="Z127" s="149" t="e">
        <f t="shared" si="9"/>
        <v>#N/A</v>
      </c>
      <c r="AA127" s="149" t="e">
        <f t="shared" si="9"/>
        <v>#N/A</v>
      </c>
      <c r="AB127" s="149" t="e">
        <f t="shared" si="9"/>
        <v>#N/A</v>
      </c>
      <c r="AC127" s="149" t="e">
        <f t="shared" si="9"/>
        <v>#N/A</v>
      </c>
      <c r="AD127" s="149" t="e">
        <f t="shared" si="9"/>
        <v>#N/A</v>
      </c>
    </row>
    <row r="128" spans="1:30">
      <c r="A128" s="160" t="s">
        <v>830</v>
      </c>
      <c r="B128" s="41" t="s">
        <v>1146</v>
      </c>
      <c r="C128" s="41" t="s">
        <v>1132</v>
      </c>
      <c r="D128" s="94">
        <v>4050</v>
      </c>
      <c r="E128" s="148">
        <v>-1.8000000000000002E-2</v>
      </c>
      <c r="F128" s="41" t="s">
        <v>1147</v>
      </c>
      <c r="L128" s="41"/>
      <c r="N128" s="99"/>
      <c r="O128" s="99"/>
      <c r="P128" s="99"/>
      <c r="R128" s="148">
        <f t="shared" si="7"/>
        <v>-1.0999999999999999E-2</v>
      </c>
      <c r="S128" s="149" t="e">
        <f t="shared" si="6"/>
        <v>#N/A</v>
      </c>
      <c r="T128" s="149" t="e">
        <f t="shared" si="9"/>
        <v>#N/A</v>
      </c>
      <c r="U128" s="149" t="e">
        <f t="shared" si="9"/>
        <v>#N/A</v>
      </c>
      <c r="V128" s="149" t="e">
        <f t="shared" si="9"/>
        <v>#N/A</v>
      </c>
      <c r="W128" s="149" t="e">
        <f t="shared" si="9"/>
        <v>#N/A</v>
      </c>
      <c r="X128" s="149" t="e">
        <f t="shared" si="9"/>
        <v>#N/A</v>
      </c>
      <c r="Y128" s="149" t="e">
        <f t="shared" si="9"/>
        <v>#N/A</v>
      </c>
      <c r="Z128" s="149" t="e">
        <f t="shared" si="9"/>
        <v>#N/A</v>
      </c>
      <c r="AA128" s="149" t="e">
        <f t="shared" si="9"/>
        <v>#N/A</v>
      </c>
      <c r="AB128" s="149" t="e">
        <f t="shared" si="9"/>
        <v>#N/A</v>
      </c>
      <c r="AC128" s="149" t="e">
        <f t="shared" si="9"/>
        <v>#N/A</v>
      </c>
      <c r="AD128" s="149" t="e">
        <f t="shared" si="9"/>
        <v>#N/A</v>
      </c>
    </row>
    <row r="129" spans="1:30">
      <c r="A129" s="160" t="s">
        <v>831</v>
      </c>
      <c r="B129" s="41" t="s">
        <v>1148</v>
      </c>
      <c r="C129" s="41" t="s">
        <v>1132</v>
      </c>
      <c r="D129" s="94">
        <v>4100</v>
      </c>
      <c r="E129" s="148">
        <v>-6.0000000000000001E-3</v>
      </c>
      <c r="F129" s="41" t="s">
        <v>1149</v>
      </c>
      <c r="L129" s="41"/>
      <c r="N129" s="99"/>
      <c r="O129" s="99"/>
      <c r="P129" s="99"/>
      <c r="R129" s="148">
        <f t="shared" si="7"/>
        <v>-0.01</v>
      </c>
      <c r="S129" s="149" t="e">
        <f t="shared" si="6"/>
        <v>#N/A</v>
      </c>
      <c r="T129" s="149" t="e">
        <f t="shared" si="9"/>
        <v>#N/A</v>
      </c>
      <c r="U129" s="149" t="e">
        <f t="shared" si="9"/>
        <v>#N/A</v>
      </c>
      <c r="V129" s="149" t="e">
        <f t="shared" si="9"/>
        <v>#N/A</v>
      </c>
      <c r="W129" s="149" t="e">
        <f t="shared" si="9"/>
        <v>#N/A</v>
      </c>
      <c r="X129" s="149" t="e">
        <f t="shared" si="9"/>
        <v>#N/A</v>
      </c>
      <c r="Y129" s="149" t="e">
        <f t="shared" si="9"/>
        <v>#N/A</v>
      </c>
      <c r="Z129" s="149" t="e">
        <f t="shared" si="9"/>
        <v>#N/A</v>
      </c>
      <c r="AA129" s="149" t="e">
        <f t="shared" si="9"/>
        <v>#N/A</v>
      </c>
      <c r="AB129" s="149" t="e">
        <f t="shared" si="9"/>
        <v>#N/A</v>
      </c>
      <c r="AC129" s="149" t="e">
        <f t="shared" si="9"/>
        <v>#N/A</v>
      </c>
      <c r="AD129" s="149" t="e">
        <f t="shared" si="9"/>
        <v>#N/A</v>
      </c>
    </row>
    <row r="130" spans="1:30">
      <c r="A130" s="160" t="s">
        <v>832</v>
      </c>
      <c r="B130" s="41" t="s">
        <v>1150</v>
      </c>
      <c r="C130" s="41" t="s">
        <v>1132</v>
      </c>
      <c r="D130" s="94">
        <v>4150</v>
      </c>
      <c r="E130" s="148">
        <v>6.0000000000000001E-3</v>
      </c>
      <c r="F130" s="41" t="s">
        <v>1151</v>
      </c>
      <c r="L130" s="41"/>
      <c r="N130" s="99"/>
      <c r="O130" s="99"/>
      <c r="P130" s="99"/>
      <c r="R130" s="148">
        <f t="shared" si="7"/>
        <v>-8.9999999999999993E-3</v>
      </c>
      <c r="S130" s="149" t="e">
        <f t="shared" si="6"/>
        <v>#N/A</v>
      </c>
      <c r="T130" s="149" t="e">
        <f t="shared" si="9"/>
        <v>#N/A</v>
      </c>
      <c r="U130" s="149" t="e">
        <f t="shared" si="9"/>
        <v>#N/A</v>
      </c>
      <c r="V130" s="149" t="e">
        <f t="shared" si="9"/>
        <v>#N/A</v>
      </c>
      <c r="W130" s="149" t="e">
        <f t="shared" si="9"/>
        <v>#N/A</v>
      </c>
      <c r="X130" s="149" t="e">
        <f t="shared" si="9"/>
        <v>#N/A</v>
      </c>
      <c r="Y130" s="149" t="e">
        <f t="shared" si="9"/>
        <v>#N/A</v>
      </c>
      <c r="Z130" s="149" t="e">
        <f t="shared" si="9"/>
        <v>#N/A</v>
      </c>
      <c r="AA130" s="149" t="e">
        <f t="shared" si="9"/>
        <v>#N/A</v>
      </c>
      <c r="AB130" s="149" t="e">
        <f t="shared" si="9"/>
        <v>#N/A</v>
      </c>
      <c r="AC130" s="149" t="e">
        <f t="shared" si="9"/>
        <v>#N/A</v>
      </c>
      <c r="AD130" s="149" t="e">
        <f t="shared" si="9"/>
        <v>#N/A</v>
      </c>
    </row>
    <row r="131" spans="1:30">
      <c r="A131" s="160" t="s">
        <v>833</v>
      </c>
      <c r="B131" s="41" t="s">
        <v>1152</v>
      </c>
      <c r="C131" s="41" t="s">
        <v>1132</v>
      </c>
      <c r="D131" s="94">
        <v>4200</v>
      </c>
      <c r="E131" s="148">
        <v>1.8000000000000002E-2</v>
      </c>
      <c r="F131" s="41" t="s">
        <v>1153</v>
      </c>
      <c r="L131" s="41"/>
      <c r="N131" s="99"/>
      <c r="O131" s="99"/>
      <c r="P131" s="99"/>
      <c r="R131" s="148">
        <f t="shared" si="7"/>
        <v>-8.0000000000000002E-3</v>
      </c>
      <c r="S131" s="149" t="e">
        <f t="shared" ref="S131:S194" si="10">IF(VLOOKUP(S$8&amp;"@"&amp;$R131,$F:$Q,$R$7,0)=0,NA(),VLOOKUP(S$8&amp;"@"&amp;$R131,$F:$Q,$R$7,0))</f>
        <v>#N/A</v>
      </c>
      <c r="T131" s="149" t="e">
        <f t="shared" si="9"/>
        <v>#N/A</v>
      </c>
      <c r="U131" s="149" t="e">
        <f t="shared" si="9"/>
        <v>#N/A</v>
      </c>
      <c r="V131" s="149" t="e">
        <f t="shared" si="9"/>
        <v>#N/A</v>
      </c>
      <c r="W131" s="149" t="e">
        <f t="shared" si="9"/>
        <v>#N/A</v>
      </c>
      <c r="X131" s="149" t="e">
        <f t="shared" si="9"/>
        <v>#N/A</v>
      </c>
      <c r="Y131" s="149" t="e">
        <f t="shared" si="9"/>
        <v>#N/A</v>
      </c>
      <c r="Z131" s="149" t="e">
        <f t="shared" si="9"/>
        <v>#N/A</v>
      </c>
      <c r="AA131" s="149" t="e">
        <f t="shared" si="9"/>
        <v>#N/A</v>
      </c>
      <c r="AB131" s="149" t="e">
        <f t="shared" si="9"/>
        <v>#N/A</v>
      </c>
      <c r="AC131" s="149" t="e">
        <f t="shared" si="9"/>
        <v>#N/A</v>
      </c>
      <c r="AD131" s="149" t="e">
        <f t="shared" si="9"/>
        <v>#N/A</v>
      </c>
    </row>
    <row r="132" spans="1:30">
      <c r="A132" s="160" t="s">
        <v>834</v>
      </c>
      <c r="B132" s="41" t="s">
        <v>1154</v>
      </c>
      <c r="C132" s="41" t="s">
        <v>1132</v>
      </c>
      <c r="D132" s="94">
        <v>4250</v>
      </c>
      <c r="E132" s="148">
        <v>0.03</v>
      </c>
      <c r="F132" s="41" t="s">
        <v>1155</v>
      </c>
      <c r="L132" s="41"/>
      <c r="N132" s="99"/>
      <c r="O132" s="99"/>
      <c r="P132" s="99"/>
      <c r="R132" s="148">
        <f t="shared" si="7"/>
        <v>-7.0000000000000001E-3</v>
      </c>
      <c r="S132" s="149" t="e">
        <f t="shared" si="10"/>
        <v>#N/A</v>
      </c>
      <c r="T132" s="149" t="e">
        <f t="shared" si="9"/>
        <v>#N/A</v>
      </c>
      <c r="U132" s="149" t="e">
        <f t="shared" si="9"/>
        <v>#N/A</v>
      </c>
      <c r="V132" s="149" t="e">
        <f t="shared" si="9"/>
        <v>#N/A</v>
      </c>
      <c r="W132" s="149" t="e">
        <f t="shared" si="9"/>
        <v>#N/A</v>
      </c>
      <c r="X132" s="149" t="e">
        <f t="shared" si="9"/>
        <v>#N/A</v>
      </c>
      <c r="Y132" s="149" t="e">
        <f t="shared" si="9"/>
        <v>#N/A</v>
      </c>
      <c r="Z132" s="149" t="e">
        <f t="shared" si="9"/>
        <v>#N/A</v>
      </c>
      <c r="AA132" s="149" t="e">
        <f t="shared" si="9"/>
        <v>#N/A</v>
      </c>
      <c r="AB132" s="149" t="e">
        <f t="shared" si="9"/>
        <v>#N/A</v>
      </c>
      <c r="AC132" s="149" t="e">
        <f t="shared" si="9"/>
        <v>#N/A</v>
      </c>
      <c r="AD132" s="149" t="e">
        <f t="shared" si="9"/>
        <v>#N/A</v>
      </c>
    </row>
    <row r="133" spans="1:30">
      <c r="A133" s="160" t="s">
        <v>835</v>
      </c>
      <c r="B133" s="41" t="s">
        <v>1156</v>
      </c>
      <c r="C133" s="41" t="s">
        <v>1132</v>
      </c>
      <c r="D133" s="94">
        <v>4300</v>
      </c>
      <c r="E133" s="148">
        <v>4.2000000000000003E-2</v>
      </c>
      <c r="F133" s="41" t="s">
        <v>1157</v>
      </c>
      <c r="L133" s="41"/>
      <c r="N133" s="99"/>
      <c r="O133" s="99"/>
      <c r="P133" s="99"/>
      <c r="R133" s="148">
        <f t="shared" si="7"/>
        <v>-6.0000000000000001E-3</v>
      </c>
      <c r="S133" s="149" t="e">
        <f t="shared" si="10"/>
        <v>#N/A</v>
      </c>
      <c r="T133" s="149" t="e">
        <f t="shared" si="9"/>
        <v>#N/A</v>
      </c>
      <c r="U133" s="149" t="e">
        <f t="shared" si="9"/>
        <v>#N/A</v>
      </c>
      <c r="V133" s="149" t="e">
        <f t="shared" si="9"/>
        <v>#N/A</v>
      </c>
      <c r="W133" s="149" t="e">
        <f t="shared" si="9"/>
        <v>#N/A</v>
      </c>
      <c r="X133" s="149" t="e">
        <f t="shared" si="9"/>
        <v>#N/A</v>
      </c>
      <c r="Y133" s="149" t="e">
        <f t="shared" si="9"/>
        <v>#N/A</v>
      </c>
      <c r="Z133" s="149" t="e">
        <f t="shared" si="9"/>
        <v>#N/A</v>
      </c>
      <c r="AA133" s="149" t="e">
        <f t="shared" si="9"/>
        <v>#N/A</v>
      </c>
      <c r="AB133" s="149" t="e">
        <f t="shared" si="9"/>
        <v>#N/A</v>
      </c>
      <c r="AC133" s="149" t="e">
        <f t="shared" si="9"/>
        <v>#N/A</v>
      </c>
      <c r="AD133" s="149" t="e">
        <f t="shared" si="9"/>
        <v>#N/A</v>
      </c>
    </row>
    <row r="134" spans="1:30">
      <c r="A134" s="160" t="s">
        <v>836</v>
      </c>
      <c r="B134" s="41" t="s">
        <v>1158</v>
      </c>
      <c r="C134" s="41" t="s">
        <v>1132</v>
      </c>
      <c r="D134" s="94">
        <v>4350</v>
      </c>
      <c r="E134" s="148">
        <v>5.4000000000000006E-2</v>
      </c>
      <c r="F134" s="41" t="s">
        <v>1159</v>
      </c>
      <c r="L134" s="41"/>
      <c r="N134" s="99"/>
      <c r="O134" s="99"/>
      <c r="P134" s="99"/>
      <c r="R134" s="148">
        <f t="shared" si="7"/>
        <v>-5.0000000000000001E-3</v>
      </c>
      <c r="S134" s="149" t="e">
        <f t="shared" si="10"/>
        <v>#N/A</v>
      </c>
      <c r="T134" s="149" t="e">
        <f t="shared" si="9"/>
        <v>#N/A</v>
      </c>
      <c r="U134" s="149" t="e">
        <f t="shared" si="9"/>
        <v>#N/A</v>
      </c>
      <c r="V134" s="149" t="e">
        <f t="shared" si="9"/>
        <v>#N/A</v>
      </c>
      <c r="W134" s="149" t="e">
        <f t="shared" si="9"/>
        <v>#N/A</v>
      </c>
      <c r="X134" s="149" t="e">
        <f t="shared" si="9"/>
        <v>#N/A</v>
      </c>
      <c r="Y134" s="149" t="e">
        <f t="shared" si="9"/>
        <v>#N/A</v>
      </c>
      <c r="Z134" s="149" t="e">
        <f t="shared" si="9"/>
        <v>#N/A</v>
      </c>
      <c r="AA134" s="149" t="e">
        <f t="shared" si="9"/>
        <v>#N/A</v>
      </c>
      <c r="AB134" s="149" t="e">
        <f t="shared" si="9"/>
        <v>#N/A</v>
      </c>
      <c r="AC134" s="149" t="e">
        <f t="shared" si="9"/>
        <v>#N/A</v>
      </c>
      <c r="AD134" s="149" t="e">
        <f t="shared" si="9"/>
        <v>#N/A</v>
      </c>
    </row>
    <row r="135" spans="1:30">
      <c r="A135" s="160" t="s">
        <v>837</v>
      </c>
      <c r="B135" s="41" t="s">
        <v>1160</v>
      </c>
      <c r="C135" s="41" t="s">
        <v>1132</v>
      </c>
      <c r="D135" s="94">
        <v>4400</v>
      </c>
      <c r="E135" s="148">
        <v>6.6000000000000003E-2</v>
      </c>
      <c r="F135" s="41" t="s">
        <v>1161</v>
      </c>
      <c r="L135" s="41"/>
      <c r="N135" s="99"/>
      <c r="O135" s="99"/>
      <c r="P135" s="99"/>
      <c r="R135" s="148">
        <f t="shared" si="7"/>
        <v>-4.0000000000000001E-3</v>
      </c>
      <c r="S135" s="149" t="e">
        <f t="shared" si="10"/>
        <v>#N/A</v>
      </c>
      <c r="T135" s="149" t="e">
        <f t="shared" si="9"/>
        <v>#N/A</v>
      </c>
      <c r="U135" s="149" t="e">
        <f t="shared" si="9"/>
        <v>#N/A</v>
      </c>
      <c r="V135" s="149" t="e">
        <f t="shared" si="9"/>
        <v>#N/A</v>
      </c>
      <c r="W135" s="149" t="e">
        <f t="shared" si="9"/>
        <v>#N/A</v>
      </c>
      <c r="X135" s="149" t="e">
        <f t="shared" si="9"/>
        <v>#N/A</v>
      </c>
      <c r="Y135" s="149" t="e">
        <f t="shared" si="9"/>
        <v>#N/A</v>
      </c>
      <c r="Z135" s="149" t="e">
        <f t="shared" si="9"/>
        <v>#N/A</v>
      </c>
      <c r="AA135" s="149" t="e">
        <f t="shared" si="9"/>
        <v>#N/A</v>
      </c>
      <c r="AB135" s="149" t="e">
        <f t="shared" ref="T135:AD158" si="11">IF(VLOOKUP(AB$8&amp;"@"&amp;$R135,$F:$Q,$R$7,0)=0,NA(),VLOOKUP(AB$8&amp;"@"&amp;$R135,$F:$Q,$R$7,0))</f>
        <v>#N/A</v>
      </c>
      <c r="AC135" s="149" t="e">
        <f t="shared" si="11"/>
        <v>#N/A</v>
      </c>
      <c r="AD135" s="149" t="e">
        <f t="shared" si="11"/>
        <v>#N/A</v>
      </c>
    </row>
    <row r="136" spans="1:30">
      <c r="A136" s="160" t="s">
        <v>838</v>
      </c>
      <c r="B136" s="41" t="s">
        <v>1162</v>
      </c>
      <c r="C136" s="41" t="s">
        <v>1132</v>
      </c>
      <c r="D136" s="94">
        <v>4450</v>
      </c>
      <c r="E136" s="148">
        <v>7.9000000000000001E-2</v>
      </c>
      <c r="F136" s="41" t="s">
        <v>1163</v>
      </c>
      <c r="L136" s="41"/>
      <c r="N136" s="99"/>
      <c r="O136" s="99"/>
      <c r="P136" s="99"/>
      <c r="R136" s="148">
        <f t="shared" si="7"/>
        <v>-3.0000000000000001E-3</v>
      </c>
      <c r="S136" s="149" t="e">
        <f t="shared" si="10"/>
        <v>#N/A</v>
      </c>
      <c r="T136" s="149" t="e">
        <f t="shared" si="11"/>
        <v>#N/A</v>
      </c>
      <c r="U136" s="149" t="e">
        <f t="shared" si="11"/>
        <v>#N/A</v>
      </c>
      <c r="V136" s="149" t="e">
        <f t="shared" si="11"/>
        <v>#N/A</v>
      </c>
      <c r="W136" s="149" t="e">
        <f t="shared" si="11"/>
        <v>#N/A</v>
      </c>
      <c r="X136" s="149" t="e">
        <f t="shared" si="11"/>
        <v>#N/A</v>
      </c>
      <c r="Y136" s="149" t="e">
        <f t="shared" si="11"/>
        <v>#N/A</v>
      </c>
      <c r="Z136" s="149" t="e">
        <f t="shared" si="11"/>
        <v>#N/A</v>
      </c>
      <c r="AA136" s="149" t="e">
        <f t="shared" si="11"/>
        <v>#N/A</v>
      </c>
      <c r="AB136" s="149" t="e">
        <f t="shared" si="11"/>
        <v>#N/A</v>
      </c>
      <c r="AC136" s="149" t="e">
        <f t="shared" si="11"/>
        <v>#N/A</v>
      </c>
      <c r="AD136" s="149" t="e">
        <f t="shared" si="11"/>
        <v>#N/A</v>
      </c>
    </row>
    <row r="137" spans="1:30">
      <c r="A137" s="160" t="s">
        <v>839</v>
      </c>
      <c r="B137" s="41" t="s">
        <v>1164</v>
      </c>
      <c r="C137" s="41" t="s">
        <v>1132</v>
      </c>
      <c r="D137" s="94">
        <v>4500</v>
      </c>
      <c r="E137" s="148">
        <v>9.0999999999999998E-2</v>
      </c>
      <c r="F137" s="41" t="s">
        <v>1165</v>
      </c>
      <c r="L137" s="41"/>
      <c r="N137" s="99"/>
      <c r="O137" s="99"/>
      <c r="P137" s="99"/>
      <c r="R137" s="148">
        <f t="shared" si="7"/>
        <v>-2E-3</v>
      </c>
      <c r="S137" s="149" t="e">
        <f t="shared" si="10"/>
        <v>#N/A</v>
      </c>
      <c r="T137" s="149" t="e">
        <f t="shared" si="11"/>
        <v>#N/A</v>
      </c>
      <c r="U137" s="149" t="e">
        <f t="shared" si="11"/>
        <v>#N/A</v>
      </c>
      <c r="V137" s="149" t="e">
        <f t="shared" si="11"/>
        <v>#N/A</v>
      </c>
      <c r="W137" s="149" t="e">
        <f t="shared" si="11"/>
        <v>#N/A</v>
      </c>
      <c r="X137" s="149" t="e">
        <f t="shared" si="11"/>
        <v>#N/A</v>
      </c>
      <c r="Y137" s="149" t="e">
        <f t="shared" si="11"/>
        <v>#N/A</v>
      </c>
      <c r="Z137" s="149" t="e">
        <f t="shared" si="11"/>
        <v>#N/A</v>
      </c>
      <c r="AA137" s="149" t="e">
        <f t="shared" si="11"/>
        <v>#N/A</v>
      </c>
      <c r="AB137" s="149" t="e">
        <f t="shared" si="11"/>
        <v>#N/A</v>
      </c>
      <c r="AC137" s="149" t="e">
        <f t="shared" si="11"/>
        <v>#N/A</v>
      </c>
      <c r="AD137" s="149" t="e">
        <f t="shared" si="11"/>
        <v>#N/A</v>
      </c>
    </row>
    <row r="138" spans="1:30">
      <c r="A138" s="160" t="s">
        <v>840</v>
      </c>
      <c r="B138" s="41" t="s">
        <v>1166</v>
      </c>
      <c r="C138" s="41" t="s">
        <v>1132</v>
      </c>
      <c r="D138" s="94">
        <v>4550</v>
      </c>
      <c r="E138" s="148">
        <v>0.10300000000000001</v>
      </c>
      <c r="F138" s="41" t="s">
        <v>1167</v>
      </c>
      <c r="L138" s="41"/>
      <c r="N138" s="99"/>
      <c r="O138" s="99"/>
      <c r="P138" s="99"/>
      <c r="R138" s="148">
        <f t="shared" si="7"/>
        <v>-1E-3</v>
      </c>
      <c r="S138" s="149" t="e">
        <f t="shared" si="10"/>
        <v>#N/A</v>
      </c>
      <c r="T138" s="149" t="e">
        <f t="shared" si="11"/>
        <v>#N/A</v>
      </c>
      <c r="U138" s="149" t="e">
        <f t="shared" si="11"/>
        <v>#N/A</v>
      </c>
      <c r="V138" s="149" t="e">
        <f t="shared" si="11"/>
        <v>#N/A</v>
      </c>
      <c r="W138" s="149" t="e">
        <f t="shared" si="11"/>
        <v>#N/A</v>
      </c>
      <c r="X138" s="149" t="e">
        <f t="shared" si="11"/>
        <v>#N/A</v>
      </c>
      <c r="Y138" s="149" t="e">
        <f t="shared" si="11"/>
        <v>#N/A</v>
      </c>
      <c r="Z138" s="149" t="e">
        <f t="shared" si="11"/>
        <v>#N/A</v>
      </c>
      <c r="AA138" s="149" t="e">
        <f t="shared" si="11"/>
        <v>#N/A</v>
      </c>
      <c r="AB138" s="149" t="e">
        <f t="shared" si="11"/>
        <v>#N/A</v>
      </c>
      <c r="AC138" s="149" t="e">
        <f t="shared" si="11"/>
        <v>#N/A</v>
      </c>
      <c r="AD138" s="149" t="e">
        <f t="shared" si="11"/>
        <v>#N/A</v>
      </c>
    </row>
    <row r="139" spans="1:30">
      <c r="A139" s="160" t="s">
        <v>841</v>
      </c>
      <c r="B139" s="41" t="s">
        <v>1168</v>
      </c>
      <c r="C139" s="41" t="s">
        <v>1132</v>
      </c>
      <c r="D139" s="94">
        <v>4600</v>
      </c>
      <c r="E139" s="148">
        <v>0.115</v>
      </c>
      <c r="F139" s="41" t="s">
        <v>1169</v>
      </c>
      <c r="L139" s="41"/>
      <c r="N139" s="99"/>
      <c r="O139" s="99"/>
      <c r="P139" s="99"/>
      <c r="R139" s="148">
        <f t="shared" si="7"/>
        <v>0</v>
      </c>
      <c r="S139" s="149" t="e">
        <f t="shared" si="10"/>
        <v>#N/A</v>
      </c>
      <c r="T139" s="149" t="e">
        <f t="shared" si="11"/>
        <v>#N/A</v>
      </c>
      <c r="U139" s="149" t="e">
        <f t="shared" si="11"/>
        <v>#N/A</v>
      </c>
      <c r="V139" s="149" t="e">
        <f t="shared" si="11"/>
        <v>#N/A</v>
      </c>
      <c r="W139" s="149" t="e">
        <f t="shared" si="11"/>
        <v>#N/A</v>
      </c>
      <c r="X139" s="149" t="e">
        <f t="shared" si="11"/>
        <v>#N/A</v>
      </c>
      <c r="Y139" s="149" t="e">
        <f t="shared" si="11"/>
        <v>#N/A</v>
      </c>
      <c r="Z139" s="149" t="e">
        <f t="shared" si="11"/>
        <v>#N/A</v>
      </c>
      <c r="AA139" s="149" t="e">
        <f t="shared" si="11"/>
        <v>#N/A</v>
      </c>
      <c r="AB139" s="149" t="e">
        <f t="shared" si="11"/>
        <v>#N/A</v>
      </c>
      <c r="AC139" s="149" t="e">
        <f t="shared" si="11"/>
        <v>#N/A</v>
      </c>
      <c r="AD139" s="149" t="e">
        <f t="shared" si="11"/>
        <v>#N/A</v>
      </c>
    </row>
    <row r="140" spans="1:30">
      <c r="A140" s="160" t="s">
        <v>842</v>
      </c>
      <c r="B140" s="41" t="s">
        <v>1170</v>
      </c>
      <c r="C140" s="41" t="s">
        <v>1171</v>
      </c>
      <c r="D140" s="94">
        <v>3700</v>
      </c>
      <c r="E140" s="148">
        <v>-0.10300000000000001</v>
      </c>
      <c r="F140" s="41" t="s">
        <v>1172</v>
      </c>
      <c r="L140" s="41"/>
      <c r="N140" s="99"/>
      <c r="O140" s="99"/>
      <c r="P140" s="99"/>
      <c r="R140" s="148">
        <f t="shared" ref="R140:R203" si="12">ROUND(R139+0.001,3)</f>
        <v>1E-3</v>
      </c>
      <c r="S140" s="149" t="e">
        <f t="shared" si="10"/>
        <v>#N/A</v>
      </c>
      <c r="T140" s="149" t="e">
        <f t="shared" si="11"/>
        <v>#N/A</v>
      </c>
      <c r="U140" s="149" t="e">
        <f t="shared" si="11"/>
        <v>#N/A</v>
      </c>
      <c r="V140" s="149" t="e">
        <f t="shared" si="11"/>
        <v>#N/A</v>
      </c>
      <c r="W140" s="149" t="e">
        <f t="shared" si="11"/>
        <v>#N/A</v>
      </c>
      <c r="X140" s="149" t="e">
        <f t="shared" si="11"/>
        <v>#N/A</v>
      </c>
      <c r="Y140" s="149" t="e">
        <f t="shared" si="11"/>
        <v>#N/A</v>
      </c>
      <c r="Z140" s="149" t="e">
        <f t="shared" si="11"/>
        <v>#N/A</v>
      </c>
      <c r="AA140" s="149" t="e">
        <f t="shared" si="11"/>
        <v>#N/A</v>
      </c>
      <c r="AB140" s="149" t="e">
        <f t="shared" si="11"/>
        <v>#N/A</v>
      </c>
      <c r="AC140" s="149" t="e">
        <f t="shared" si="11"/>
        <v>#N/A</v>
      </c>
      <c r="AD140" s="149" t="e">
        <f t="shared" si="11"/>
        <v>#N/A</v>
      </c>
    </row>
    <row r="141" spans="1:30">
      <c r="A141" s="160" t="s">
        <v>843</v>
      </c>
      <c r="B141" s="41" t="s">
        <v>1173</v>
      </c>
      <c r="C141" s="41" t="s">
        <v>1171</v>
      </c>
      <c r="D141" s="94">
        <v>3750</v>
      </c>
      <c r="E141" s="148">
        <v>-9.0999999999999998E-2</v>
      </c>
      <c r="F141" s="41" t="s">
        <v>1174</v>
      </c>
      <c r="L141" s="41"/>
      <c r="N141" s="99"/>
      <c r="O141" s="99"/>
      <c r="P141" s="99"/>
      <c r="R141" s="148">
        <f t="shared" si="12"/>
        <v>2E-3</v>
      </c>
      <c r="S141" s="149" t="e">
        <f t="shared" si="10"/>
        <v>#N/A</v>
      </c>
      <c r="T141" s="149" t="e">
        <f t="shared" si="11"/>
        <v>#N/A</v>
      </c>
      <c r="U141" s="149" t="e">
        <f t="shared" si="11"/>
        <v>#N/A</v>
      </c>
      <c r="V141" s="149" t="e">
        <f t="shared" si="11"/>
        <v>#N/A</v>
      </c>
      <c r="W141" s="149" t="e">
        <f t="shared" si="11"/>
        <v>#N/A</v>
      </c>
      <c r="X141" s="149" t="e">
        <f t="shared" si="11"/>
        <v>#N/A</v>
      </c>
      <c r="Y141" s="149" t="e">
        <f t="shared" si="11"/>
        <v>#N/A</v>
      </c>
      <c r="Z141" s="149" t="e">
        <f t="shared" si="11"/>
        <v>#N/A</v>
      </c>
      <c r="AA141" s="149" t="e">
        <f t="shared" si="11"/>
        <v>#N/A</v>
      </c>
      <c r="AB141" s="149" t="e">
        <f t="shared" si="11"/>
        <v>#N/A</v>
      </c>
      <c r="AC141" s="149" t="e">
        <f t="shared" si="11"/>
        <v>#N/A</v>
      </c>
      <c r="AD141" s="149" t="e">
        <f t="shared" si="11"/>
        <v>#N/A</v>
      </c>
    </row>
    <row r="142" spans="1:30">
      <c r="A142" s="160" t="s">
        <v>844</v>
      </c>
      <c r="B142" s="41" t="s">
        <v>1175</v>
      </c>
      <c r="C142" s="41" t="s">
        <v>1171</v>
      </c>
      <c r="D142" s="94">
        <v>3800</v>
      </c>
      <c r="E142" s="148">
        <v>-7.9000000000000001E-2</v>
      </c>
      <c r="F142" s="41" t="s">
        <v>1176</v>
      </c>
      <c r="L142" s="41"/>
      <c r="N142" s="99"/>
      <c r="O142" s="99"/>
      <c r="P142" s="99"/>
      <c r="R142" s="148">
        <f t="shared" si="12"/>
        <v>3.0000000000000001E-3</v>
      </c>
      <c r="S142" s="149" t="e">
        <f t="shared" si="10"/>
        <v>#N/A</v>
      </c>
      <c r="T142" s="149" t="e">
        <f t="shared" si="11"/>
        <v>#N/A</v>
      </c>
      <c r="U142" s="149" t="e">
        <f t="shared" si="11"/>
        <v>#N/A</v>
      </c>
      <c r="V142" s="149" t="e">
        <f t="shared" si="11"/>
        <v>#N/A</v>
      </c>
      <c r="W142" s="149" t="e">
        <f t="shared" si="11"/>
        <v>#N/A</v>
      </c>
      <c r="X142" s="149" t="e">
        <f t="shared" si="11"/>
        <v>#N/A</v>
      </c>
      <c r="Y142" s="149" t="e">
        <f t="shared" si="11"/>
        <v>#N/A</v>
      </c>
      <c r="Z142" s="149" t="e">
        <f t="shared" si="11"/>
        <v>#N/A</v>
      </c>
      <c r="AA142" s="149" t="e">
        <f t="shared" si="11"/>
        <v>#N/A</v>
      </c>
      <c r="AB142" s="149" t="e">
        <f t="shared" si="11"/>
        <v>#N/A</v>
      </c>
      <c r="AC142" s="149" t="e">
        <f t="shared" si="11"/>
        <v>#N/A</v>
      </c>
      <c r="AD142" s="149" t="e">
        <f t="shared" si="11"/>
        <v>#N/A</v>
      </c>
    </row>
    <row r="143" spans="1:30">
      <c r="A143" s="160" t="s">
        <v>845</v>
      </c>
      <c r="B143" s="41" t="s">
        <v>1177</v>
      </c>
      <c r="C143" s="41" t="s">
        <v>1171</v>
      </c>
      <c r="D143" s="94">
        <v>3850</v>
      </c>
      <c r="E143" s="148">
        <v>-6.7000000000000004E-2</v>
      </c>
      <c r="F143" s="41" t="s">
        <v>1178</v>
      </c>
      <c r="L143" s="41"/>
      <c r="N143" s="99"/>
      <c r="O143" s="99"/>
      <c r="P143" s="99"/>
      <c r="R143" s="148">
        <f t="shared" si="12"/>
        <v>4.0000000000000001E-3</v>
      </c>
      <c r="S143" s="149" t="e">
        <f t="shared" si="10"/>
        <v>#N/A</v>
      </c>
      <c r="T143" s="149" t="e">
        <f t="shared" si="11"/>
        <v>#N/A</v>
      </c>
      <c r="U143" s="149" t="e">
        <f t="shared" si="11"/>
        <v>#N/A</v>
      </c>
      <c r="V143" s="149" t="e">
        <f t="shared" si="11"/>
        <v>#N/A</v>
      </c>
      <c r="W143" s="149" t="e">
        <f t="shared" si="11"/>
        <v>#N/A</v>
      </c>
      <c r="X143" s="149" t="e">
        <f t="shared" si="11"/>
        <v>#N/A</v>
      </c>
      <c r="Y143" s="149" t="e">
        <f t="shared" si="11"/>
        <v>#N/A</v>
      </c>
      <c r="Z143" s="149" t="e">
        <f t="shared" si="11"/>
        <v>#N/A</v>
      </c>
      <c r="AA143" s="149" t="e">
        <f t="shared" si="11"/>
        <v>#N/A</v>
      </c>
      <c r="AB143" s="149" t="e">
        <f t="shared" si="11"/>
        <v>#N/A</v>
      </c>
      <c r="AC143" s="149" t="e">
        <f t="shared" si="11"/>
        <v>#N/A</v>
      </c>
      <c r="AD143" s="149" t="e">
        <f t="shared" si="11"/>
        <v>#N/A</v>
      </c>
    </row>
    <row r="144" spans="1:30">
      <c r="A144" s="160" t="s">
        <v>846</v>
      </c>
      <c r="B144" s="41" t="s">
        <v>1179</v>
      </c>
      <c r="C144" s="41" t="s">
        <v>1171</v>
      </c>
      <c r="D144" s="94">
        <v>3900</v>
      </c>
      <c r="E144" s="148">
        <v>-5.5E-2</v>
      </c>
      <c r="F144" s="41" t="s">
        <v>1180</v>
      </c>
      <c r="L144" s="41"/>
      <c r="N144" s="99"/>
      <c r="O144" s="99"/>
      <c r="P144" s="99"/>
      <c r="R144" s="148">
        <f t="shared" si="12"/>
        <v>5.0000000000000001E-3</v>
      </c>
      <c r="S144" s="149" t="e">
        <f t="shared" si="10"/>
        <v>#N/A</v>
      </c>
      <c r="T144" s="149" t="e">
        <f t="shared" si="11"/>
        <v>#N/A</v>
      </c>
      <c r="U144" s="149" t="e">
        <f t="shared" si="11"/>
        <v>#N/A</v>
      </c>
      <c r="V144" s="149" t="e">
        <f t="shared" si="11"/>
        <v>#N/A</v>
      </c>
      <c r="W144" s="149" t="e">
        <f t="shared" si="11"/>
        <v>#N/A</v>
      </c>
      <c r="X144" s="149" t="e">
        <f t="shared" si="11"/>
        <v>#N/A</v>
      </c>
      <c r="Y144" s="149" t="e">
        <f t="shared" si="11"/>
        <v>#N/A</v>
      </c>
      <c r="Z144" s="149" t="e">
        <f t="shared" si="11"/>
        <v>#N/A</v>
      </c>
      <c r="AA144" s="149" t="e">
        <f t="shared" si="11"/>
        <v>#N/A</v>
      </c>
      <c r="AB144" s="149" t="e">
        <f t="shared" si="11"/>
        <v>#N/A</v>
      </c>
      <c r="AC144" s="149" t="e">
        <f t="shared" si="11"/>
        <v>#N/A</v>
      </c>
      <c r="AD144" s="149" t="e">
        <f t="shared" si="11"/>
        <v>#N/A</v>
      </c>
    </row>
    <row r="145" spans="1:30">
      <c r="A145" s="160" t="s">
        <v>847</v>
      </c>
      <c r="B145" s="41" t="s">
        <v>1181</v>
      </c>
      <c r="C145" s="41" t="s">
        <v>1171</v>
      </c>
      <c r="D145" s="94">
        <v>3950</v>
      </c>
      <c r="E145" s="148">
        <v>-4.2999999999999997E-2</v>
      </c>
      <c r="F145" s="41" t="s">
        <v>1182</v>
      </c>
      <c r="L145" s="41"/>
      <c r="N145" s="99"/>
      <c r="O145" s="99"/>
      <c r="P145" s="99"/>
      <c r="R145" s="148">
        <f t="shared" si="12"/>
        <v>6.0000000000000001E-3</v>
      </c>
      <c r="S145" s="149" t="e">
        <f t="shared" si="10"/>
        <v>#N/A</v>
      </c>
      <c r="T145" s="149" t="e">
        <f t="shared" si="11"/>
        <v>#N/A</v>
      </c>
      <c r="U145" s="149" t="e">
        <f t="shared" si="11"/>
        <v>#N/A</v>
      </c>
      <c r="V145" s="149" t="e">
        <f t="shared" si="11"/>
        <v>#N/A</v>
      </c>
      <c r="W145" s="149" t="e">
        <f t="shared" si="11"/>
        <v>#N/A</v>
      </c>
      <c r="X145" s="149" t="e">
        <f t="shared" si="11"/>
        <v>#N/A</v>
      </c>
      <c r="Y145" s="149" t="e">
        <f t="shared" si="11"/>
        <v>#N/A</v>
      </c>
      <c r="Z145" s="149" t="e">
        <f t="shared" si="11"/>
        <v>#N/A</v>
      </c>
      <c r="AA145" s="149" t="e">
        <f t="shared" si="11"/>
        <v>#N/A</v>
      </c>
      <c r="AB145" s="149" t="e">
        <f t="shared" si="11"/>
        <v>#N/A</v>
      </c>
      <c r="AC145" s="149" t="e">
        <f t="shared" si="11"/>
        <v>#N/A</v>
      </c>
      <c r="AD145" s="149" t="e">
        <f t="shared" si="11"/>
        <v>#N/A</v>
      </c>
    </row>
    <row r="146" spans="1:30">
      <c r="A146" s="160" t="s">
        <v>848</v>
      </c>
      <c r="B146" s="41" t="s">
        <v>1183</v>
      </c>
      <c r="C146" s="41" t="s">
        <v>1171</v>
      </c>
      <c r="D146" s="94">
        <v>4000</v>
      </c>
      <c r="E146" s="148">
        <v>-3.1E-2</v>
      </c>
      <c r="F146" s="41" t="s">
        <v>1184</v>
      </c>
      <c r="L146" s="41"/>
      <c r="N146" s="99"/>
      <c r="O146" s="99"/>
      <c r="P146" s="99"/>
      <c r="R146" s="148">
        <f t="shared" si="12"/>
        <v>7.0000000000000001E-3</v>
      </c>
      <c r="S146" s="149" t="e">
        <f t="shared" si="10"/>
        <v>#N/A</v>
      </c>
      <c r="T146" s="149" t="e">
        <f t="shared" si="11"/>
        <v>#N/A</v>
      </c>
      <c r="U146" s="149" t="e">
        <f t="shared" si="11"/>
        <v>#N/A</v>
      </c>
      <c r="V146" s="149" t="e">
        <f t="shared" si="11"/>
        <v>#N/A</v>
      </c>
      <c r="W146" s="149" t="e">
        <f t="shared" si="11"/>
        <v>#N/A</v>
      </c>
      <c r="X146" s="149" t="e">
        <f t="shared" si="11"/>
        <v>#N/A</v>
      </c>
      <c r="Y146" s="149" t="e">
        <f t="shared" si="11"/>
        <v>#N/A</v>
      </c>
      <c r="Z146" s="149" t="e">
        <f t="shared" si="11"/>
        <v>#N/A</v>
      </c>
      <c r="AA146" s="149" t="e">
        <f t="shared" si="11"/>
        <v>#N/A</v>
      </c>
      <c r="AB146" s="149" t="e">
        <f t="shared" si="11"/>
        <v>#N/A</v>
      </c>
      <c r="AC146" s="149" t="e">
        <f t="shared" si="11"/>
        <v>#N/A</v>
      </c>
      <c r="AD146" s="149" t="e">
        <f t="shared" si="11"/>
        <v>#N/A</v>
      </c>
    </row>
    <row r="147" spans="1:30">
      <c r="A147" s="160" t="s">
        <v>849</v>
      </c>
      <c r="B147" s="41" t="s">
        <v>1185</v>
      </c>
      <c r="C147" s="41" t="s">
        <v>1171</v>
      </c>
      <c r="D147" s="94">
        <v>4050</v>
      </c>
      <c r="E147" s="148">
        <v>-1.8000000000000002E-2</v>
      </c>
      <c r="F147" s="41" t="s">
        <v>1186</v>
      </c>
      <c r="L147" s="41"/>
      <c r="N147" s="99"/>
      <c r="O147" s="99"/>
      <c r="P147" s="99"/>
      <c r="R147" s="148">
        <f t="shared" si="12"/>
        <v>8.0000000000000002E-3</v>
      </c>
      <c r="S147" s="149" t="e">
        <f t="shared" si="10"/>
        <v>#N/A</v>
      </c>
      <c r="T147" s="149" t="e">
        <f t="shared" si="11"/>
        <v>#N/A</v>
      </c>
      <c r="U147" s="149" t="e">
        <f t="shared" si="11"/>
        <v>#N/A</v>
      </c>
      <c r="V147" s="149" t="e">
        <f t="shared" si="11"/>
        <v>#N/A</v>
      </c>
      <c r="W147" s="149" t="e">
        <f t="shared" si="11"/>
        <v>#N/A</v>
      </c>
      <c r="X147" s="149" t="e">
        <f t="shared" si="11"/>
        <v>#N/A</v>
      </c>
      <c r="Y147" s="149" t="e">
        <f t="shared" si="11"/>
        <v>#N/A</v>
      </c>
      <c r="Z147" s="149" t="e">
        <f t="shared" si="11"/>
        <v>#N/A</v>
      </c>
      <c r="AA147" s="149" t="e">
        <f t="shared" si="11"/>
        <v>#N/A</v>
      </c>
      <c r="AB147" s="149" t="e">
        <f t="shared" si="11"/>
        <v>#N/A</v>
      </c>
      <c r="AC147" s="149" t="e">
        <f t="shared" si="11"/>
        <v>#N/A</v>
      </c>
      <c r="AD147" s="149" t="e">
        <f t="shared" si="11"/>
        <v>#N/A</v>
      </c>
    </row>
    <row r="148" spans="1:30">
      <c r="A148" s="160" t="s">
        <v>850</v>
      </c>
      <c r="B148" s="41" t="s">
        <v>1187</v>
      </c>
      <c r="C148" s="41" t="s">
        <v>1171</v>
      </c>
      <c r="D148" s="94">
        <v>4100</v>
      </c>
      <c r="E148" s="148">
        <v>-6.0000000000000001E-3</v>
      </c>
      <c r="F148" s="41" t="s">
        <v>1188</v>
      </c>
      <c r="L148" s="41"/>
      <c r="N148" s="99"/>
      <c r="O148" s="99"/>
      <c r="P148" s="99"/>
      <c r="R148" s="148">
        <f t="shared" si="12"/>
        <v>8.9999999999999993E-3</v>
      </c>
      <c r="S148" s="149" t="e">
        <f t="shared" si="10"/>
        <v>#N/A</v>
      </c>
      <c r="T148" s="149" t="e">
        <f t="shared" si="11"/>
        <v>#N/A</v>
      </c>
      <c r="U148" s="149" t="e">
        <f t="shared" si="11"/>
        <v>#N/A</v>
      </c>
      <c r="V148" s="149" t="e">
        <f t="shared" si="11"/>
        <v>#N/A</v>
      </c>
      <c r="W148" s="149" t="e">
        <f t="shared" si="11"/>
        <v>#N/A</v>
      </c>
      <c r="X148" s="149" t="e">
        <f t="shared" si="11"/>
        <v>#N/A</v>
      </c>
      <c r="Y148" s="149" t="e">
        <f t="shared" si="11"/>
        <v>#N/A</v>
      </c>
      <c r="Z148" s="149" t="e">
        <f t="shared" si="11"/>
        <v>#N/A</v>
      </c>
      <c r="AA148" s="149" t="e">
        <f t="shared" si="11"/>
        <v>#N/A</v>
      </c>
      <c r="AB148" s="149" t="e">
        <f t="shared" si="11"/>
        <v>#N/A</v>
      </c>
      <c r="AC148" s="149" t="e">
        <f t="shared" si="11"/>
        <v>#N/A</v>
      </c>
      <c r="AD148" s="149" t="e">
        <f t="shared" si="11"/>
        <v>#N/A</v>
      </c>
    </row>
    <row r="149" spans="1:30">
      <c r="A149" s="160" t="s">
        <v>851</v>
      </c>
      <c r="B149" s="41" t="s">
        <v>1189</v>
      </c>
      <c r="C149" s="41" t="s">
        <v>1171</v>
      </c>
      <c r="D149" s="94">
        <v>4150</v>
      </c>
      <c r="E149" s="148">
        <v>6.0000000000000001E-3</v>
      </c>
      <c r="F149" s="41" t="s">
        <v>1190</v>
      </c>
      <c r="L149" s="41"/>
      <c r="N149" s="99"/>
      <c r="O149" s="99"/>
      <c r="P149" s="99"/>
      <c r="R149" s="148">
        <f t="shared" si="12"/>
        <v>0.01</v>
      </c>
      <c r="S149" s="149" t="e">
        <f t="shared" si="10"/>
        <v>#N/A</v>
      </c>
      <c r="T149" s="149" t="e">
        <f t="shared" si="11"/>
        <v>#N/A</v>
      </c>
      <c r="U149" s="149" t="e">
        <f t="shared" si="11"/>
        <v>#N/A</v>
      </c>
      <c r="V149" s="149" t="e">
        <f t="shared" si="11"/>
        <v>#N/A</v>
      </c>
      <c r="W149" s="149" t="e">
        <f t="shared" si="11"/>
        <v>#N/A</v>
      </c>
      <c r="X149" s="149" t="e">
        <f t="shared" si="11"/>
        <v>#N/A</v>
      </c>
      <c r="Y149" s="149" t="e">
        <f t="shared" si="11"/>
        <v>#N/A</v>
      </c>
      <c r="Z149" s="149" t="e">
        <f t="shared" si="11"/>
        <v>#N/A</v>
      </c>
      <c r="AA149" s="149" t="e">
        <f t="shared" si="11"/>
        <v>#N/A</v>
      </c>
      <c r="AB149" s="149" t="e">
        <f t="shared" si="11"/>
        <v>#N/A</v>
      </c>
      <c r="AC149" s="149" t="e">
        <f t="shared" si="11"/>
        <v>#N/A</v>
      </c>
      <c r="AD149" s="149" t="e">
        <f t="shared" si="11"/>
        <v>#N/A</v>
      </c>
    </row>
    <row r="150" spans="1:30">
      <c r="A150" s="160" t="s">
        <v>852</v>
      </c>
      <c r="B150" s="41" t="s">
        <v>1191</v>
      </c>
      <c r="C150" s="41" t="s">
        <v>1171</v>
      </c>
      <c r="D150" s="94">
        <v>4200</v>
      </c>
      <c r="E150" s="148">
        <v>1.8000000000000002E-2</v>
      </c>
      <c r="F150" s="41" t="s">
        <v>1192</v>
      </c>
      <c r="L150" s="41"/>
      <c r="N150" s="99"/>
      <c r="O150" s="99"/>
      <c r="P150" s="99"/>
      <c r="R150" s="148">
        <f t="shared" si="12"/>
        <v>1.0999999999999999E-2</v>
      </c>
      <c r="S150" s="149" t="e">
        <f t="shared" si="10"/>
        <v>#N/A</v>
      </c>
      <c r="T150" s="149" t="e">
        <f t="shared" si="11"/>
        <v>#N/A</v>
      </c>
      <c r="U150" s="149" t="e">
        <f t="shared" si="11"/>
        <v>#N/A</v>
      </c>
      <c r="V150" s="149" t="e">
        <f t="shared" si="11"/>
        <v>#N/A</v>
      </c>
      <c r="W150" s="149" t="e">
        <f t="shared" si="11"/>
        <v>#N/A</v>
      </c>
      <c r="X150" s="149" t="e">
        <f t="shared" si="11"/>
        <v>#N/A</v>
      </c>
      <c r="Y150" s="149" t="e">
        <f t="shared" si="11"/>
        <v>#N/A</v>
      </c>
      <c r="Z150" s="149" t="e">
        <f t="shared" si="11"/>
        <v>#N/A</v>
      </c>
      <c r="AA150" s="149" t="e">
        <f t="shared" si="11"/>
        <v>#N/A</v>
      </c>
      <c r="AB150" s="149" t="e">
        <f t="shared" si="11"/>
        <v>#N/A</v>
      </c>
      <c r="AC150" s="149" t="e">
        <f t="shared" si="11"/>
        <v>#N/A</v>
      </c>
      <c r="AD150" s="149" t="e">
        <f t="shared" si="11"/>
        <v>#N/A</v>
      </c>
    </row>
    <row r="151" spans="1:30">
      <c r="A151" s="160" t="s">
        <v>853</v>
      </c>
      <c r="B151" s="41" t="s">
        <v>1193</v>
      </c>
      <c r="C151" s="41" t="s">
        <v>1171</v>
      </c>
      <c r="D151" s="94">
        <v>4250</v>
      </c>
      <c r="E151" s="148">
        <v>0.03</v>
      </c>
      <c r="F151" s="41" t="s">
        <v>1194</v>
      </c>
      <c r="L151" s="41"/>
      <c r="N151" s="99"/>
      <c r="O151" s="99"/>
      <c r="P151" s="99"/>
      <c r="R151" s="148">
        <f t="shared" si="12"/>
        <v>1.2E-2</v>
      </c>
      <c r="S151" s="149" t="e">
        <f t="shared" si="10"/>
        <v>#N/A</v>
      </c>
      <c r="T151" s="149" t="e">
        <f t="shared" si="11"/>
        <v>#N/A</v>
      </c>
      <c r="U151" s="149" t="e">
        <f t="shared" si="11"/>
        <v>#N/A</v>
      </c>
      <c r="V151" s="149" t="e">
        <f t="shared" si="11"/>
        <v>#N/A</v>
      </c>
      <c r="W151" s="149" t="e">
        <f t="shared" si="11"/>
        <v>#N/A</v>
      </c>
      <c r="X151" s="149" t="e">
        <f t="shared" si="11"/>
        <v>#N/A</v>
      </c>
      <c r="Y151" s="149" t="e">
        <f t="shared" si="11"/>
        <v>#N/A</v>
      </c>
      <c r="Z151" s="149" t="e">
        <f t="shared" si="11"/>
        <v>#N/A</v>
      </c>
      <c r="AA151" s="149" t="e">
        <f t="shared" si="11"/>
        <v>#N/A</v>
      </c>
      <c r="AB151" s="149" t="e">
        <f t="shared" si="11"/>
        <v>#N/A</v>
      </c>
      <c r="AC151" s="149" t="e">
        <f t="shared" si="11"/>
        <v>#N/A</v>
      </c>
      <c r="AD151" s="149" t="e">
        <f t="shared" si="11"/>
        <v>#N/A</v>
      </c>
    </row>
    <row r="152" spans="1:30">
      <c r="A152" s="160" t="s">
        <v>854</v>
      </c>
      <c r="B152" s="41" t="s">
        <v>1195</v>
      </c>
      <c r="C152" s="41" t="s">
        <v>1171</v>
      </c>
      <c r="D152" s="94">
        <v>4300</v>
      </c>
      <c r="E152" s="148">
        <v>4.2000000000000003E-2</v>
      </c>
      <c r="F152" s="41" t="s">
        <v>1196</v>
      </c>
      <c r="L152" s="41"/>
      <c r="N152" s="99"/>
      <c r="O152" s="99"/>
      <c r="P152" s="99"/>
      <c r="R152" s="148">
        <f t="shared" si="12"/>
        <v>1.2999999999999999E-2</v>
      </c>
      <c r="S152" s="149" t="e">
        <f t="shared" si="10"/>
        <v>#N/A</v>
      </c>
      <c r="T152" s="149" t="e">
        <f t="shared" si="11"/>
        <v>#N/A</v>
      </c>
      <c r="U152" s="149" t="e">
        <f t="shared" si="11"/>
        <v>#N/A</v>
      </c>
      <c r="V152" s="149" t="e">
        <f t="shared" si="11"/>
        <v>#N/A</v>
      </c>
      <c r="W152" s="149" t="e">
        <f t="shared" si="11"/>
        <v>#N/A</v>
      </c>
      <c r="X152" s="149" t="e">
        <f t="shared" si="11"/>
        <v>#N/A</v>
      </c>
      <c r="Y152" s="149" t="e">
        <f t="shared" si="11"/>
        <v>#N/A</v>
      </c>
      <c r="Z152" s="149" t="e">
        <f t="shared" si="11"/>
        <v>#N/A</v>
      </c>
      <c r="AA152" s="149" t="e">
        <f t="shared" si="11"/>
        <v>#N/A</v>
      </c>
      <c r="AB152" s="149" t="e">
        <f t="shared" si="11"/>
        <v>#N/A</v>
      </c>
      <c r="AC152" s="149" t="e">
        <f t="shared" si="11"/>
        <v>#N/A</v>
      </c>
      <c r="AD152" s="149" t="e">
        <f t="shared" si="11"/>
        <v>#N/A</v>
      </c>
    </row>
    <row r="153" spans="1:30">
      <c r="A153" s="160" t="s">
        <v>855</v>
      </c>
      <c r="B153" s="41" t="s">
        <v>1197</v>
      </c>
      <c r="C153" s="41" t="s">
        <v>1171</v>
      </c>
      <c r="D153" s="94">
        <v>4350</v>
      </c>
      <c r="E153" s="148">
        <v>5.4000000000000006E-2</v>
      </c>
      <c r="F153" s="41" t="s">
        <v>1198</v>
      </c>
      <c r="L153" s="41"/>
      <c r="N153" s="99"/>
      <c r="O153" s="99"/>
      <c r="P153" s="99"/>
      <c r="R153" s="148">
        <f t="shared" si="12"/>
        <v>1.4E-2</v>
      </c>
      <c r="S153" s="149" t="e">
        <f t="shared" si="10"/>
        <v>#N/A</v>
      </c>
      <c r="T153" s="149" t="e">
        <f t="shared" si="11"/>
        <v>#N/A</v>
      </c>
      <c r="U153" s="149" t="e">
        <f t="shared" si="11"/>
        <v>#N/A</v>
      </c>
      <c r="V153" s="149" t="e">
        <f t="shared" si="11"/>
        <v>#N/A</v>
      </c>
      <c r="W153" s="149" t="e">
        <f t="shared" si="11"/>
        <v>#N/A</v>
      </c>
      <c r="X153" s="149" t="e">
        <f t="shared" si="11"/>
        <v>#N/A</v>
      </c>
      <c r="Y153" s="149" t="e">
        <f t="shared" si="11"/>
        <v>#N/A</v>
      </c>
      <c r="Z153" s="149" t="e">
        <f t="shared" si="11"/>
        <v>#N/A</v>
      </c>
      <c r="AA153" s="149" t="e">
        <f t="shared" si="11"/>
        <v>#N/A</v>
      </c>
      <c r="AB153" s="149" t="e">
        <f t="shared" si="11"/>
        <v>#N/A</v>
      </c>
      <c r="AC153" s="149" t="e">
        <f t="shared" si="11"/>
        <v>#N/A</v>
      </c>
      <c r="AD153" s="149" t="e">
        <f t="shared" si="11"/>
        <v>#N/A</v>
      </c>
    </row>
    <row r="154" spans="1:30">
      <c r="A154" s="160" t="s">
        <v>856</v>
      </c>
      <c r="B154" s="41" t="s">
        <v>1199</v>
      </c>
      <c r="C154" s="41" t="s">
        <v>1171</v>
      </c>
      <c r="D154" s="94">
        <v>4400</v>
      </c>
      <c r="E154" s="148">
        <v>6.6000000000000003E-2</v>
      </c>
      <c r="F154" s="41" t="s">
        <v>1200</v>
      </c>
      <c r="L154" s="41"/>
      <c r="N154" s="99"/>
      <c r="O154" s="99"/>
      <c r="P154" s="99"/>
      <c r="R154" s="148">
        <f t="shared" si="12"/>
        <v>1.4999999999999999E-2</v>
      </c>
      <c r="S154" s="149" t="e">
        <f t="shared" si="10"/>
        <v>#N/A</v>
      </c>
      <c r="T154" s="149" t="e">
        <f t="shared" si="11"/>
        <v>#N/A</v>
      </c>
      <c r="U154" s="149" t="e">
        <f t="shared" si="11"/>
        <v>#N/A</v>
      </c>
      <c r="V154" s="149" t="e">
        <f t="shared" si="11"/>
        <v>#N/A</v>
      </c>
      <c r="W154" s="149" t="e">
        <f t="shared" si="11"/>
        <v>#N/A</v>
      </c>
      <c r="X154" s="149" t="e">
        <f t="shared" si="11"/>
        <v>#N/A</v>
      </c>
      <c r="Y154" s="149" t="e">
        <f t="shared" si="11"/>
        <v>#N/A</v>
      </c>
      <c r="Z154" s="149" t="e">
        <f t="shared" si="11"/>
        <v>#N/A</v>
      </c>
      <c r="AA154" s="149" t="e">
        <f t="shared" si="11"/>
        <v>#N/A</v>
      </c>
      <c r="AB154" s="149" t="e">
        <f t="shared" si="11"/>
        <v>#N/A</v>
      </c>
      <c r="AC154" s="149" t="e">
        <f t="shared" si="11"/>
        <v>#N/A</v>
      </c>
      <c r="AD154" s="149" t="e">
        <f t="shared" si="11"/>
        <v>#N/A</v>
      </c>
    </row>
    <row r="155" spans="1:30">
      <c r="A155" s="160" t="s">
        <v>857</v>
      </c>
      <c r="B155" s="41" t="s">
        <v>1201</v>
      </c>
      <c r="C155" s="41" t="s">
        <v>1171</v>
      </c>
      <c r="D155" s="94">
        <v>4450</v>
      </c>
      <c r="E155" s="148">
        <v>7.9000000000000001E-2</v>
      </c>
      <c r="F155" s="41" t="s">
        <v>1202</v>
      </c>
      <c r="L155" s="41"/>
      <c r="N155" s="99"/>
      <c r="O155" s="99"/>
      <c r="P155" s="99"/>
      <c r="R155" s="148">
        <f t="shared" si="12"/>
        <v>1.6E-2</v>
      </c>
      <c r="S155" s="149" t="e">
        <f t="shared" si="10"/>
        <v>#N/A</v>
      </c>
      <c r="T155" s="149" t="e">
        <f t="shared" si="11"/>
        <v>#N/A</v>
      </c>
      <c r="U155" s="149" t="e">
        <f t="shared" si="11"/>
        <v>#N/A</v>
      </c>
      <c r="V155" s="149" t="e">
        <f t="shared" si="11"/>
        <v>#N/A</v>
      </c>
      <c r="W155" s="149" t="e">
        <f t="shared" si="11"/>
        <v>#N/A</v>
      </c>
      <c r="X155" s="149" t="e">
        <f t="shared" si="11"/>
        <v>#N/A</v>
      </c>
      <c r="Y155" s="149" t="e">
        <f t="shared" si="11"/>
        <v>#N/A</v>
      </c>
      <c r="Z155" s="149" t="e">
        <f t="shared" si="11"/>
        <v>#N/A</v>
      </c>
      <c r="AA155" s="149" t="e">
        <f t="shared" si="11"/>
        <v>#N/A</v>
      </c>
      <c r="AB155" s="149" t="e">
        <f t="shared" si="11"/>
        <v>#N/A</v>
      </c>
      <c r="AC155" s="149" t="e">
        <f t="shared" si="11"/>
        <v>#N/A</v>
      </c>
      <c r="AD155" s="149" t="e">
        <f t="shared" si="11"/>
        <v>#N/A</v>
      </c>
    </row>
    <row r="156" spans="1:30">
      <c r="A156" s="160" t="s">
        <v>858</v>
      </c>
      <c r="B156" s="41" t="s">
        <v>1203</v>
      </c>
      <c r="C156" s="41" t="s">
        <v>1171</v>
      </c>
      <c r="D156" s="94">
        <v>4500</v>
      </c>
      <c r="E156" s="148">
        <v>9.0999999999999998E-2</v>
      </c>
      <c r="F156" s="41" t="s">
        <v>1204</v>
      </c>
      <c r="L156" s="41"/>
      <c r="N156" s="99"/>
      <c r="O156" s="99"/>
      <c r="P156" s="99"/>
      <c r="R156" s="148">
        <f t="shared" si="12"/>
        <v>1.7000000000000001E-2</v>
      </c>
      <c r="S156" s="149" t="e">
        <f t="shared" si="10"/>
        <v>#N/A</v>
      </c>
      <c r="T156" s="149" t="e">
        <f t="shared" si="11"/>
        <v>#N/A</v>
      </c>
      <c r="U156" s="149" t="e">
        <f t="shared" si="11"/>
        <v>#N/A</v>
      </c>
      <c r="V156" s="149" t="e">
        <f t="shared" si="11"/>
        <v>#N/A</v>
      </c>
      <c r="W156" s="149" t="e">
        <f t="shared" si="11"/>
        <v>#N/A</v>
      </c>
      <c r="X156" s="149" t="e">
        <f t="shared" si="11"/>
        <v>#N/A</v>
      </c>
      <c r="Y156" s="149" t="e">
        <f t="shared" si="11"/>
        <v>#N/A</v>
      </c>
      <c r="Z156" s="149" t="e">
        <f t="shared" si="11"/>
        <v>#N/A</v>
      </c>
      <c r="AA156" s="149" t="e">
        <f t="shared" si="11"/>
        <v>#N/A</v>
      </c>
      <c r="AB156" s="149" t="e">
        <f t="shared" si="11"/>
        <v>#N/A</v>
      </c>
      <c r="AC156" s="149" t="e">
        <f t="shared" si="11"/>
        <v>#N/A</v>
      </c>
      <c r="AD156" s="149" t="e">
        <f t="shared" si="11"/>
        <v>#N/A</v>
      </c>
    </row>
    <row r="157" spans="1:30">
      <c r="A157" s="160" t="s">
        <v>859</v>
      </c>
      <c r="B157" s="41" t="s">
        <v>1205</v>
      </c>
      <c r="C157" s="41" t="s">
        <v>1171</v>
      </c>
      <c r="D157" s="94">
        <v>4550</v>
      </c>
      <c r="E157" s="148">
        <v>0.10300000000000001</v>
      </c>
      <c r="F157" s="41" t="s">
        <v>1206</v>
      </c>
      <c r="L157" s="41"/>
      <c r="N157" s="99"/>
      <c r="O157" s="99"/>
      <c r="P157" s="99"/>
      <c r="R157" s="148">
        <f t="shared" si="12"/>
        <v>1.7999999999999999E-2</v>
      </c>
      <c r="S157" s="149" t="e">
        <f t="shared" si="10"/>
        <v>#N/A</v>
      </c>
      <c r="T157" s="149" t="e">
        <f t="shared" si="11"/>
        <v>#N/A</v>
      </c>
      <c r="U157" s="149" t="e">
        <f t="shared" si="11"/>
        <v>#N/A</v>
      </c>
      <c r="V157" s="149" t="e">
        <f t="shared" si="11"/>
        <v>#N/A</v>
      </c>
      <c r="W157" s="149" t="e">
        <f t="shared" si="11"/>
        <v>#N/A</v>
      </c>
      <c r="X157" s="149" t="e">
        <f t="shared" si="11"/>
        <v>#N/A</v>
      </c>
      <c r="Y157" s="149" t="e">
        <f t="shared" si="11"/>
        <v>#N/A</v>
      </c>
      <c r="Z157" s="149" t="e">
        <f t="shared" si="11"/>
        <v>#N/A</v>
      </c>
      <c r="AA157" s="149" t="e">
        <f t="shared" si="11"/>
        <v>#N/A</v>
      </c>
      <c r="AB157" s="149" t="e">
        <f t="shared" si="11"/>
        <v>#N/A</v>
      </c>
      <c r="AC157" s="149" t="e">
        <f t="shared" si="11"/>
        <v>#N/A</v>
      </c>
      <c r="AD157" s="149" t="e">
        <f t="shared" si="11"/>
        <v>#N/A</v>
      </c>
    </row>
    <row r="158" spans="1:30">
      <c r="A158" s="160" t="s">
        <v>860</v>
      </c>
      <c r="B158" s="41" t="s">
        <v>1207</v>
      </c>
      <c r="C158" s="41" t="s">
        <v>1171</v>
      </c>
      <c r="D158" s="94">
        <v>4600</v>
      </c>
      <c r="E158" s="148">
        <v>0.115</v>
      </c>
      <c r="F158" s="41" t="s">
        <v>1208</v>
      </c>
      <c r="L158" s="41"/>
      <c r="N158" s="99"/>
      <c r="O158" s="99"/>
      <c r="P158" s="99"/>
      <c r="R158" s="148">
        <f t="shared" si="12"/>
        <v>1.9E-2</v>
      </c>
      <c r="S158" s="149" t="e">
        <f t="shared" si="10"/>
        <v>#N/A</v>
      </c>
      <c r="T158" s="149" t="e">
        <f t="shared" si="11"/>
        <v>#N/A</v>
      </c>
      <c r="U158" s="149" t="e">
        <f t="shared" si="11"/>
        <v>#N/A</v>
      </c>
      <c r="V158" s="149" t="e">
        <f t="shared" si="11"/>
        <v>#N/A</v>
      </c>
      <c r="W158" s="149" t="e">
        <f t="shared" si="11"/>
        <v>#N/A</v>
      </c>
      <c r="X158" s="149" t="e">
        <f t="shared" si="11"/>
        <v>#N/A</v>
      </c>
      <c r="Y158" s="149" t="e">
        <f t="shared" si="11"/>
        <v>#N/A</v>
      </c>
      <c r="Z158" s="149" t="e">
        <f t="shared" si="11"/>
        <v>#N/A</v>
      </c>
      <c r="AA158" s="149" t="e">
        <f t="shared" si="11"/>
        <v>#N/A</v>
      </c>
      <c r="AB158" s="149" t="e">
        <f t="shared" si="11"/>
        <v>#N/A</v>
      </c>
      <c r="AC158" s="149" t="e">
        <f t="shared" si="11"/>
        <v>#N/A</v>
      </c>
      <c r="AD158" s="149" t="e">
        <f t="shared" ref="T158:AD182" si="13">IF(VLOOKUP(AD$8&amp;"@"&amp;$R158,$F:$Q,$R$7,0)=0,NA(),VLOOKUP(AD$8&amp;"@"&amp;$R158,$F:$Q,$R$7,0))</f>
        <v>#N/A</v>
      </c>
    </row>
    <row r="159" spans="1:30">
      <c r="A159" s="160" t="s">
        <v>861</v>
      </c>
      <c r="B159" s="41" t="s">
        <v>1209</v>
      </c>
      <c r="C159" s="41" t="s">
        <v>714</v>
      </c>
      <c r="D159" s="94">
        <v>3300</v>
      </c>
      <c r="E159" s="148">
        <v>-0.2</v>
      </c>
      <c r="F159" s="41" t="s">
        <v>1210</v>
      </c>
      <c r="L159" s="41"/>
      <c r="N159" s="99"/>
      <c r="O159" s="99"/>
      <c r="P159" s="99"/>
      <c r="R159" s="148">
        <f t="shared" si="12"/>
        <v>0.02</v>
      </c>
      <c r="S159" s="149" t="e">
        <f t="shared" si="10"/>
        <v>#N/A</v>
      </c>
      <c r="T159" s="149" t="e">
        <f t="shared" si="13"/>
        <v>#N/A</v>
      </c>
      <c r="U159" s="149" t="e">
        <f t="shared" si="13"/>
        <v>#N/A</v>
      </c>
      <c r="V159" s="149" t="e">
        <f t="shared" si="13"/>
        <v>#N/A</v>
      </c>
      <c r="W159" s="149" t="e">
        <f t="shared" si="13"/>
        <v>#N/A</v>
      </c>
      <c r="X159" s="149" t="e">
        <f t="shared" si="13"/>
        <v>#N/A</v>
      </c>
      <c r="Y159" s="149" t="e">
        <f t="shared" si="13"/>
        <v>#N/A</v>
      </c>
      <c r="Z159" s="149" t="e">
        <f t="shared" si="13"/>
        <v>#N/A</v>
      </c>
      <c r="AA159" s="149" t="e">
        <f t="shared" si="13"/>
        <v>#N/A</v>
      </c>
      <c r="AB159" s="149" t="e">
        <f t="shared" si="13"/>
        <v>#N/A</v>
      </c>
      <c r="AC159" s="149" t="e">
        <f t="shared" si="13"/>
        <v>#N/A</v>
      </c>
      <c r="AD159" s="149" t="e">
        <f t="shared" si="13"/>
        <v>#N/A</v>
      </c>
    </row>
    <row r="160" spans="1:30">
      <c r="A160" s="160" t="s">
        <v>862</v>
      </c>
      <c r="B160" s="41" t="s">
        <v>1211</v>
      </c>
      <c r="C160" s="41" t="s">
        <v>714</v>
      </c>
      <c r="D160" s="94">
        <v>3400</v>
      </c>
      <c r="E160" s="148">
        <v>-0.17600000000000002</v>
      </c>
      <c r="F160" s="41" t="s">
        <v>1212</v>
      </c>
      <c r="L160" s="41"/>
      <c r="N160" s="99"/>
      <c r="O160" s="99"/>
      <c r="P160" s="99"/>
      <c r="R160" s="148">
        <f t="shared" si="12"/>
        <v>2.1000000000000001E-2</v>
      </c>
      <c r="S160" s="149" t="e">
        <f t="shared" si="10"/>
        <v>#N/A</v>
      </c>
      <c r="T160" s="149" t="e">
        <f t="shared" si="13"/>
        <v>#N/A</v>
      </c>
      <c r="U160" s="149" t="e">
        <f t="shared" si="13"/>
        <v>#N/A</v>
      </c>
      <c r="V160" s="149" t="e">
        <f t="shared" si="13"/>
        <v>#N/A</v>
      </c>
      <c r="W160" s="149" t="e">
        <f t="shared" si="13"/>
        <v>#N/A</v>
      </c>
      <c r="X160" s="149" t="e">
        <f t="shared" si="13"/>
        <v>#N/A</v>
      </c>
      <c r="Y160" s="149" t="e">
        <f t="shared" si="13"/>
        <v>#N/A</v>
      </c>
      <c r="Z160" s="149" t="e">
        <f t="shared" si="13"/>
        <v>#N/A</v>
      </c>
      <c r="AA160" s="149" t="e">
        <f t="shared" si="13"/>
        <v>#N/A</v>
      </c>
      <c r="AB160" s="149" t="e">
        <f t="shared" si="13"/>
        <v>#N/A</v>
      </c>
      <c r="AC160" s="149" t="e">
        <f t="shared" si="13"/>
        <v>#N/A</v>
      </c>
      <c r="AD160" s="149" t="e">
        <f t="shared" si="13"/>
        <v>#N/A</v>
      </c>
    </row>
    <row r="161" spans="1:30">
      <c r="A161" s="160" t="s">
        <v>206</v>
      </c>
      <c r="B161" s="41" t="s">
        <v>472</v>
      </c>
      <c r="C161" s="41" t="s">
        <v>714</v>
      </c>
      <c r="D161" s="94">
        <v>3500</v>
      </c>
      <c r="E161" s="148">
        <v>-0.152</v>
      </c>
      <c r="F161" s="41" t="s">
        <v>1213</v>
      </c>
      <c r="L161" s="41"/>
      <c r="N161" s="99"/>
      <c r="O161" s="99"/>
      <c r="P161" s="99"/>
      <c r="R161" s="148">
        <f t="shared" si="12"/>
        <v>2.1999999999999999E-2</v>
      </c>
      <c r="S161" s="149" t="e">
        <f t="shared" si="10"/>
        <v>#N/A</v>
      </c>
      <c r="T161" s="149" t="e">
        <f t="shared" si="13"/>
        <v>#N/A</v>
      </c>
      <c r="U161" s="149" t="e">
        <f t="shared" si="13"/>
        <v>#N/A</v>
      </c>
      <c r="V161" s="149" t="e">
        <f t="shared" si="13"/>
        <v>#N/A</v>
      </c>
      <c r="W161" s="149" t="e">
        <f t="shared" si="13"/>
        <v>#N/A</v>
      </c>
      <c r="X161" s="149" t="e">
        <f t="shared" si="13"/>
        <v>#N/A</v>
      </c>
      <c r="Y161" s="149" t="e">
        <f t="shared" si="13"/>
        <v>#N/A</v>
      </c>
      <c r="Z161" s="149" t="e">
        <f t="shared" si="13"/>
        <v>#N/A</v>
      </c>
      <c r="AA161" s="149" t="e">
        <f t="shared" si="13"/>
        <v>#N/A</v>
      </c>
      <c r="AB161" s="149" t="e">
        <f t="shared" si="13"/>
        <v>#N/A</v>
      </c>
      <c r="AC161" s="149" t="e">
        <f t="shared" si="13"/>
        <v>#N/A</v>
      </c>
      <c r="AD161" s="149" t="e">
        <f t="shared" si="13"/>
        <v>#N/A</v>
      </c>
    </row>
    <row r="162" spans="1:30">
      <c r="A162" s="160" t="s">
        <v>207</v>
      </c>
      <c r="B162" s="41" t="s">
        <v>473</v>
      </c>
      <c r="C162" s="41" t="s">
        <v>714</v>
      </c>
      <c r="D162" s="94">
        <v>3600</v>
      </c>
      <c r="E162" s="148">
        <v>-0.128</v>
      </c>
      <c r="F162" s="41" t="s">
        <v>1214</v>
      </c>
      <c r="L162" s="41"/>
      <c r="N162" s="99"/>
      <c r="O162" s="99"/>
      <c r="P162" s="99"/>
      <c r="R162" s="148">
        <f t="shared" si="12"/>
        <v>2.3E-2</v>
      </c>
      <c r="S162" s="149" t="e">
        <f t="shared" si="10"/>
        <v>#N/A</v>
      </c>
      <c r="T162" s="149" t="e">
        <f t="shared" si="13"/>
        <v>#N/A</v>
      </c>
      <c r="U162" s="149" t="e">
        <f t="shared" si="13"/>
        <v>#N/A</v>
      </c>
      <c r="V162" s="149" t="e">
        <f t="shared" si="13"/>
        <v>#N/A</v>
      </c>
      <c r="W162" s="149" t="e">
        <f t="shared" si="13"/>
        <v>#N/A</v>
      </c>
      <c r="X162" s="149" t="e">
        <f t="shared" si="13"/>
        <v>#N/A</v>
      </c>
      <c r="Y162" s="149" t="e">
        <f t="shared" si="13"/>
        <v>#N/A</v>
      </c>
      <c r="Z162" s="149" t="e">
        <f t="shared" si="13"/>
        <v>#N/A</v>
      </c>
      <c r="AA162" s="149" t="e">
        <f t="shared" si="13"/>
        <v>#N/A</v>
      </c>
      <c r="AB162" s="149" t="e">
        <f t="shared" si="13"/>
        <v>#N/A</v>
      </c>
      <c r="AC162" s="149" t="e">
        <f t="shared" si="13"/>
        <v>#N/A</v>
      </c>
      <c r="AD162" s="149" t="e">
        <f t="shared" si="13"/>
        <v>#N/A</v>
      </c>
    </row>
    <row r="163" spans="1:30">
      <c r="A163" s="160" t="s">
        <v>208</v>
      </c>
      <c r="B163" s="41" t="s">
        <v>474</v>
      </c>
      <c r="C163" s="41" t="s">
        <v>714</v>
      </c>
      <c r="D163" s="94">
        <v>3700</v>
      </c>
      <c r="E163" s="148">
        <v>-0.10300000000000001</v>
      </c>
      <c r="F163" s="41" t="s">
        <v>1215</v>
      </c>
      <c r="L163" s="41"/>
      <c r="N163" s="99"/>
      <c r="O163" s="99"/>
      <c r="P163" s="99"/>
      <c r="R163" s="148">
        <f t="shared" si="12"/>
        <v>2.4E-2</v>
      </c>
      <c r="S163" s="149" t="e">
        <f t="shared" si="10"/>
        <v>#N/A</v>
      </c>
      <c r="T163" s="149" t="e">
        <f t="shared" si="13"/>
        <v>#N/A</v>
      </c>
      <c r="U163" s="149" t="e">
        <f t="shared" si="13"/>
        <v>#N/A</v>
      </c>
      <c r="V163" s="149" t="e">
        <f t="shared" si="13"/>
        <v>#N/A</v>
      </c>
      <c r="W163" s="149" t="e">
        <f t="shared" si="13"/>
        <v>#N/A</v>
      </c>
      <c r="X163" s="149" t="e">
        <f t="shared" si="13"/>
        <v>#N/A</v>
      </c>
      <c r="Y163" s="149" t="e">
        <f t="shared" si="13"/>
        <v>#N/A</v>
      </c>
      <c r="Z163" s="149" t="e">
        <f t="shared" si="13"/>
        <v>#N/A</v>
      </c>
      <c r="AA163" s="149" t="e">
        <f t="shared" si="13"/>
        <v>#N/A</v>
      </c>
      <c r="AB163" s="149" t="e">
        <f t="shared" si="13"/>
        <v>#N/A</v>
      </c>
      <c r="AC163" s="149" t="e">
        <f t="shared" si="13"/>
        <v>#N/A</v>
      </c>
      <c r="AD163" s="149" t="e">
        <f t="shared" si="13"/>
        <v>#N/A</v>
      </c>
    </row>
    <row r="164" spans="1:30">
      <c r="A164" s="160" t="s">
        <v>209</v>
      </c>
      <c r="B164" s="41" t="s">
        <v>475</v>
      </c>
      <c r="C164" s="41" t="s">
        <v>714</v>
      </c>
      <c r="D164" s="94">
        <v>3800</v>
      </c>
      <c r="E164" s="148">
        <v>-7.9000000000000001E-2</v>
      </c>
      <c r="F164" s="41" t="s">
        <v>1216</v>
      </c>
      <c r="L164" s="41"/>
      <c r="N164" s="99"/>
      <c r="O164" s="99"/>
      <c r="P164" s="99"/>
      <c r="R164" s="148">
        <f t="shared" si="12"/>
        <v>2.5000000000000001E-2</v>
      </c>
      <c r="S164" s="149" t="e">
        <f t="shared" si="10"/>
        <v>#N/A</v>
      </c>
      <c r="T164" s="149" t="e">
        <f t="shared" si="13"/>
        <v>#N/A</v>
      </c>
      <c r="U164" s="149" t="e">
        <f t="shared" si="13"/>
        <v>#N/A</v>
      </c>
      <c r="V164" s="149" t="e">
        <f t="shared" si="13"/>
        <v>#N/A</v>
      </c>
      <c r="W164" s="149" t="e">
        <f t="shared" si="13"/>
        <v>#N/A</v>
      </c>
      <c r="X164" s="149" t="e">
        <f t="shared" si="13"/>
        <v>#N/A</v>
      </c>
      <c r="Y164" s="149" t="e">
        <f t="shared" si="13"/>
        <v>#N/A</v>
      </c>
      <c r="Z164" s="149" t="e">
        <f t="shared" si="13"/>
        <v>#N/A</v>
      </c>
      <c r="AA164" s="149" t="e">
        <f t="shared" si="13"/>
        <v>#N/A</v>
      </c>
      <c r="AB164" s="149" t="e">
        <f t="shared" si="13"/>
        <v>#N/A</v>
      </c>
      <c r="AC164" s="149" t="e">
        <f t="shared" si="13"/>
        <v>#N/A</v>
      </c>
      <c r="AD164" s="149" t="e">
        <f t="shared" si="13"/>
        <v>#N/A</v>
      </c>
    </row>
    <row r="165" spans="1:30">
      <c r="A165" s="160" t="s">
        <v>210</v>
      </c>
      <c r="B165" s="41" t="s">
        <v>476</v>
      </c>
      <c r="C165" s="41" t="s">
        <v>714</v>
      </c>
      <c r="D165" s="94">
        <v>3900</v>
      </c>
      <c r="E165" s="148">
        <v>-5.5E-2</v>
      </c>
      <c r="F165" s="41" t="s">
        <v>1217</v>
      </c>
      <c r="L165" s="41"/>
      <c r="N165" s="99"/>
      <c r="O165" s="99"/>
      <c r="P165" s="99"/>
      <c r="R165" s="148">
        <f t="shared" si="12"/>
        <v>2.5999999999999999E-2</v>
      </c>
      <c r="S165" s="149" t="e">
        <f t="shared" si="10"/>
        <v>#N/A</v>
      </c>
      <c r="T165" s="149" t="e">
        <f t="shared" si="13"/>
        <v>#N/A</v>
      </c>
      <c r="U165" s="149" t="e">
        <f t="shared" si="13"/>
        <v>#N/A</v>
      </c>
      <c r="V165" s="149" t="e">
        <f t="shared" si="13"/>
        <v>#N/A</v>
      </c>
      <c r="W165" s="149" t="e">
        <f t="shared" si="13"/>
        <v>#N/A</v>
      </c>
      <c r="X165" s="149" t="e">
        <f t="shared" si="13"/>
        <v>#N/A</v>
      </c>
      <c r="Y165" s="149" t="e">
        <f t="shared" si="13"/>
        <v>#N/A</v>
      </c>
      <c r="Z165" s="149" t="e">
        <f t="shared" si="13"/>
        <v>#N/A</v>
      </c>
      <c r="AA165" s="149" t="e">
        <f t="shared" si="13"/>
        <v>#N/A</v>
      </c>
      <c r="AB165" s="149" t="e">
        <f t="shared" si="13"/>
        <v>#N/A</v>
      </c>
      <c r="AC165" s="149" t="e">
        <f t="shared" si="13"/>
        <v>#N/A</v>
      </c>
      <c r="AD165" s="149" t="e">
        <f t="shared" si="13"/>
        <v>#N/A</v>
      </c>
    </row>
    <row r="166" spans="1:30">
      <c r="A166" s="160" t="s">
        <v>211</v>
      </c>
      <c r="B166" s="41" t="s">
        <v>477</v>
      </c>
      <c r="C166" s="41" t="s">
        <v>714</v>
      </c>
      <c r="D166" s="94">
        <v>4000</v>
      </c>
      <c r="E166" s="148">
        <v>-3.1E-2</v>
      </c>
      <c r="F166" s="41" t="s">
        <v>734</v>
      </c>
      <c r="L166" s="41"/>
      <c r="N166" s="99"/>
      <c r="O166" s="99"/>
      <c r="P166" s="99"/>
      <c r="R166" s="148">
        <f t="shared" si="12"/>
        <v>2.7E-2</v>
      </c>
      <c r="S166" s="149" t="e">
        <f t="shared" si="10"/>
        <v>#N/A</v>
      </c>
      <c r="T166" s="149" t="e">
        <f t="shared" si="13"/>
        <v>#N/A</v>
      </c>
      <c r="U166" s="149" t="e">
        <f t="shared" si="13"/>
        <v>#N/A</v>
      </c>
      <c r="V166" s="149" t="e">
        <f t="shared" si="13"/>
        <v>#N/A</v>
      </c>
      <c r="W166" s="149" t="e">
        <f t="shared" si="13"/>
        <v>#N/A</v>
      </c>
      <c r="X166" s="149" t="e">
        <f t="shared" si="13"/>
        <v>#N/A</v>
      </c>
      <c r="Y166" s="149" t="e">
        <f t="shared" si="13"/>
        <v>#N/A</v>
      </c>
      <c r="Z166" s="149" t="e">
        <f t="shared" si="13"/>
        <v>#N/A</v>
      </c>
      <c r="AA166" s="149" t="e">
        <f t="shared" si="13"/>
        <v>#N/A</v>
      </c>
      <c r="AB166" s="149" t="e">
        <f t="shared" si="13"/>
        <v>#N/A</v>
      </c>
      <c r="AC166" s="149" t="e">
        <f t="shared" si="13"/>
        <v>#N/A</v>
      </c>
      <c r="AD166" s="149" t="e">
        <f t="shared" si="13"/>
        <v>#N/A</v>
      </c>
    </row>
    <row r="167" spans="1:30">
      <c r="A167" s="160" t="s">
        <v>212</v>
      </c>
      <c r="B167" s="41" t="s">
        <v>478</v>
      </c>
      <c r="C167" s="41" t="s">
        <v>714</v>
      </c>
      <c r="D167" s="94">
        <v>4100</v>
      </c>
      <c r="E167" s="148">
        <v>-6.0000000000000001E-3</v>
      </c>
      <c r="F167" s="41" t="s">
        <v>735</v>
      </c>
      <c r="L167" s="41"/>
      <c r="N167" s="99"/>
      <c r="O167" s="99"/>
      <c r="P167" s="99"/>
      <c r="R167" s="148">
        <f t="shared" si="12"/>
        <v>2.8000000000000001E-2</v>
      </c>
      <c r="S167" s="149" t="e">
        <f t="shared" si="10"/>
        <v>#N/A</v>
      </c>
      <c r="T167" s="149" t="e">
        <f t="shared" si="13"/>
        <v>#N/A</v>
      </c>
      <c r="U167" s="149" t="e">
        <f t="shared" si="13"/>
        <v>#N/A</v>
      </c>
      <c r="V167" s="149" t="e">
        <f t="shared" si="13"/>
        <v>#N/A</v>
      </c>
      <c r="W167" s="149" t="e">
        <f t="shared" si="13"/>
        <v>#N/A</v>
      </c>
      <c r="X167" s="149" t="e">
        <f t="shared" si="13"/>
        <v>#N/A</v>
      </c>
      <c r="Y167" s="149" t="e">
        <f t="shared" si="13"/>
        <v>#N/A</v>
      </c>
      <c r="Z167" s="149" t="e">
        <f t="shared" si="13"/>
        <v>#N/A</v>
      </c>
      <c r="AA167" s="149" t="e">
        <f t="shared" si="13"/>
        <v>#N/A</v>
      </c>
      <c r="AB167" s="149" t="e">
        <f t="shared" si="13"/>
        <v>#N/A</v>
      </c>
      <c r="AC167" s="149" t="e">
        <f t="shared" si="13"/>
        <v>#N/A</v>
      </c>
      <c r="AD167" s="149" t="e">
        <f t="shared" si="13"/>
        <v>#N/A</v>
      </c>
    </row>
    <row r="168" spans="1:30">
      <c r="A168" s="160" t="s">
        <v>213</v>
      </c>
      <c r="B168" s="41" t="s">
        <v>479</v>
      </c>
      <c r="C168" s="41" t="s">
        <v>714</v>
      </c>
      <c r="D168" s="94">
        <v>4200</v>
      </c>
      <c r="E168" s="148">
        <v>1.8000000000000002E-2</v>
      </c>
      <c r="F168" s="41" t="s">
        <v>736</v>
      </c>
      <c r="L168" s="41"/>
      <c r="N168" s="99"/>
      <c r="O168" s="99"/>
      <c r="P168" s="99"/>
      <c r="R168" s="148">
        <f t="shared" si="12"/>
        <v>2.9000000000000001E-2</v>
      </c>
      <c r="S168" s="149" t="e">
        <f t="shared" si="10"/>
        <v>#N/A</v>
      </c>
      <c r="T168" s="149" t="e">
        <f t="shared" si="13"/>
        <v>#N/A</v>
      </c>
      <c r="U168" s="149" t="e">
        <f t="shared" si="13"/>
        <v>#N/A</v>
      </c>
      <c r="V168" s="149" t="e">
        <f t="shared" si="13"/>
        <v>#N/A</v>
      </c>
      <c r="W168" s="149" t="e">
        <f t="shared" si="13"/>
        <v>#N/A</v>
      </c>
      <c r="X168" s="149" t="e">
        <f t="shared" si="13"/>
        <v>#N/A</v>
      </c>
      <c r="Y168" s="149" t="e">
        <f t="shared" si="13"/>
        <v>#N/A</v>
      </c>
      <c r="Z168" s="149" t="e">
        <f t="shared" si="13"/>
        <v>#N/A</v>
      </c>
      <c r="AA168" s="149" t="e">
        <f t="shared" si="13"/>
        <v>#N/A</v>
      </c>
      <c r="AB168" s="149" t="e">
        <f t="shared" si="13"/>
        <v>#N/A</v>
      </c>
      <c r="AC168" s="149" t="e">
        <f t="shared" si="13"/>
        <v>#N/A</v>
      </c>
      <c r="AD168" s="149" t="e">
        <f t="shared" si="13"/>
        <v>#N/A</v>
      </c>
    </row>
    <row r="169" spans="1:30">
      <c r="A169" s="160" t="s">
        <v>214</v>
      </c>
      <c r="B169" s="41" t="s">
        <v>480</v>
      </c>
      <c r="C169" s="41" t="s">
        <v>714</v>
      </c>
      <c r="D169" s="94">
        <v>4300</v>
      </c>
      <c r="E169" s="148">
        <v>4.2000000000000003E-2</v>
      </c>
      <c r="F169" s="41" t="s">
        <v>1218</v>
      </c>
      <c r="L169" s="41"/>
      <c r="N169" s="99"/>
      <c r="O169" s="99"/>
      <c r="P169" s="99"/>
      <c r="R169" s="148">
        <f t="shared" si="12"/>
        <v>0.03</v>
      </c>
      <c r="S169" s="149" t="e">
        <f t="shared" si="10"/>
        <v>#N/A</v>
      </c>
      <c r="T169" s="149" t="e">
        <f t="shared" si="13"/>
        <v>#N/A</v>
      </c>
      <c r="U169" s="149" t="e">
        <f t="shared" si="13"/>
        <v>#N/A</v>
      </c>
      <c r="V169" s="149" t="e">
        <f t="shared" si="13"/>
        <v>#N/A</v>
      </c>
      <c r="W169" s="149" t="e">
        <f t="shared" si="13"/>
        <v>#N/A</v>
      </c>
      <c r="X169" s="149" t="e">
        <f t="shared" si="13"/>
        <v>#N/A</v>
      </c>
      <c r="Y169" s="149" t="e">
        <f t="shared" si="13"/>
        <v>#N/A</v>
      </c>
      <c r="Z169" s="149" t="e">
        <f t="shared" si="13"/>
        <v>#N/A</v>
      </c>
      <c r="AA169" s="149" t="e">
        <f t="shared" si="13"/>
        <v>#N/A</v>
      </c>
      <c r="AB169" s="149" t="e">
        <f t="shared" si="13"/>
        <v>#N/A</v>
      </c>
      <c r="AC169" s="149" t="e">
        <f t="shared" si="13"/>
        <v>#N/A</v>
      </c>
      <c r="AD169" s="149" t="e">
        <f t="shared" si="13"/>
        <v>#N/A</v>
      </c>
    </row>
    <row r="170" spans="1:30">
      <c r="A170" s="160" t="s">
        <v>215</v>
      </c>
      <c r="B170" s="41" t="s">
        <v>481</v>
      </c>
      <c r="C170" s="41" t="s">
        <v>714</v>
      </c>
      <c r="D170" s="94">
        <v>4400</v>
      </c>
      <c r="E170" s="148">
        <v>6.6000000000000003E-2</v>
      </c>
      <c r="F170" s="41" t="s">
        <v>1219</v>
      </c>
      <c r="L170" s="41"/>
      <c r="N170" s="99"/>
      <c r="O170" s="99"/>
      <c r="P170" s="99"/>
      <c r="R170" s="148">
        <f t="shared" si="12"/>
        <v>3.1E-2</v>
      </c>
      <c r="S170" s="149" t="e">
        <f t="shared" si="10"/>
        <v>#N/A</v>
      </c>
      <c r="T170" s="149" t="e">
        <f t="shared" si="13"/>
        <v>#N/A</v>
      </c>
      <c r="U170" s="149" t="e">
        <f t="shared" si="13"/>
        <v>#N/A</v>
      </c>
      <c r="V170" s="149" t="e">
        <f t="shared" si="13"/>
        <v>#N/A</v>
      </c>
      <c r="W170" s="149" t="e">
        <f t="shared" si="13"/>
        <v>#N/A</v>
      </c>
      <c r="X170" s="149" t="e">
        <f t="shared" si="13"/>
        <v>#N/A</v>
      </c>
      <c r="Y170" s="149" t="e">
        <f t="shared" si="13"/>
        <v>#N/A</v>
      </c>
      <c r="Z170" s="149" t="e">
        <f t="shared" si="13"/>
        <v>#N/A</v>
      </c>
      <c r="AA170" s="149" t="e">
        <f t="shared" si="13"/>
        <v>#N/A</v>
      </c>
      <c r="AB170" s="149" t="e">
        <f t="shared" si="13"/>
        <v>#N/A</v>
      </c>
      <c r="AC170" s="149" t="e">
        <f t="shared" si="13"/>
        <v>#N/A</v>
      </c>
      <c r="AD170" s="149" t="e">
        <f t="shared" si="13"/>
        <v>#N/A</v>
      </c>
    </row>
    <row r="171" spans="1:30">
      <c r="A171" s="160" t="s">
        <v>216</v>
      </c>
      <c r="B171" s="41" t="s">
        <v>482</v>
      </c>
      <c r="C171" s="41" t="s">
        <v>714</v>
      </c>
      <c r="D171" s="94">
        <v>4500</v>
      </c>
      <c r="E171" s="148">
        <v>9.0999999999999998E-2</v>
      </c>
      <c r="F171" s="41" t="s">
        <v>1220</v>
      </c>
      <c r="L171" s="41"/>
      <c r="N171" s="99"/>
      <c r="O171" s="99"/>
      <c r="P171" s="99"/>
      <c r="R171" s="148">
        <f t="shared" si="12"/>
        <v>3.2000000000000001E-2</v>
      </c>
      <c r="S171" s="149" t="e">
        <f t="shared" si="10"/>
        <v>#N/A</v>
      </c>
      <c r="T171" s="149" t="e">
        <f t="shared" si="13"/>
        <v>#N/A</v>
      </c>
      <c r="U171" s="149" t="e">
        <f t="shared" si="13"/>
        <v>#N/A</v>
      </c>
      <c r="V171" s="149" t="e">
        <f t="shared" si="13"/>
        <v>#N/A</v>
      </c>
      <c r="W171" s="149" t="e">
        <f t="shared" si="13"/>
        <v>#N/A</v>
      </c>
      <c r="X171" s="149" t="e">
        <f t="shared" si="13"/>
        <v>#N/A</v>
      </c>
      <c r="Y171" s="149" t="e">
        <f t="shared" si="13"/>
        <v>#N/A</v>
      </c>
      <c r="Z171" s="149" t="e">
        <f t="shared" si="13"/>
        <v>#N/A</v>
      </c>
      <c r="AA171" s="149" t="e">
        <f t="shared" si="13"/>
        <v>#N/A</v>
      </c>
      <c r="AB171" s="149" t="e">
        <f t="shared" si="13"/>
        <v>#N/A</v>
      </c>
      <c r="AC171" s="149" t="e">
        <f t="shared" si="13"/>
        <v>#N/A</v>
      </c>
      <c r="AD171" s="149" t="e">
        <f t="shared" si="13"/>
        <v>#N/A</v>
      </c>
    </row>
    <row r="172" spans="1:30">
      <c r="A172" s="160" t="s">
        <v>863</v>
      </c>
      <c r="B172" s="41" t="s">
        <v>1221</v>
      </c>
      <c r="C172" s="41" t="s">
        <v>714</v>
      </c>
      <c r="D172" s="94">
        <v>4600</v>
      </c>
      <c r="E172" s="148">
        <v>0.115</v>
      </c>
      <c r="F172" s="41" t="s">
        <v>1222</v>
      </c>
      <c r="L172" s="41"/>
      <c r="N172" s="99"/>
      <c r="O172" s="99"/>
      <c r="P172" s="99"/>
      <c r="R172" s="148">
        <f t="shared" si="12"/>
        <v>3.3000000000000002E-2</v>
      </c>
      <c r="S172" s="149" t="e">
        <f t="shared" si="10"/>
        <v>#N/A</v>
      </c>
      <c r="T172" s="149" t="e">
        <f t="shared" si="13"/>
        <v>#N/A</v>
      </c>
      <c r="U172" s="149" t="e">
        <f t="shared" si="13"/>
        <v>#N/A</v>
      </c>
      <c r="V172" s="149" t="e">
        <f t="shared" si="13"/>
        <v>#N/A</v>
      </c>
      <c r="W172" s="149" t="e">
        <f t="shared" si="13"/>
        <v>#N/A</v>
      </c>
      <c r="X172" s="149" t="e">
        <f t="shared" si="13"/>
        <v>#N/A</v>
      </c>
      <c r="Y172" s="149" t="e">
        <f t="shared" si="13"/>
        <v>#N/A</v>
      </c>
      <c r="Z172" s="149" t="e">
        <f t="shared" si="13"/>
        <v>#N/A</v>
      </c>
      <c r="AA172" s="149" t="e">
        <f t="shared" si="13"/>
        <v>#N/A</v>
      </c>
      <c r="AB172" s="149" t="e">
        <f t="shared" si="13"/>
        <v>#N/A</v>
      </c>
      <c r="AC172" s="149" t="e">
        <f t="shared" si="13"/>
        <v>#N/A</v>
      </c>
      <c r="AD172" s="149" t="e">
        <f t="shared" si="13"/>
        <v>#N/A</v>
      </c>
    </row>
    <row r="173" spans="1:30">
      <c r="A173" s="160" t="s">
        <v>864</v>
      </c>
      <c r="B173" s="41" t="s">
        <v>1223</v>
      </c>
      <c r="C173" s="41" t="s">
        <v>714</v>
      </c>
      <c r="D173" s="94">
        <v>4700</v>
      </c>
      <c r="E173" s="148">
        <v>0.13900000000000001</v>
      </c>
      <c r="F173" s="41" t="s">
        <v>1224</v>
      </c>
      <c r="L173" s="41"/>
      <c r="N173" s="99"/>
      <c r="O173" s="99"/>
      <c r="P173" s="99"/>
      <c r="R173" s="148">
        <f t="shared" si="12"/>
        <v>3.4000000000000002E-2</v>
      </c>
      <c r="S173" s="149" t="e">
        <f t="shared" si="10"/>
        <v>#N/A</v>
      </c>
      <c r="T173" s="149" t="e">
        <f t="shared" si="13"/>
        <v>#N/A</v>
      </c>
      <c r="U173" s="149" t="e">
        <f t="shared" si="13"/>
        <v>#N/A</v>
      </c>
      <c r="V173" s="149" t="e">
        <f t="shared" si="13"/>
        <v>#N/A</v>
      </c>
      <c r="W173" s="149" t="e">
        <f t="shared" si="13"/>
        <v>#N/A</v>
      </c>
      <c r="X173" s="149" t="e">
        <f t="shared" si="13"/>
        <v>#N/A</v>
      </c>
      <c r="Y173" s="149" t="e">
        <f t="shared" si="13"/>
        <v>#N/A</v>
      </c>
      <c r="Z173" s="149" t="e">
        <f t="shared" si="13"/>
        <v>#N/A</v>
      </c>
      <c r="AA173" s="149" t="e">
        <f t="shared" si="13"/>
        <v>#N/A</v>
      </c>
      <c r="AB173" s="149" t="e">
        <f t="shared" si="13"/>
        <v>#N/A</v>
      </c>
      <c r="AC173" s="149" t="e">
        <f t="shared" si="13"/>
        <v>#N/A</v>
      </c>
      <c r="AD173" s="149" t="e">
        <f t="shared" si="13"/>
        <v>#N/A</v>
      </c>
    </row>
    <row r="174" spans="1:30">
      <c r="A174" s="160" t="s">
        <v>865</v>
      </c>
      <c r="B174" s="41" t="s">
        <v>1225</v>
      </c>
      <c r="C174" s="41" t="s">
        <v>700</v>
      </c>
      <c r="D174" s="94">
        <v>3300</v>
      </c>
      <c r="E174" s="148">
        <v>-0.2</v>
      </c>
      <c r="F174" s="41" t="s">
        <v>1226</v>
      </c>
      <c r="L174" s="41"/>
      <c r="N174" s="99"/>
      <c r="O174" s="99"/>
      <c r="P174" s="99"/>
      <c r="R174" s="148">
        <f t="shared" si="12"/>
        <v>3.5000000000000003E-2</v>
      </c>
      <c r="S174" s="149" t="e">
        <f t="shared" si="10"/>
        <v>#N/A</v>
      </c>
      <c r="T174" s="149" t="e">
        <f t="shared" si="13"/>
        <v>#N/A</v>
      </c>
      <c r="U174" s="149" t="e">
        <f t="shared" si="13"/>
        <v>#N/A</v>
      </c>
      <c r="V174" s="149" t="e">
        <f t="shared" si="13"/>
        <v>#N/A</v>
      </c>
      <c r="W174" s="149" t="e">
        <f t="shared" si="13"/>
        <v>#N/A</v>
      </c>
      <c r="X174" s="149" t="e">
        <f t="shared" si="13"/>
        <v>#N/A</v>
      </c>
      <c r="Y174" s="149" t="e">
        <f t="shared" si="13"/>
        <v>#N/A</v>
      </c>
      <c r="Z174" s="149" t="e">
        <f t="shared" si="13"/>
        <v>#N/A</v>
      </c>
      <c r="AA174" s="149" t="e">
        <f t="shared" si="13"/>
        <v>#N/A</v>
      </c>
      <c r="AB174" s="149" t="e">
        <f t="shared" si="13"/>
        <v>#N/A</v>
      </c>
      <c r="AC174" s="149" t="e">
        <f t="shared" si="13"/>
        <v>#N/A</v>
      </c>
      <c r="AD174" s="149" t="e">
        <f t="shared" si="13"/>
        <v>#N/A</v>
      </c>
    </row>
    <row r="175" spans="1:30">
      <c r="A175" s="160" t="s">
        <v>866</v>
      </c>
      <c r="B175" s="41" t="s">
        <v>1227</v>
      </c>
      <c r="C175" s="41" t="s">
        <v>700</v>
      </c>
      <c r="D175" s="94">
        <v>3400</v>
      </c>
      <c r="E175" s="148">
        <v>-0.17600000000000002</v>
      </c>
      <c r="F175" s="41" t="s">
        <v>1228</v>
      </c>
      <c r="L175" s="41"/>
      <c r="N175" s="99"/>
      <c r="O175" s="99"/>
      <c r="P175" s="99"/>
      <c r="R175" s="148">
        <f t="shared" si="12"/>
        <v>3.5999999999999997E-2</v>
      </c>
      <c r="S175" s="149" t="e">
        <f t="shared" si="10"/>
        <v>#N/A</v>
      </c>
      <c r="T175" s="149" t="e">
        <f t="shared" si="13"/>
        <v>#N/A</v>
      </c>
      <c r="U175" s="149" t="e">
        <f t="shared" si="13"/>
        <v>#N/A</v>
      </c>
      <c r="V175" s="149" t="e">
        <f t="shared" si="13"/>
        <v>#N/A</v>
      </c>
      <c r="W175" s="149" t="e">
        <f t="shared" si="13"/>
        <v>#N/A</v>
      </c>
      <c r="X175" s="149" t="e">
        <f t="shared" si="13"/>
        <v>#N/A</v>
      </c>
      <c r="Y175" s="149" t="e">
        <f t="shared" si="13"/>
        <v>#N/A</v>
      </c>
      <c r="Z175" s="149" t="e">
        <f t="shared" si="13"/>
        <v>#N/A</v>
      </c>
      <c r="AA175" s="149" t="e">
        <f t="shared" si="13"/>
        <v>#N/A</v>
      </c>
      <c r="AB175" s="149" t="e">
        <f t="shared" si="13"/>
        <v>#N/A</v>
      </c>
      <c r="AC175" s="149" t="e">
        <f t="shared" si="13"/>
        <v>#N/A</v>
      </c>
      <c r="AD175" s="149" t="e">
        <f t="shared" si="13"/>
        <v>#N/A</v>
      </c>
    </row>
    <row r="176" spans="1:30">
      <c r="A176" s="160" t="s">
        <v>277</v>
      </c>
      <c r="B176" s="41" t="s">
        <v>543</v>
      </c>
      <c r="C176" s="41" t="s">
        <v>700</v>
      </c>
      <c r="D176" s="94">
        <v>3500</v>
      </c>
      <c r="E176" s="148">
        <v>-0.152</v>
      </c>
      <c r="F176" s="41" t="s">
        <v>1229</v>
      </c>
      <c r="L176" s="41"/>
      <c r="N176" s="99"/>
      <c r="O176" s="99"/>
      <c r="P176" s="99"/>
      <c r="R176" s="148">
        <f t="shared" si="12"/>
        <v>3.6999999999999998E-2</v>
      </c>
      <c r="S176" s="149" t="e">
        <f t="shared" si="10"/>
        <v>#N/A</v>
      </c>
      <c r="T176" s="149" t="e">
        <f t="shared" si="13"/>
        <v>#N/A</v>
      </c>
      <c r="U176" s="149" t="e">
        <f t="shared" si="13"/>
        <v>#N/A</v>
      </c>
      <c r="V176" s="149" t="e">
        <f t="shared" si="13"/>
        <v>#N/A</v>
      </c>
      <c r="W176" s="149" t="e">
        <f t="shared" si="13"/>
        <v>#N/A</v>
      </c>
      <c r="X176" s="149" t="e">
        <f t="shared" si="13"/>
        <v>#N/A</v>
      </c>
      <c r="Y176" s="149" t="e">
        <f t="shared" si="13"/>
        <v>#N/A</v>
      </c>
      <c r="Z176" s="149" t="e">
        <f t="shared" si="13"/>
        <v>#N/A</v>
      </c>
      <c r="AA176" s="149" t="e">
        <f t="shared" si="13"/>
        <v>#N/A</v>
      </c>
      <c r="AB176" s="149" t="e">
        <f t="shared" si="13"/>
        <v>#N/A</v>
      </c>
      <c r="AC176" s="149" t="e">
        <f t="shared" si="13"/>
        <v>#N/A</v>
      </c>
      <c r="AD176" s="149" t="e">
        <f t="shared" si="13"/>
        <v>#N/A</v>
      </c>
    </row>
    <row r="177" spans="1:30">
      <c r="A177" s="160" t="s">
        <v>278</v>
      </c>
      <c r="B177" s="41" t="s">
        <v>544</v>
      </c>
      <c r="C177" s="41" t="s">
        <v>700</v>
      </c>
      <c r="D177" s="94">
        <v>3600</v>
      </c>
      <c r="E177" s="148">
        <v>-0.128</v>
      </c>
      <c r="F177" s="41" t="s">
        <v>1230</v>
      </c>
      <c r="L177" s="41"/>
      <c r="N177" s="99"/>
      <c r="O177" s="99"/>
      <c r="P177" s="99"/>
      <c r="R177" s="148">
        <f t="shared" si="12"/>
        <v>3.7999999999999999E-2</v>
      </c>
      <c r="S177" s="149" t="e">
        <f t="shared" si="10"/>
        <v>#N/A</v>
      </c>
      <c r="T177" s="149" t="e">
        <f t="shared" si="13"/>
        <v>#N/A</v>
      </c>
      <c r="U177" s="149" t="e">
        <f t="shared" si="13"/>
        <v>#N/A</v>
      </c>
      <c r="V177" s="149" t="e">
        <f t="shared" si="13"/>
        <v>#N/A</v>
      </c>
      <c r="W177" s="149" t="e">
        <f t="shared" si="13"/>
        <v>#N/A</v>
      </c>
      <c r="X177" s="149" t="e">
        <f t="shared" si="13"/>
        <v>#N/A</v>
      </c>
      <c r="Y177" s="149" t="e">
        <f t="shared" si="13"/>
        <v>#N/A</v>
      </c>
      <c r="Z177" s="149" t="e">
        <f t="shared" si="13"/>
        <v>#N/A</v>
      </c>
      <c r="AA177" s="149" t="e">
        <f t="shared" si="13"/>
        <v>#N/A</v>
      </c>
      <c r="AB177" s="149" t="e">
        <f t="shared" si="13"/>
        <v>#N/A</v>
      </c>
      <c r="AC177" s="149" t="e">
        <f t="shared" si="13"/>
        <v>#N/A</v>
      </c>
      <c r="AD177" s="149" t="e">
        <f t="shared" si="13"/>
        <v>#N/A</v>
      </c>
    </row>
    <row r="178" spans="1:30">
      <c r="A178" s="160" t="s">
        <v>279</v>
      </c>
      <c r="B178" s="41" t="s">
        <v>545</v>
      </c>
      <c r="C178" s="41" t="s">
        <v>700</v>
      </c>
      <c r="D178" s="94">
        <v>3700</v>
      </c>
      <c r="E178" s="148">
        <v>-0.10300000000000001</v>
      </c>
      <c r="F178" s="41" t="s">
        <v>1231</v>
      </c>
      <c r="L178" s="41"/>
      <c r="N178" s="99"/>
      <c r="O178" s="99"/>
      <c r="P178" s="99"/>
      <c r="R178" s="148">
        <f t="shared" si="12"/>
        <v>3.9E-2</v>
      </c>
      <c r="S178" s="149" t="e">
        <f t="shared" si="10"/>
        <v>#N/A</v>
      </c>
      <c r="T178" s="149" t="e">
        <f t="shared" si="13"/>
        <v>#N/A</v>
      </c>
      <c r="U178" s="149" t="e">
        <f t="shared" si="13"/>
        <v>#N/A</v>
      </c>
      <c r="V178" s="149" t="e">
        <f t="shared" si="13"/>
        <v>#N/A</v>
      </c>
      <c r="W178" s="149" t="e">
        <f t="shared" si="13"/>
        <v>#N/A</v>
      </c>
      <c r="X178" s="149" t="e">
        <f t="shared" si="13"/>
        <v>#N/A</v>
      </c>
      <c r="Y178" s="149" t="e">
        <f t="shared" si="13"/>
        <v>#N/A</v>
      </c>
      <c r="Z178" s="149" t="e">
        <f t="shared" si="13"/>
        <v>#N/A</v>
      </c>
      <c r="AA178" s="149" t="e">
        <f t="shared" si="13"/>
        <v>#N/A</v>
      </c>
      <c r="AB178" s="149" t="e">
        <f t="shared" si="13"/>
        <v>#N/A</v>
      </c>
      <c r="AC178" s="149" t="e">
        <f t="shared" si="13"/>
        <v>#N/A</v>
      </c>
      <c r="AD178" s="149" t="e">
        <f t="shared" si="13"/>
        <v>#N/A</v>
      </c>
    </row>
    <row r="179" spans="1:30">
      <c r="A179" s="160" t="s">
        <v>280</v>
      </c>
      <c r="B179" s="41" t="s">
        <v>546</v>
      </c>
      <c r="C179" s="41" t="s">
        <v>700</v>
      </c>
      <c r="D179" s="94">
        <v>3800</v>
      </c>
      <c r="E179" s="148">
        <v>-7.9000000000000001E-2</v>
      </c>
      <c r="F179" s="41" t="s">
        <v>1232</v>
      </c>
      <c r="L179" s="41"/>
      <c r="N179" s="99"/>
      <c r="O179" s="99"/>
      <c r="P179" s="99"/>
      <c r="R179" s="148">
        <f t="shared" si="12"/>
        <v>0.04</v>
      </c>
      <c r="S179" s="149" t="e">
        <f t="shared" si="10"/>
        <v>#N/A</v>
      </c>
      <c r="T179" s="149" t="e">
        <f t="shared" si="13"/>
        <v>#N/A</v>
      </c>
      <c r="U179" s="149" t="e">
        <f t="shared" si="13"/>
        <v>#N/A</v>
      </c>
      <c r="V179" s="149" t="e">
        <f t="shared" si="13"/>
        <v>#N/A</v>
      </c>
      <c r="W179" s="149" t="e">
        <f t="shared" si="13"/>
        <v>#N/A</v>
      </c>
      <c r="X179" s="149" t="e">
        <f t="shared" si="13"/>
        <v>#N/A</v>
      </c>
      <c r="Y179" s="149" t="e">
        <f t="shared" si="13"/>
        <v>#N/A</v>
      </c>
      <c r="Z179" s="149" t="e">
        <f t="shared" si="13"/>
        <v>#N/A</v>
      </c>
      <c r="AA179" s="149" t="e">
        <f t="shared" si="13"/>
        <v>#N/A</v>
      </c>
      <c r="AB179" s="149" t="e">
        <f t="shared" si="13"/>
        <v>#N/A</v>
      </c>
      <c r="AC179" s="149" t="e">
        <f t="shared" si="13"/>
        <v>#N/A</v>
      </c>
      <c r="AD179" s="149" t="e">
        <f t="shared" si="13"/>
        <v>#N/A</v>
      </c>
    </row>
    <row r="180" spans="1:30">
      <c r="A180" s="160" t="s">
        <v>281</v>
      </c>
      <c r="B180" s="41" t="s">
        <v>547</v>
      </c>
      <c r="C180" s="41" t="s">
        <v>700</v>
      </c>
      <c r="D180" s="94">
        <v>3900</v>
      </c>
      <c r="E180" s="148">
        <v>-5.5E-2</v>
      </c>
      <c r="F180" s="41" t="s">
        <v>1233</v>
      </c>
      <c r="L180" s="41"/>
      <c r="N180" s="99"/>
      <c r="O180" s="99"/>
      <c r="P180" s="99"/>
      <c r="R180" s="148">
        <f t="shared" si="12"/>
        <v>4.1000000000000002E-2</v>
      </c>
      <c r="S180" s="149" t="e">
        <f t="shared" si="10"/>
        <v>#N/A</v>
      </c>
      <c r="T180" s="149" t="e">
        <f t="shared" si="13"/>
        <v>#N/A</v>
      </c>
      <c r="U180" s="149" t="e">
        <f t="shared" si="13"/>
        <v>#N/A</v>
      </c>
      <c r="V180" s="149" t="e">
        <f t="shared" si="13"/>
        <v>#N/A</v>
      </c>
      <c r="W180" s="149" t="e">
        <f t="shared" si="13"/>
        <v>#N/A</v>
      </c>
      <c r="X180" s="149" t="e">
        <f t="shared" si="13"/>
        <v>#N/A</v>
      </c>
      <c r="Y180" s="149" t="e">
        <f t="shared" si="13"/>
        <v>#N/A</v>
      </c>
      <c r="Z180" s="149" t="e">
        <f t="shared" si="13"/>
        <v>#N/A</v>
      </c>
      <c r="AA180" s="149" t="e">
        <f t="shared" si="13"/>
        <v>#N/A</v>
      </c>
      <c r="AB180" s="149" t="e">
        <f t="shared" si="13"/>
        <v>#N/A</v>
      </c>
      <c r="AC180" s="149" t="e">
        <f t="shared" si="13"/>
        <v>#N/A</v>
      </c>
      <c r="AD180" s="149" t="e">
        <f t="shared" si="13"/>
        <v>#N/A</v>
      </c>
    </row>
    <row r="181" spans="1:30">
      <c r="A181" s="160" t="s">
        <v>282</v>
      </c>
      <c r="B181" s="41" t="s">
        <v>548</v>
      </c>
      <c r="C181" s="41" t="s">
        <v>700</v>
      </c>
      <c r="D181" s="94">
        <v>4000</v>
      </c>
      <c r="E181" s="148">
        <v>-3.1E-2</v>
      </c>
      <c r="F181" s="41" t="s">
        <v>751</v>
      </c>
      <c r="L181" s="41"/>
      <c r="N181" s="99"/>
      <c r="O181" s="99"/>
      <c r="P181" s="99"/>
      <c r="R181" s="148">
        <f t="shared" si="12"/>
        <v>4.2000000000000003E-2</v>
      </c>
      <c r="S181" s="149" t="e">
        <f t="shared" si="10"/>
        <v>#N/A</v>
      </c>
      <c r="T181" s="149" t="e">
        <f t="shared" si="13"/>
        <v>#N/A</v>
      </c>
      <c r="U181" s="149" t="e">
        <f t="shared" si="13"/>
        <v>#N/A</v>
      </c>
      <c r="V181" s="149" t="e">
        <f t="shared" si="13"/>
        <v>#N/A</v>
      </c>
      <c r="W181" s="149" t="e">
        <f t="shared" si="13"/>
        <v>#N/A</v>
      </c>
      <c r="X181" s="149" t="e">
        <f t="shared" si="13"/>
        <v>#N/A</v>
      </c>
      <c r="Y181" s="149" t="e">
        <f t="shared" si="13"/>
        <v>#N/A</v>
      </c>
      <c r="Z181" s="149" t="e">
        <f t="shared" si="13"/>
        <v>#N/A</v>
      </c>
      <c r="AA181" s="149" t="e">
        <f t="shared" si="13"/>
        <v>#N/A</v>
      </c>
      <c r="AB181" s="149" t="e">
        <f t="shared" si="13"/>
        <v>#N/A</v>
      </c>
      <c r="AC181" s="149" t="e">
        <f t="shared" si="13"/>
        <v>#N/A</v>
      </c>
      <c r="AD181" s="149" t="e">
        <f t="shared" si="13"/>
        <v>#N/A</v>
      </c>
    </row>
    <row r="182" spans="1:30">
      <c r="A182" s="160" t="s">
        <v>283</v>
      </c>
      <c r="B182" s="41" t="s">
        <v>549</v>
      </c>
      <c r="C182" s="41" t="s">
        <v>700</v>
      </c>
      <c r="D182" s="94">
        <v>4100</v>
      </c>
      <c r="E182" s="148">
        <v>-6.0000000000000001E-3</v>
      </c>
      <c r="F182" s="41" t="s">
        <v>752</v>
      </c>
      <c r="L182" s="41"/>
      <c r="N182" s="99"/>
      <c r="O182" s="99"/>
      <c r="P182" s="99"/>
      <c r="R182" s="148">
        <f t="shared" si="12"/>
        <v>4.2999999999999997E-2</v>
      </c>
      <c r="S182" s="149" t="e">
        <f t="shared" si="10"/>
        <v>#N/A</v>
      </c>
      <c r="T182" s="149" t="e">
        <f t="shared" si="13"/>
        <v>#N/A</v>
      </c>
      <c r="U182" s="149" t="e">
        <f t="shared" ref="T182:AD205" si="14">IF(VLOOKUP(U$8&amp;"@"&amp;$R182,$F:$Q,$R$7,0)=0,NA(),VLOOKUP(U$8&amp;"@"&amp;$R182,$F:$Q,$R$7,0))</f>
        <v>#N/A</v>
      </c>
      <c r="V182" s="149" t="e">
        <f t="shared" si="14"/>
        <v>#N/A</v>
      </c>
      <c r="W182" s="149" t="e">
        <f t="shared" si="14"/>
        <v>#N/A</v>
      </c>
      <c r="X182" s="149" t="e">
        <f t="shared" si="14"/>
        <v>#N/A</v>
      </c>
      <c r="Y182" s="149" t="e">
        <f t="shared" si="14"/>
        <v>#N/A</v>
      </c>
      <c r="Z182" s="149" t="e">
        <f t="shared" si="14"/>
        <v>#N/A</v>
      </c>
      <c r="AA182" s="149" t="e">
        <f t="shared" si="14"/>
        <v>#N/A</v>
      </c>
      <c r="AB182" s="149" t="e">
        <f t="shared" si="14"/>
        <v>#N/A</v>
      </c>
      <c r="AC182" s="149" t="e">
        <f t="shared" si="14"/>
        <v>#N/A</v>
      </c>
      <c r="AD182" s="149" t="e">
        <f t="shared" si="14"/>
        <v>#N/A</v>
      </c>
    </row>
    <row r="183" spans="1:30">
      <c r="A183" s="160" t="s">
        <v>284</v>
      </c>
      <c r="B183" s="41" t="s">
        <v>550</v>
      </c>
      <c r="C183" s="41" t="s">
        <v>700</v>
      </c>
      <c r="D183" s="94">
        <v>4200</v>
      </c>
      <c r="E183" s="148">
        <v>1.8000000000000002E-2</v>
      </c>
      <c r="F183" s="41" t="s">
        <v>753</v>
      </c>
      <c r="L183" s="41"/>
      <c r="N183" s="99"/>
      <c r="O183" s="99"/>
      <c r="P183" s="99"/>
      <c r="R183" s="148">
        <f t="shared" si="12"/>
        <v>4.3999999999999997E-2</v>
      </c>
      <c r="S183" s="149" t="e">
        <f t="shared" si="10"/>
        <v>#N/A</v>
      </c>
      <c r="T183" s="149" t="e">
        <f t="shared" si="14"/>
        <v>#N/A</v>
      </c>
      <c r="U183" s="149" t="e">
        <f t="shared" si="14"/>
        <v>#N/A</v>
      </c>
      <c r="V183" s="149" t="e">
        <f t="shared" si="14"/>
        <v>#N/A</v>
      </c>
      <c r="W183" s="149" t="e">
        <f t="shared" si="14"/>
        <v>#N/A</v>
      </c>
      <c r="X183" s="149" t="e">
        <f t="shared" si="14"/>
        <v>#N/A</v>
      </c>
      <c r="Y183" s="149" t="e">
        <f t="shared" si="14"/>
        <v>#N/A</v>
      </c>
      <c r="Z183" s="149" t="e">
        <f t="shared" si="14"/>
        <v>#N/A</v>
      </c>
      <c r="AA183" s="149" t="e">
        <f t="shared" si="14"/>
        <v>#N/A</v>
      </c>
      <c r="AB183" s="149" t="e">
        <f t="shared" si="14"/>
        <v>#N/A</v>
      </c>
      <c r="AC183" s="149" t="e">
        <f t="shared" si="14"/>
        <v>#N/A</v>
      </c>
      <c r="AD183" s="149" t="e">
        <f t="shared" si="14"/>
        <v>#N/A</v>
      </c>
    </row>
    <row r="184" spans="1:30">
      <c r="A184" s="160" t="s">
        <v>285</v>
      </c>
      <c r="B184" s="41" t="s">
        <v>551</v>
      </c>
      <c r="C184" s="41" t="s">
        <v>700</v>
      </c>
      <c r="D184" s="94">
        <v>4300</v>
      </c>
      <c r="E184" s="148">
        <v>4.2000000000000003E-2</v>
      </c>
      <c r="F184" s="41" t="s">
        <v>1234</v>
      </c>
      <c r="L184" s="41"/>
      <c r="N184" s="99"/>
      <c r="O184" s="99"/>
      <c r="P184" s="99"/>
      <c r="R184" s="148">
        <f t="shared" si="12"/>
        <v>4.4999999999999998E-2</v>
      </c>
      <c r="S184" s="149" t="e">
        <f t="shared" si="10"/>
        <v>#N/A</v>
      </c>
      <c r="T184" s="149" t="e">
        <f t="shared" si="14"/>
        <v>#N/A</v>
      </c>
      <c r="U184" s="149" t="e">
        <f t="shared" si="14"/>
        <v>#N/A</v>
      </c>
      <c r="V184" s="149" t="e">
        <f t="shared" si="14"/>
        <v>#N/A</v>
      </c>
      <c r="W184" s="149" t="e">
        <f t="shared" si="14"/>
        <v>#N/A</v>
      </c>
      <c r="X184" s="149" t="e">
        <f t="shared" si="14"/>
        <v>#N/A</v>
      </c>
      <c r="Y184" s="149" t="e">
        <f t="shared" si="14"/>
        <v>#N/A</v>
      </c>
      <c r="Z184" s="149" t="e">
        <f t="shared" si="14"/>
        <v>#N/A</v>
      </c>
      <c r="AA184" s="149" t="e">
        <f t="shared" si="14"/>
        <v>#N/A</v>
      </c>
      <c r="AB184" s="149" t="e">
        <f t="shared" si="14"/>
        <v>#N/A</v>
      </c>
      <c r="AC184" s="149" t="e">
        <f t="shared" si="14"/>
        <v>#N/A</v>
      </c>
      <c r="AD184" s="149" t="e">
        <f t="shared" si="14"/>
        <v>#N/A</v>
      </c>
    </row>
    <row r="185" spans="1:30">
      <c r="A185" s="160" t="s">
        <v>286</v>
      </c>
      <c r="B185" s="41" t="s">
        <v>552</v>
      </c>
      <c r="C185" s="41" t="s">
        <v>700</v>
      </c>
      <c r="D185" s="94">
        <v>4400</v>
      </c>
      <c r="E185" s="148">
        <v>6.6000000000000003E-2</v>
      </c>
      <c r="F185" s="41" t="s">
        <v>1235</v>
      </c>
      <c r="L185" s="41"/>
      <c r="N185" s="99"/>
      <c r="O185" s="99"/>
      <c r="P185" s="99"/>
      <c r="R185" s="148">
        <f t="shared" si="12"/>
        <v>4.5999999999999999E-2</v>
      </c>
      <c r="S185" s="149" t="e">
        <f t="shared" si="10"/>
        <v>#N/A</v>
      </c>
      <c r="T185" s="149" t="e">
        <f t="shared" si="14"/>
        <v>#N/A</v>
      </c>
      <c r="U185" s="149" t="e">
        <f t="shared" si="14"/>
        <v>#N/A</v>
      </c>
      <c r="V185" s="149" t="e">
        <f t="shared" si="14"/>
        <v>#N/A</v>
      </c>
      <c r="W185" s="149" t="e">
        <f t="shared" si="14"/>
        <v>#N/A</v>
      </c>
      <c r="X185" s="149" t="e">
        <f t="shared" si="14"/>
        <v>#N/A</v>
      </c>
      <c r="Y185" s="149" t="e">
        <f t="shared" si="14"/>
        <v>#N/A</v>
      </c>
      <c r="Z185" s="149" t="e">
        <f t="shared" si="14"/>
        <v>#N/A</v>
      </c>
      <c r="AA185" s="149" t="e">
        <f t="shared" si="14"/>
        <v>#N/A</v>
      </c>
      <c r="AB185" s="149" t="e">
        <f t="shared" si="14"/>
        <v>#N/A</v>
      </c>
      <c r="AC185" s="149" t="e">
        <f t="shared" si="14"/>
        <v>#N/A</v>
      </c>
      <c r="AD185" s="149" t="e">
        <f t="shared" si="14"/>
        <v>#N/A</v>
      </c>
    </row>
    <row r="186" spans="1:30">
      <c r="A186" s="160" t="s">
        <v>287</v>
      </c>
      <c r="B186" s="41" t="s">
        <v>553</v>
      </c>
      <c r="C186" s="41" t="s">
        <v>700</v>
      </c>
      <c r="D186" s="94">
        <v>4500</v>
      </c>
      <c r="E186" s="148">
        <v>9.0999999999999998E-2</v>
      </c>
      <c r="F186" s="41" t="s">
        <v>1236</v>
      </c>
      <c r="L186" s="41"/>
      <c r="N186" s="99"/>
      <c r="O186" s="99"/>
      <c r="P186" s="99"/>
      <c r="R186" s="148">
        <f t="shared" si="12"/>
        <v>4.7E-2</v>
      </c>
      <c r="S186" s="149" t="e">
        <f t="shared" si="10"/>
        <v>#N/A</v>
      </c>
      <c r="T186" s="149" t="e">
        <f t="shared" si="14"/>
        <v>#N/A</v>
      </c>
      <c r="U186" s="149" t="e">
        <f t="shared" si="14"/>
        <v>#N/A</v>
      </c>
      <c r="V186" s="149" t="e">
        <f t="shared" si="14"/>
        <v>#N/A</v>
      </c>
      <c r="W186" s="149" t="e">
        <f t="shared" si="14"/>
        <v>#N/A</v>
      </c>
      <c r="X186" s="149" t="e">
        <f t="shared" si="14"/>
        <v>#N/A</v>
      </c>
      <c r="Y186" s="149" t="e">
        <f t="shared" si="14"/>
        <v>#N/A</v>
      </c>
      <c r="Z186" s="149" t="e">
        <f t="shared" si="14"/>
        <v>#N/A</v>
      </c>
      <c r="AA186" s="149" t="e">
        <f t="shared" si="14"/>
        <v>#N/A</v>
      </c>
      <c r="AB186" s="149" t="e">
        <f t="shared" si="14"/>
        <v>#N/A</v>
      </c>
      <c r="AC186" s="149" t="e">
        <f t="shared" si="14"/>
        <v>#N/A</v>
      </c>
      <c r="AD186" s="149" t="e">
        <f t="shared" si="14"/>
        <v>#N/A</v>
      </c>
    </row>
    <row r="187" spans="1:30">
      <c r="A187" s="160" t="s">
        <v>867</v>
      </c>
      <c r="B187" s="41" t="s">
        <v>1237</v>
      </c>
      <c r="C187" s="41" t="s">
        <v>700</v>
      </c>
      <c r="D187" s="94">
        <v>4600</v>
      </c>
      <c r="E187" s="148">
        <v>0.115</v>
      </c>
      <c r="F187" s="41" t="s">
        <v>1238</v>
      </c>
      <c r="L187" s="41"/>
      <c r="N187" s="99"/>
      <c r="O187" s="99"/>
      <c r="P187" s="99"/>
      <c r="R187" s="148">
        <f t="shared" si="12"/>
        <v>4.8000000000000001E-2</v>
      </c>
      <c r="S187" s="149" t="e">
        <f t="shared" si="10"/>
        <v>#N/A</v>
      </c>
      <c r="T187" s="149" t="e">
        <f t="shared" si="14"/>
        <v>#N/A</v>
      </c>
      <c r="U187" s="149" t="e">
        <f t="shared" si="14"/>
        <v>#N/A</v>
      </c>
      <c r="V187" s="149" t="e">
        <f t="shared" si="14"/>
        <v>#N/A</v>
      </c>
      <c r="W187" s="149" t="e">
        <f t="shared" si="14"/>
        <v>#N/A</v>
      </c>
      <c r="X187" s="149" t="e">
        <f t="shared" si="14"/>
        <v>#N/A</v>
      </c>
      <c r="Y187" s="149" t="e">
        <f t="shared" si="14"/>
        <v>#N/A</v>
      </c>
      <c r="Z187" s="149" t="e">
        <f t="shared" si="14"/>
        <v>#N/A</v>
      </c>
      <c r="AA187" s="149" t="e">
        <f t="shared" si="14"/>
        <v>#N/A</v>
      </c>
      <c r="AB187" s="149" t="e">
        <f t="shared" si="14"/>
        <v>#N/A</v>
      </c>
      <c r="AC187" s="149" t="e">
        <f t="shared" si="14"/>
        <v>#N/A</v>
      </c>
      <c r="AD187" s="149" t="e">
        <f t="shared" si="14"/>
        <v>#N/A</v>
      </c>
    </row>
    <row r="188" spans="1:30">
      <c r="A188" s="160" t="s">
        <v>868</v>
      </c>
      <c r="B188" s="41" t="s">
        <v>1239</v>
      </c>
      <c r="C188" s="41" t="s">
        <v>700</v>
      </c>
      <c r="D188" s="94">
        <v>4700</v>
      </c>
      <c r="E188" s="148">
        <v>0.13900000000000001</v>
      </c>
      <c r="F188" s="41" t="s">
        <v>1240</v>
      </c>
      <c r="L188" s="41"/>
      <c r="N188" s="99"/>
      <c r="O188" s="99"/>
      <c r="P188" s="99"/>
      <c r="R188" s="148">
        <f t="shared" si="12"/>
        <v>4.9000000000000002E-2</v>
      </c>
      <c r="S188" s="149" t="e">
        <f t="shared" si="10"/>
        <v>#N/A</v>
      </c>
      <c r="T188" s="149" t="e">
        <f t="shared" si="14"/>
        <v>#N/A</v>
      </c>
      <c r="U188" s="149" t="e">
        <f t="shared" si="14"/>
        <v>#N/A</v>
      </c>
      <c r="V188" s="149" t="e">
        <f t="shared" si="14"/>
        <v>#N/A</v>
      </c>
      <c r="W188" s="149" t="e">
        <f t="shared" si="14"/>
        <v>#N/A</v>
      </c>
      <c r="X188" s="149" t="e">
        <f t="shared" si="14"/>
        <v>#N/A</v>
      </c>
      <c r="Y188" s="149" t="e">
        <f t="shared" si="14"/>
        <v>#N/A</v>
      </c>
      <c r="Z188" s="149" t="e">
        <f t="shared" si="14"/>
        <v>#N/A</v>
      </c>
      <c r="AA188" s="149" t="e">
        <f t="shared" si="14"/>
        <v>#N/A</v>
      </c>
      <c r="AB188" s="149" t="e">
        <f t="shared" si="14"/>
        <v>#N/A</v>
      </c>
      <c r="AC188" s="149" t="e">
        <f t="shared" si="14"/>
        <v>#N/A</v>
      </c>
      <c r="AD188" s="149" t="e">
        <f t="shared" si="14"/>
        <v>#N/A</v>
      </c>
    </row>
    <row r="189" spans="1:30">
      <c r="A189" s="160" t="s">
        <v>869</v>
      </c>
      <c r="B189" s="41" t="s">
        <v>1241</v>
      </c>
      <c r="C189" s="41" t="s">
        <v>715</v>
      </c>
      <c r="D189" s="94">
        <v>3300</v>
      </c>
      <c r="E189" s="148">
        <v>-0.2</v>
      </c>
      <c r="F189" s="41" t="s">
        <v>1242</v>
      </c>
      <c r="L189" s="41"/>
      <c r="N189" s="99"/>
      <c r="O189" s="99"/>
      <c r="P189" s="99"/>
      <c r="R189" s="148">
        <f t="shared" si="12"/>
        <v>0.05</v>
      </c>
      <c r="S189" s="149" t="e">
        <f t="shared" si="10"/>
        <v>#N/A</v>
      </c>
      <c r="T189" s="149" t="e">
        <f t="shared" si="14"/>
        <v>#N/A</v>
      </c>
      <c r="U189" s="149" t="e">
        <f t="shared" si="14"/>
        <v>#N/A</v>
      </c>
      <c r="V189" s="149" t="e">
        <f t="shared" si="14"/>
        <v>#N/A</v>
      </c>
      <c r="W189" s="149" t="e">
        <f t="shared" si="14"/>
        <v>#N/A</v>
      </c>
      <c r="X189" s="149" t="e">
        <f t="shared" si="14"/>
        <v>#N/A</v>
      </c>
      <c r="Y189" s="149" t="e">
        <f t="shared" si="14"/>
        <v>#N/A</v>
      </c>
      <c r="Z189" s="149" t="e">
        <f t="shared" si="14"/>
        <v>#N/A</v>
      </c>
      <c r="AA189" s="149" t="e">
        <f t="shared" si="14"/>
        <v>#N/A</v>
      </c>
      <c r="AB189" s="149" t="e">
        <f t="shared" si="14"/>
        <v>#N/A</v>
      </c>
      <c r="AC189" s="149" t="e">
        <f t="shared" si="14"/>
        <v>#N/A</v>
      </c>
      <c r="AD189" s="149" t="e">
        <f t="shared" si="14"/>
        <v>#N/A</v>
      </c>
    </row>
    <row r="190" spans="1:30">
      <c r="A190" s="160" t="s">
        <v>870</v>
      </c>
      <c r="B190" s="41" t="s">
        <v>1243</v>
      </c>
      <c r="C190" s="41" t="s">
        <v>715</v>
      </c>
      <c r="D190" s="94">
        <v>3400</v>
      </c>
      <c r="E190" s="148">
        <v>-0.17600000000000002</v>
      </c>
      <c r="F190" s="41" t="s">
        <v>1244</v>
      </c>
      <c r="L190" s="41"/>
      <c r="N190" s="99"/>
      <c r="O190" s="99"/>
      <c r="P190" s="99"/>
      <c r="R190" s="148">
        <f t="shared" si="12"/>
        <v>5.0999999999999997E-2</v>
      </c>
      <c r="S190" s="149" t="e">
        <f t="shared" si="10"/>
        <v>#N/A</v>
      </c>
      <c r="T190" s="149" t="e">
        <f t="shared" si="14"/>
        <v>#N/A</v>
      </c>
      <c r="U190" s="149" t="e">
        <f t="shared" si="14"/>
        <v>#N/A</v>
      </c>
      <c r="V190" s="149" t="e">
        <f t="shared" si="14"/>
        <v>#N/A</v>
      </c>
      <c r="W190" s="149" t="e">
        <f t="shared" si="14"/>
        <v>#N/A</v>
      </c>
      <c r="X190" s="149" t="e">
        <f t="shared" si="14"/>
        <v>#N/A</v>
      </c>
      <c r="Y190" s="149" t="e">
        <f t="shared" si="14"/>
        <v>#N/A</v>
      </c>
      <c r="Z190" s="149" t="e">
        <f t="shared" si="14"/>
        <v>#N/A</v>
      </c>
      <c r="AA190" s="149" t="e">
        <f t="shared" si="14"/>
        <v>#N/A</v>
      </c>
      <c r="AB190" s="149" t="e">
        <f t="shared" si="14"/>
        <v>#N/A</v>
      </c>
      <c r="AC190" s="149" t="e">
        <f t="shared" si="14"/>
        <v>#N/A</v>
      </c>
      <c r="AD190" s="149" t="e">
        <f t="shared" si="14"/>
        <v>#N/A</v>
      </c>
    </row>
    <row r="191" spans="1:30">
      <c r="A191" s="160" t="s">
        <v>217</v>
      </c>
      <c r="B191" s="41" t="s">
        <v>483</v>
      </c>
      <c r="C191" s="41" t="s">
        <v>715</v>
      </c>
      <c r="D191" s="94">
        <v>3500</v>
      </c>
      <c r="E191" s="148">
        <v>-0.152</v>
      </c>
      <c r="F191" s="41" t="s">
        <v>1245</v>
      </c>
      <c r="L191" s="41"/>
      <c r="N191" s="99"/>
      <c r="O191" s="99"/>
      <c r="P191" s="99"/>
      <c r="R191" s="148">
        <f t="shared" si="12"/>
        <v>5.1999999999999998E-2</v>
      </c>
      <c r="S191" s="149" t="e">
        <f t="shared" si="10"/>
        <v>#N/A</v>
      </c>
      <c r="T191" s="149" t="e">
        <f t="shared" si="14"/>
        <v>#N/A</v>
      </c>
      <c r="U191" s="149" t="e">
        <f t="shared" si="14"/>
        <v>#N/A</v>
      </c>
      <c r="V191" s="149" t="e">
        <f t="shared" si="14"/>
        <v>#N/A</v>
      </c>
      <c r="W191" s="149" t="e">
        <f t="shared" si="14"/>
        <v>#N/A</v>
      </c>
      <c r="X191" s="149" t="e">
        <f t="shared" si="14"/>
        <v>#N/A</v>
      </c>
      <c r="Y191" s="149" t="e">
        <f t="shared" si="14"/>
        <v>#N/A</v>
      </c>
      <c r="Z191" s="149" t="e">
        <f t="shared" si="14"/>
        <v>#N/A</v>
      </c>
      <c r="AA191" s="149" t="e">
        <f t="shared" si="14"/>
        <v>#N/A</v>
      </c>
      <c r="AB191" s="149" t="e">
        <f t="shared" si="14"/>
        <v>#N/A</v>
      </c>
      <c r="AC191" s="149" t="e">
        <f t="shared" si="14"/>
        <v>#N/A</v>
      </c>
      <c r="AD191" s="149" t="e">
        <f t="shared" si="14"/>
        <v>#N/A</v>
      </c>
    </row>
    <row r="192" spans="1:30">
      <c r="A192" s="160" t="s">
        <v>218</v>
      </c>
      <c r="B192" s="41" t="s">
        <v>484</v>
      </c>
      <c r="C192" s="41" t="s">
        <v>715</v>
      </c>
      <c r="D192" s="94">
        <v>3600</v>
      </c>
      <c r="E192" s="148">
        <v>-0.128</v>
      </c>
      <c r="F192" s="41" t="s">
        <v>1246</v>
      </c>
      <c r="L192" s="41"/>
      <c r="N192" s="99"/>
      <c r="O192" s="99"/>
      <c r="P192" s="99"/>
      <c r="R192" s="148">
        <f t="shared" si="12"/>
        <v>5.2999999999999999E-2</v>
      </c>
      <c r="S192" s="149" t="e">
        <f t="shared" si="10"/>
        <v>#N/A</v>
      </c>
      <c r="T192" s="149" t="e">
        <f t="shared" si="14"/>
        <v>#N/A</v>
      </c>
      <c r="U192" s="149" t="e">
        <f t="shared" si="14"/>
        <v>#N/A</v>
      </c>
      <c r="V192" s="149" t="e">
        <f t="shared" si="14"/>
        <v>#N/A</v>
      </c>
      <c r="W192" s="149" t="e">
        <f t="shared" si="14"/>
        <v>#N/A</v>
      </c>
      <c r="X192" s="149" t="e">
        <f t="shared" si="14"/>
        <v>#N/A</v>
      </c>
      <c r="Y192" s="149" t="e">
        <f t="shared" si="14"/>
        <v>#N/A</v>
      </c>
      <c r="Z192" s="149" t="e">
        <f t="shared" si="14"/>
        <v>#N/A</v>
      </c>
      <c r="AA192" s="149" t="e">
        <f t="shared" si="14"/>
        <v>#N/A</v>
      </c>
      <c r="AB192" s="149" t="e">
        <f t="shared" si="14"/>
        <v>#N/A</v>
      </c>
      <c r="AC192" s="149" t="e">
        <f t="shared" si="14"/>
        <v>#N/A</v>
      </c>
      <c r="AD192" s="149" t="e">
        <f t="shared" si="14"/>
        <v>#N/A</v>
      </c>
    </row>
    <row r="193" spans="1:30">
      <c r="A193" s="160" t="s">
        <v>219</v>
      </c>
      <c r="B193" s="41" t="s">
        <v>485</v>
      </c>
      <c r="C193" s="41" t="s">
        <v>715</v>
      </c>
      <c r="D193" s="94">
        <v>3700</v>
      </c>
      <c r="E193" s="148">
        <v>-0.10300000000000001</v>
      </c>
      <c r="F193" s="41" t="s">
        <v>1247</v>
      </c>
      <c r="L193" s="41"/>
      <c r="N193" s="99"/>
      <c r="O193" s="99"/>
      <c r="P193" s="99"/>
      <c r="R193" s="148">
        <f t="shared" si="12"/>
        <v>5.3999999999999999E-2</v>
      </c>
      <c r="S193" s="149" t="e">
        <f t="shared" si="10"/>
        <v>#N/A</v>
      </c>
      <c r="T193" s="149" t="e">
        <f t="shared" si="14"/>
        <v>#N/A</v>
      </c>
      <c r="U193" s="149" t="e">
        <f t="shared" si="14"/>
        <v>#N/A</v>
      </c>
      <c r="V193" s="149" t="e">
        <f t="shared" si="14"/>
        <v>#N/A</v>
      </c>
      <c r="W193" s="149" t="e">
        <f t="shared" si="14"/>
        <v>#N/A</v>
      </c>
      <c r="X193" s="149" t="e">
        <f t="shared" si="14"/>
        <v>#N/A</v>
      </c>
      <c r="Y193" s="149" t="e">
        <f t="shared" si="14"/>
        <v>#N/A</v>
      </c>
      <c r="Z193" s="149" t="e">
        <f t="shared" si="14"/>
        <v>#N/A</v>
      </c>
      <c r="AA193" s="149" t="e">
        <f t="shared" si="14"/>
        <v>#N/A</v>
      </c>
      <c r="AB193" s="149" t="e">
        <f t="shared" si="14"/>
        <v>#N/A</v>
      </c>
      <c r="AC193" s="149" t="e">
        <f t="shared" si="14"/>
        <v>#N/A</v>
      </c>
      <c r="AD193" s="149" t="e">
        <f t="shared" si="14"/>
        <v>#N/A</v>
      </c>
    </row>
    <row r="194" spans="1:30">
      <c r="A194" s="160" t="s">
        <v>220</v>
      </c>
      <c r="B194" s="41" t="s">
        <v>486</v>
      </c>
      <c r="C194" s="41" t="s">
        <v>715</v>
      </c>
      <c r="D194" s="94">
        <v>3800</v>
      </c>
      <c r="E194" s="148">
        <v>-7.9000000000000001E-2</v>
      </c>
      <c r="F194" s="41" t="s">
        <v>1248</v>
      </c>
      <c r="L194" s="41"/>
      <c r="N194" s="99"/>
      <c r="O194" s="99"/>
      <c r="P194" s="99"/>
      <c r="R194" s="148">
        <f t="shared" si="12"/>
        <v>5.5E-2</v>
      </c>
      <c r="S194" s="149" t="e">
        <f t="shared" si="10"/>
        <v>#N/A</v>
      </c>
      <c r="T194" s="149" t="e">
        <f t="shared" si="14"/>
        <v>#N/A</v>
      </c>
      <c r="U194" s="149" t="e">
        <f t="shared" si="14"/>
        <v>#N/A</v>
      </c>
      <c r="V194" s="149" t="e">
        <f t="shared" si="14"/>
        <v>#N/A</v>
      </c>
      <c r="W194" s="149" t="e">
        <f t="shared" si="14"/>
        <v>#N/A</v>
      </c>
      <c r="X194" s="149" t="e">
        <f t="shared" si="14"/>
        <v>#N/A</v>
      </c>
      <c r="Y194" s="149" t="e">
        <f t="shared" si="14"/>
        <v>#N/A</v>
      </c>
      <c r="Z194" s="149" t="e">
        <f t="shared" si="14"/>
        <v>#N/A</v>
      </c>
      <c r="AA194" s="149" t="e">
        <f t="shared" si="14"/>
        <v>#N/A</v>
      </c>
      <c r="AB194" s="149" t="e">
        <f t="shared" si="14"/>
        <v>#N/A</v>
      </c>
      <c r="AC194" s="149" t="e">
        <f t="shared" si="14"/>
        <v>#N/A</v>
      </c>
      <c r="AD194" s="149" t="e">
        <f t="shared" si="14"/>
        <v>#N/A</v>
      </c>
    </row>
    <row r="195" spans="1:30">
      <c r="A195" s="160" t="s">
        <v>221</v>
      </c>
      <c r="B195" s="41" t="s">
        <v>487</v>
      </c>
      <c r="C195" s="41" t="s">
        <v>715</v>
      </c>
      <c r="D195" s="94">
        <v>3900</v>
      </c>
      <c r="E195" s="148">
        <v>-5.5E-2</v>
      </c>
      <c r="F195" s="41" t="s">
        <v>1249</v>
      </c>
      <c r="L195" s="41"/>
      <c r="N195" s="99"/>
      <c r="O195" s="99"/>
      <c r="P195" s="99"/>
      <c r="R195" s="148">
        <f t="shared" si="12"/>
        <v>5.6000000000000001E-2</v>
      </c>
      <c r="S195" s="149" t="e">
        <f t="shared" ref="S195:S258" si="15">IF(VLOOKUP(S$8&amp;"@"&amp;$R195,$F:$Q,$R$7,0)=0,NA(),VLOOKUP(S$8&amp;"@"&amp;$R195,$F:$Q,$R$7,0))</f>
        <v>#N/A</v>
      </c>
      <c r="T195" s="149" t="e">
        <f t="shared" si="14"/>
        <v>#N/A</v>
      </c>
      <c r="U195" s="149" t="e">
        <f t="shared" si="14"/>
        <v>#N/A</v>
      </c>
      <c r="V195" s="149" t="e">
        <f t="shared" si="14"/>
        <v>#N/A</v>
      </c>
      <c r="W195" s="149" t="e">
        <f t="shared" si="14"/>
        <v>#N/A</v>
      </c>
      <c r="X195" s="149" t="e">
        <f t="shared" si="14"/>
        <v>#N/A</v>
      </c>
      <c r="Y195" s="149" t="e">
        <f t="shared" si="14"/>
        <v>#N/A</v>
      </c>
      <c r="Z195" s="149" t="e">
        <f t="shared" si="14"/>
        <v>#N/A</v>
      </c>
      <c r="AA195" s="149" t="e">
        <f t="shared" si="14"/>
        <v>#N/A</v>
      </c>
      <c r="AB195" s="149" t="e">
        <f t="shared" si="14"/>
        <v>#N/A</v>
      </c>
      <c r="AC195" s="149" t="e">
        <f t="shared" si="14"/>
        <v>#N/A</v>
      </c>
      <c r="AD195" s="149" t="e">
        <f t="shared" si="14"/>
        <v>#N/A</v>
      </c>
    </row>
    <row r="196" spans="1:30">
      <c r="A196" s="160" t="s">
        <v>222</v>
      </c>
      <c r="B196" s="41" t="s">
        <v>488</v>
      </c>
      <c r="C196" s="41" t="s">
        <v>715</v>
      </c>
      <c r="D196" s="94">
        <v>4000</v>
      </c>
      <c r="E196" s="148">
        <v>-3.1E-2</v>
      </c>
      <c r="F196" s="41" t="s">
        <v>737</v>
      </c>
      <c r="L196" s="41"/>
      <c r="N196" s="99"/>
      <c r="O196" s="99"/>
      <c r="P196" s="99"/>
      <c r="R196" s="148">
        <f t="shared" si="12"/>
        <v>5.7000000000000002E-2</v>
      </c>
      <c r="S196" s="149" t="e">
        <f t="shared" si="15"/>
        <v>#N/A</v>
      </c>
      <c r="T196" s="149" t="e">
        <f t="shared" si="14"/>
        <v>#N/A</v>
      </c>
      <c r="U196" s="149" t="e">
        <f t="shared" si="14"/>
        <v>#N/A</v>
      </c>
      <c r="V196" s="149" t="e">
        <f t="shared" si="14"/>
        <v>#N/A</v>
      </c>
      <c r="W196" s="149" t="e">
        <f t="shared" si="14"/>
        <v>#N/A</v>
      </c>
      <c r="X196" s="149" t="e">
        <f t="shared" si="14"/>
        <v>#N/A</v>
      </c>
      <c r="Y196" s="149" t="e">
        <f t="shared" si="14"/>
        <v>#N/A</v>
      </c>
      <c r="Z196" s="149" t="e">
        <f t="shared" si="14"/>
        <v>#N/A</v>
      </c>
      <c r="AA196" s="149" t="e">
        <f t="shared" si="14"/>
        <v>#N/A</v>
      </c>
      <c r="AB196" s="149" t="e">
        <f t="shared" si="14"/>
        <v>#N/A</v>
      </c>
      <c r="AC196" s="149" t="e">
        <f t="shared" si="14"/>
        <v>#N/A</v>
      </c>
      <c r="AD196" s="149" t="e">
        <f t="shared" si="14"/>
        <v>#N/A</v>
      </c>
    </row>
    <row r="197" spans="1:30">
      <c r="A197" s="160" t="s">
        <v>223</v>
      </c>
      <c r="B197" s="41" t="s">
        <v>489</v>
      </c>
      <c r="C197" s="41" t="s">
        <v>715</v>
      </c>
      <c r="D197" s="94">
        <v>4100</v>
      </c>
      <c r="E197" s="148">
        <v>-6.0000000000000001E-3</v>
      </c>
      <c r="F197" s="41" t="s">
        <v>738</v>
      </c>
      <c r="L197" s="41"/>
      <c r="N197" s="99"/>
      <c r="O197" s="99"/>
      <c r="P197" s="99"/>
      <c r="R197" s="148">
        <f t="shared" si="12"/>
        <v>5.8000000000000003E-2</v>
      </c>
      <c r="S197" s="149" t="e">
        <f t="shared" si="15"/>
        <v>#N/A</v>
      </c>
      <c r="T197" s="149" t="e">
        <f t="shared" si="14"/>
        <v>#N/A</v>
      </c>
      <c r="U197" s="149" t="e">
        <f t="shared" si="14"/>
        <v>#N/A</v>
      </c>
      <c r="V197" s="149" t="e">
        <f t="shared" si="14"/>
        <v>#N/A</v>
      </c>
      <c r="W197" s="149" t="e">
        <f t="shared" si="14"/>
        <v>#N/A</v>
      </c>
      <c r="X197" s="149" t="e">
        <f t="shared" si="14"/>
        <v>#N/A</v>
      </c>
      <c r="Y197" s="149" t="e">
        <f t="shared" si="14"/>
        <v>#N/A</v>
      </c>
      <c r="Z197" s="149" t="e">
        <f t="shared" si="14"/>
        <v>#N/A</v>
      </c>
      <c r="AA197" s="149" t="e">
        <f t="shared" si="14"/>
        <v>#N/A</v>
      </c>
      <c r="AB197" s="149" t="e">
        <f t="shared" si="14"/>
        <v>#N/A</v>
      </c>
      <c r="AC197" s="149" t="e">
        <f t="shared" si="14"/>
        <v>#N/A</v>
      </c>
      <c r="AD197" s="149" t="e">
        <f t="shared" si="14"/>
        <v>#N/A</v>
      </c>
    </row>
    <row r="198" spans="1:30">
      <c r="A198" s="160" t="s">
        <v>224</v>
      </c>
      <c r="B198" s="41" t="s">
        <v>490</v>
      </c>
      <c r="C198" s="41" t="s">
        <v>715</v>
      </c>
      <c r="D198" s="94">
        <v>4200</v>
      </c>
      <c r="E198" s="148">
        <v>1.8000000000000002E-2</v>
      </c>
      <c r="F198" s="41" t="s">
        <v>739</v>
      </c>
      <c r="L198" s="41"/>
      <c r="N198" s="99"/>
      <c r="O198" s="99"/>
      <c r="P198" s="99"/>
      <c r="R198" s="148">
        <f t="shared" si="12"/>
        <v>5.8999999999999997E-2</v>
      </c>
      <c r="S198" s="149" t="e">
        <f t="shared" si="15"/>
        <v>#N/A</v>
      </c>
      <c r="T198" s="149" t="e">
        <f t="shared" si="14"/>
        <v>#N/A</v>
      </c>
      <c r="U198" s="149" t="e">
        <f t="shared" si="14"/>
        <v>#N/A</v>
      </c>
      <c r="V198" s="149" t="e">
        <f t="shared" si="14"/>
        <v>#N/A</v>
      </c>
      <c r="W198" s="149" t="e">
        <f t="shared" si="14"/>
        <v>#N/A</v>
      </c>
      <c r="X198" s="149" t="e">
        <f t="shared" si="14"/>
        <v>#N/A</v>
      </c>
      <c r="Y198" s="149" t="e">
        <f t="shared" si="14"/>
        <v>#N/A</v>
      </c>
      <c r="Z198" s="149" t="e">
        <f t="shared" si="14"/>
        <v>#N/A</v>
      </c>
      <c r="AA198" s="149" t="e">
        <f t="shared" si="14"/>
        <v>#N/A</v>
      </c>
      <c r="AB198" s="149" t="e">
        <f t="shared" si="14"/>
        <v>#N/A</v>
      </c>
      <c r="AC198" s="149" t="e">
        <f t="shared" si="14"/>
        <v>#N/A</v>
      </c>
      <c r="AD198" s="149" t="e">
        <f t="shared" si="14"/>
        <v>#N/A</v>
      </c>
    </row>
    <row r="199" spans="1:30">
      <c r="A199" s="160" t="s">
        <v>225</v>
      </c>
      <c r="B199" s="41" t="s">
        <v>491</v>
      </c>
      <c r="C199" s="41" t="s">
        <v>715</v>
      </c>
      <c r="D199" s="94">
        <v>4300</v>
      </c>
      <c r="E199" s="148">
        <v>4.2000000000000003E-2</v>
      </c>
      <c r="F199" s="41" t="s">
        <v>1250</v>
      </c>
      <c r="L199" s="41"/>
      <c r="N199" s="99"/>
      <c r="O199" s="99"/>
      <c r="P199" s="99"/>
      <c r="R199" s="148">
        <f t="shared" si="12"/>
        <v>0.06</v>
      </c>
      <c r="S199" s="149" t="e">
        <f t="shared" si="15"/>
        <v>#N/A</v>
      </c>
      <c r="T199" s="149" t="e">
        <f t="shared" si="14"/>
        <v>#N/A</v>
      </c>
      <c r="U199" s="149" t="e">
        <f t="shared" si="14"/>
        <v>#N/A</v>
      </c>
      <c r="V199" s="149" t="e">
        <f t="shared" si="14"/>
        <v>#N/A</v>
      </c>
      <c r="W199" s="149" t="e">
        <f t="shared" si="14"/>
        <v>#N/A</v>
      </c>
      <c r="X199" s="149" t="e">
        <f t="shared" si="14"/>
        <v>#N/A</v>
      </c>
      <c r="Y199" s="149" t="e">
        <f t="shared" si="14"/>
        <v>#N/A</v>
      </c>
      <c r="Z199" s="149" t="e">
        <f t="shared" si="14"/>
        <v>#N/A</v>
      </c>
      <c r="AA199" s="149" t="e">
        <f t="shared" si="14"/>
        <v>#N/A</v>
      </c>
      <c r="AB199" s="149" t="e">
        <f t="shared" si="14"/>
        <v>#N/A</v>
      </c>
      <c r="AC199" s="149" t="e">
        <f t="shared" si="14"/>
        <v>#N/A</v>
      </c>
      <c r="AD199" s="149" t="e">
        <f t="shared" si="14"/>
        <v>#N/A</v>
      </c>
    </row>
    <row r="200" spans="1:30">
      <c r="A200" s="160" t="s">
        <v>226</v>
      </c>
      <c r="B200" s="41" t="s">
        <v>492</v>
      </c>
      <c r="C200" s="41" t="s">
        <v>715</v>
      </c>
      <c r="D200" s="94">
        <v>4400</v>
      </c>
      <c r="E200" s="148">
        <v>6.6000000000000003E-2</v>
      </c>
      <c r="F200" s="41" t="s">
        <v>1251</v>
      </c>
      <c r="L200" s="41"/>
      <c r="N200" s="99"/>
      <c r="O200" s="99"/>
      <c r="P200" s="99"/>
      <c r="R200" s="148">
        <f t="shared" si="12"/>
        <v>6.0999999999999999E-2</v>
      </c>
      <c r="S200" s="149" t="e">
        <f t="shared" si="15"/>
        <v>#N/A</v>
      </c>
      <c r="T200" s="149" t="e">
        <f t="shared" si="14"/>
        <v>#N/A</v>
      </c>
      <c r="U200" s="149" t="e">
        <f t="shared" si="14"/>
        <v>#N/A</v>
      </c>
      <c r="V200" s="149" t="e">
        <f t="shared" si="14"/>
        <v>#N/A</v>
      </c>
      <c r="W200" s="149" t="e">
        <f t="shared" si="14"/>
        <v>#N/A</v>
      </c>
      <c r="X200" s="149" t="e">
        <f t="shared" si="14"/>
        <v>#N/A</v>
      </c>
      <c r="Y200" s="149" t="e">
        <f t="shared" si="14"/>
        <v>#N/A</v>
      </c>
      <c r="Z200" s="149" t="e">
        <f t="shared" si="14"/>
        <v>#N/A</v>
      </c>
      <c r="AA200" s="149" t="e">
        <f t="shared" si="14"/>
        <v>#N/A</v>
      </c>
      <c r="AB200" s="149" t="e">
        <f t="shared" si="14"/>
        <v>#N/A</v>
      </c>
      <c r="AC200" s="149" t="e">
        <f t="shared" si="14"/>
        <v>#N/A</v>
      </c>
      <c r="AD200" s="149" t="e">
        <f t="shared" si="14"/>
        <v>#N/A</v>
      </c>
    </row>
    <row r="201" spans="1:30">
      <c r="A201" s="160" t="s">
        <v>227</v>
      </c>
      <c r="B201" s="41" t="s">
        <v>493</v>
      </c>
      <c r="C201" s="41" t="s">
        <v>715</v>
      </c>
      <c r="D201" s="94">
        <v>4500</v>
      </c>
      <c r="E201" s="148">
        <v>9.0999999999999998E-2</v>
      </c>
      <c r="F201" s="41" t="s">
        <v>1252</v>
      </c>
      <c r="L201" s="41"/>
      <c r="N201" s="99"/>
      <c r="O201" s="99"/>
      <c r="P201" s="99"/>
      <c r="R201" s="148">
        <f t="shared" si="12"/>
        <v>6.2E-2</v>
      </c>
      <c r="S201" s="149" t="e">
        <f t="shared" si="15"/>
        <v>#N/A</v>
      </c>
      <c r="T201" s="149" t="e">
        <f t="shared" si="14"/>
        <v>#N/A</v>
      </c>
      <c r="U201" s="149" t="e">
        <f t="shared" si="14"/>
        <v>#N/A</v>
      </c>
      <c r="V201" s="149" t="e">
        <f t="shared" si="14"/>
        <v>#N/A</v>
      </c>
      <c r="W201" s="149" t="e">
        <f t="shared" si="14"/>
        <v>#N/A</v>
      </c>
      <c r="X201" s="149" t="e">
        <f t="shared" si="14"/>
        <v>#N/A</v>
      </c>
      <c r="Y201" s="149" t="e">
        <f t="shared" si="14"/>
        <v>#N/A</v>
      </c>
      <c r="Z201" s="149" t="e">
        <f t="shared" si="14"/>
        <v>#N/A</v>
      </c>
      <c r="AA201" s="149" t="e">
        <f t="shared" si="14"/>
        <v>#N/A</v>
      </c>
      <c r="AB201" s="149" t="e">
        <f t="shared" si="14"/>
        <v>#N/A</v>
      </c>
      <c r="AC201" s="149" t="e">
        <f t="shared" si="14"/>
        <v>#N/A</v>
      </c>
      <c r="AD201" s="149" t="e">
        <f t="shared" si="14"/>
        <v>#N/A</v>
      </c>
    </row>
    <row r="202" spans="1:30">
      <c r="A202" s="160" t="s">
        <v>871</v>
      </c>
      <c r="B202" s="41" t="s">
        <v>1253</v>
      </c>
      <c r="C202" s="41" t="s">
        <v>715</v>
      </c>
      <c r="D202" s="94">
        <v>4600</v>
      </c>
      <c r="E202" s="148">
        <v>0.115</v>
      </c>
      <c r="F202" s="41" t="s">
        <v>1254</v>
      </c>
      <c r="L202" s="41"/>
      <c r="N202" s="99"/>
      <c r="O202" s="99"/>
      <c r="P202" s="99"/>
      <c r="R202" s="148">
        <f t="shared" si="12"/>
        <v>6.3E-2</v>
      </c>
      <c r="S202" s="149" t="e">
        <f t="shared" si="15"/>
        <v>#N/A</v>
      </c>
      <c r="T202" s="149" t="e">
        <f t="shared" si="14"/>
        <v>#N/A</v>
      </c>
      <c r="U202" s="149" t="e">
        <f t="shared" si="14"/>
        <v>#N/A</v>
      </c>
      <c r="V202" s="149" t="e">
        <f t="shared" si="14"/>
        <v>#N/A</v>
      </c>
      <c r="W202" s="149" t="e">
        <f t="shared" si="14"/>
        <v>#N/A</v>
      </c>
      <c r="X202" s="149" t="e">
        <f t="shared" si="14"/>
        <v>#N/A</v>
      </c>
      <c r="Y202" s="149" t="e">
        <f t="shared" si="14"/>
        <v>#N/A</v>
      </c>
      <c r="Z202" s="149" t="e">
        <f t="shared" si="14"/>
        <v>#N/A</v>
      </c>
      <c r="AA202" s="149" t="e">
        <f t="shared" si="14"/>
        <v>#N/A</v>
      </c>
      <c r="AB202" s="149" t="e">
        <f t="shared" si="14"/>
        <v>#N/A</v>
      </c>
      <c r="AC202" s="149" t="e">
        <f t="shared" si="14"/>
        <v>#N/A</v>
      </c>
      <c r="AD202" s="149" t="e">
        <f t="shared" si="14"/>
        <v>#N/A</v>
      </c>
    </row>
    <row r="203" spans="1:30">
      <c r="A203" s="160" t="s">
        <v>872</v>
      </c>
      <c r="B203" s="41" t="s">
        <v>1255</v>
      </c>
      <c r="C203" s="41" t="s">
        <v>715</v>
      </c>
      <c r="D203" s="94">
        <v>4700</v>
      </c>
      <c r="E203" s="148">
        <v>0.13900000000000001</v>
      </c>
      <c r="F203" s="41" t="s">
        <v>1256</v>
      </c>
      <c r="L203" s="41"/>
      <c r="N203" s="99"/>
      <c r="O203" s="99"/>
      <c r="P203" s="99"/>
      <c r="R203" s="148">
        <f t="shared" si="12"/>
        <v>6.4000000000000001E-2</v>
      </c>
      <c r="S203" s="149" t="e">
        <f t="shared" si="15"/>
        <v>#N/A</v>
      </c>
      <c r="T203" s="149" t="e">
        <f t="shared" si="14"/>
        <v>#N/A</v>
      </c>
      <c r="U203" s="149" t="e">
        <f t="shared" si="14"/>
        <v>#N/A</v>
      </c>
      <c r="V203" s="149" t="e">
        <f t="shared" si="14"/>
        <v>#N/A</v>
      </c>
      <c r="W203" s="149" t="e">
        <f t="shared" si="14"/>
        <v>#N/A</v>
      </c>
      <c r="X203" s="149" t="e">
        <f t="shared" si="14"/>
        <v>#N/A</v>
      </c>
      <c r="Y203" s="149" t="e">
        <f t="shared" si="14"/>
        <v>#N/A</v>
      </c>
      <c r="Z203" s="149" t="e">
        <f t="shared" si="14"/>
        <v>#N/A</v>
      </c>
      <c r="AA203" s="149" t="e">
        <f t="shared" si="14"/>
        <v>#N/A</v>
      </c>
      <c r="AB203" s="149" t="e">
        <f t="shared" si="14"/>
        <v>#N/A</v>
      </c>
      <c r="AC203" s="149" t="e">
        <f t="shared" si="14"/>
        <v>#N/A</v>
      </c>
      <c r="AD203" s="149" t="e">
        <f t="shared" si="14"/>
        <v>#N/A</v>
      </c>
    </row>
    <row r="204" spans="1:30">
      <c r="A204" s="160" t="s">
        <v>873</v>
      </c>
      <c r="B204" s="41" t="s">
        <v>1257</v>
      </c>
      <c r="C204" s="41" t="s">
        <v>701</v>
      </c>
      <c r="D204" s="94">
        <v>3300</v>
      </c>
      <c r="E204" s="148">
        <v>-0.2</v>
      </c>
      <c r="F204" s="41" t="s">
        <v>1258</v>
      </c>
      <c r="L204" s="41"/>
      <c r="N204" s="99"/>
      <c r="O204" s="99"/>
      <c r="P204" s="99"/>
      <c r="R204" s="148">
        <f t="shared" ref="R204:R267" si="16">ROUND(R203+0.001,3)</f>
        <v>6.5000000000000002E-2</v>
      </c>
      <c r="S204" s="149" t="e">
        <f t="shared" si="15"/>
        <v>#N/A</v>
      </c>
      <c r="T204" s="149" t="e">
        <f t="shared" si="14"/>
        <v>#N/A</v>
      </c>
      <c r="U204" s="149" t="e">
        <f t="shared" si="14"/>
        <v>#N/A</v>
      </c>
      <c r="V204" s="149" t="e">
        <f t="shared" si="14"/>
        <v>#N/A</v>
      </c>
      <c r="W204" s="149" t="e">
        <f t="shared" si="14"/>
        <v>#N/A</v>
      </c>
      <c r="X204" s="149" t="e">
        <f t="shared" si="14"/>
        <v>#N/A</v>
      </c>
      <c r="Y204" s="149" t="e">
        <f t="shared" si="14"/>
        <v>#N/A</v>
      </c>
      <c r="Z204" s="149" t="e">
        <f t="shared" si="14"/>
        <v>#N/A</v>
      </c>
      <c r="AA204" s="149" t="e">
        <f t="shared" si="14"/>
        <v>#N/A</v>
      </c>
      <c r="AB204" s="149" t="e">
        <f t="shared" si="14"/>
        <v>#N/A</v>
      </c>
      <c r="AC204" s="149" t="e">
        <f t="shared" si="14"/>
        <v>#N/A</v>
      </c>
      <c r="AD204" s="149" t="e">
        <f t="shared" si="14"/>
        <v>#N/A</v>
      </c>
    </row>
    <row r="205" spans="1:30">
      <c r="A205" s="160" t="s">
        <v>874</v>
      </c>
      <c r="B205" s="41" t="s">
        <v>1259</v>
      </c>
      <c r="C205" s="41" t="s">
        <v>701</v>
      </c>
      <c r="D205" s="94">
        <v>3400</v>
      </c>
      <c r="E205" s="148">
        <v>-0.17600000000000002</v>
      </c>
      <c r="F205" s="41" t="s">
        <v>1260</v>
      </c>
      <c r="L205" s="41"/>
      <c r="N205" s="99"/>
      <c r="O205" s="99"/>
      <c r="P205" s="99"/>
      <c r="R205" s="148">
        <f t="shared" si="16"/>
        <v>6.6000000000000003E-2</v>
      </c>
      <c r="S205" s="149" t="e">
        <f t="shared" si="15"/>
        <v>#N/A</v>
      </c>
      <c r="T205" s="149" t="e">
        <f t="shared" si="14"/>
        <v>#N/A</v>
      </c>
      <c r="U205" s="149" t="e">
        <f t="shared" si="14"/>
        <v>#N/A</v>
      </c>
      <c r="V205" s="149" t="e">
        <f t="shared" si="14"/>
        <v>#N/A</v>
      </c>
      <c r="W205" s="149" t="e">
        <f t="shared" ref="T205:AD228" si="17">IF(VLOOKUP(W$8&amp;"@"&amp;$R205,$F:$Q,$R$7,0)=0,NA(),VLOOKUP(W$8&amp;"@"&amp;$R205,$F:$Q,$R$7,0))</f>
        <v>#N/A</v>
      </c>
      <c r="X205" s="149" t="e">
        <f t="shared" si="17"/>
        <v>#N/A</v>
      </c>
      <c r="Y205" s="149" t="e">
        <f t="shared" si="17"/>
        <v>#N/A</v>
      </c>
      <c r="Z205" s="149" t="e">
        <f t="shared" si="17"/>
        <v>#N/A</v>
      </c>
      <c r="AA205" s="149" t="e">
        <f t="shared" si="17"/>
        <v>#N/A</v>
      </c>
      <c r="AB205" s="149" t="e">
        <f t="shared" si="17"/>
        <v>#N/A</v>
      </c>
      <c r="AC205" s="149" t="e">
        <f t="shared" si="17"/>
        <v>#N/A</v>
      </c>
      <c r="AD205" s="149" t="e">
        <f t="shared" si="17"/>
        <v>#N/A</v>
      </c>
    </row>
    <row r="206" spans="1:30">
      <c r="A206" s="160" t="s">
        <v>288</v>
      </c>
      <c r="B206" s="41" t="s">
        <v>554</v>
      </c>
      <c r="C206" s="41" t="s">
        <v>701</v>
      </c>
      <c r="D206" s="94">
        <v>3500</v>
      </c>
      <c r="E206" s="148">
        <v>-0.152</v>
      </c>
      <c r="F206" s="41" t="s">
        <v>1261</v>
      </c>
      <c r="L206" s="41"/>
      <c r="N206" s="99"/>
      <c r="O206" s="99"/>
      <c r="P206" s="99"/>
      <c r="R206" s="148">
        <f t="shared" si="16"/>
        <v>6.7000000000000004E-2</v>
      </c>
      <c r="S206" s="149" t="e">
        <f t="shared" si="15"/>
        <v>#N/A</v>
      </c>
      <c r="T206" s="149" t="e">
        <f t="shared" si="17"/>
        <v>#N/A</v>
      </c>
      <c r="U206" s="149" t="e">
        <f t="shared" si="17"/>
        <v>#N/A</v>
      </c>
      <c r="V206" s="149" t="e">
        <f t="shared" si="17"/>
        <v>#N/A</v>
      </c>
      <c r="W206" s="149" t="e">
        <f t="shared" si="17"/>
        <v>#N/A</v>
      </c>
      <c r="X206" s="149" t="e">
        <f t="shared" si="17"/>
        <v>#N/A</v>
      </c>
      <c r="Y206" s="149" t="e">
        <f t="shared" si="17"/>
        <v>#N/A</v>
      </c>
      <c r="Z206" s="149" t="e">
        <f t="shared" si="17"/>
        <v>#N/A</v>
      </c>
      <c r="AA206" s="149" t="e">
        <f t="shared" si="17"/>
        <v>#N/A</v>
      </c>
      <c r="AB206" s="149" t="e">
        <f t="shared" si="17"/>
        <v>#N/A</v>
      </c>
      <c r="AC206" s="149" t="e">
        <f t="shared" si="17"/>
        <v>#N/A</v>
      </c>
      <c r="AD206" s="149" t="e">
        <f t="shared" si="17"/>
        <v>#N/A</v>
      </c>
    </row>
    <row r="207" spans="1:30">
      <c r="A207" s="160" t="s">
        <v>289</v>
      </c>
      <c r="B207" s="41" t="s">
        <v>555</v>
      </c>
      <c r="C207" s="41" t="s">
        <v>701</v>
      </c>
      <c r="D207" s="94">
        <v>3600</v>
      </c>
      <c r="E207" s="148">
        <v>-0.128</v>
      </c>
      <c r="F207" s="41" t="s">
        <v>1262</v>
      </c>
      <c r="L207" s="41"/>
      <c r="N207" s="99"/>
      <c r="O207" s="99"/>
      <c r="P207" s="99"/>
      <c r="R207" s="148">
        <f t="shared" si="16"/>
        <v>6.8000000000000005E-2</v>
      </c>
      <c r="S207" s="149" t="e">
        <f t="shared" si="15"/>
        <v>#N/A</v>
      </c>
      <c r="T207" s="149" t="e">
        <f t="shared" si="17"/>
        <v>#N/A</v>
      </c>
      <c r="U207" s="149" t="e">
        <f t="shared" si="17"/>
        <v>#N/A</v>
      </c>
      <c r="V207" s="149" t="e">
        <f t="shared" si="17"/>
        <v>#N/A</v>
      </c>
      <c r="W207" s="149" t="e">
        <f t="shared" si="17"/>
        <v>#N/A</v>
      </c>
      <c r="X207" s="149" t="e">
        <f t="shared" si="17"/>
        <v>#N/A</v>
      </c>
      <c r="Y207" s="149" t="e">
        <f t="shared" si="17"/>
        <v>#N/A</v>
      </c>
      <c r="Z207" s="149" t="e">
        <f t="shared" si="17"/>
        <v>#N/A</v>
      </c>
      <c r="AA207" s="149" t="e">
        <f t="shared" si="17"/>
        <v>#N/A</v>
      </c>
      <c r="AB207" s="149" t="e">
        <f t="shared" si="17"/>
        <v>#N/A</v>
      </c>
      <c r="AC207" s="149" t="e">
        <f t="shared" si="17"/>
        <v>#N/A</v>
      </c>
      <c r="AD207" s="149" t="e">
        <f t="shared" si="17"/>
        <v>#N/A</v>
      </c>
    </row>
    <row r="208" spans="1:30">
      <c r="A208" s="160" t="s">
        <v>290</v>
      </c>
      <c r="B208" s="41" t="s">
        <v>556</v>
      </c>
      <c r="C208" s="41" t="s">
        <v>701</v>
      </c>
      <c r="D208" s="94">
        <v>3700</v>
      </c>
      <c r="E208" s="148">
        <v>-0.10300000000000001</v>
      </c>
      <c r="F208" s="41" t="s">
        <v>1263</v>
      </c>
      <c r="L208" s="41"/>
      <c r="N208" s="99"/>
      <c r="O208" s="99"/>
      <c r="P208" s="99"/>
      <c r="R208" s="148">
        <f t="shared" si="16"/>
        <v>6.9000000000000006E-2</v>
      </c>
      <c r="S208" s="149" t="e">
        <f t="shared" si="15"/>
        <v>#N/A</v>
      </c>
      <c r="T208" s="149" t="e">
        <f t="shared" si="17"/>
        <v>#N/A</v>
      </c>
      <c r="U208" s="149" t="e">
        <f t="shared" si="17"/>
        <v>#N/A</v>
      </c>
      <c r="V208" s="149" t="e">
        <f t="shared" si="17"/>
        <v>#N/A</v>
      </c>
      <c r="W208" s="149" t="e">
        <f t="shared" si="17"/>
        <v>#N/A</v>
      </c>
      <c r="X208" s="149" t="e">
        <f t="shared" si="17"/>
        <v>#N/A</v>
      </c>
      <c r="Y208" s="149" t="e">
        <f t="shared" si="17"/>
        <v>#N/A</v>
      </c>
      <c r="Z208" s="149" t="e">
        <f t="shared" si="17"/>
        <v>#N/A</v>
      </c>
      <c r="AA208" s="149" t="e">
        <f t="shared" si="17"/>
        <v>#N/A</v>
      </c>
      <c r="AB208" s="149" t="e">
        <f t="shared" si="17"/>
        <v>#N/A</v>
      </c>
      <c r="AC208" s="149" t="e">
        <f t="shared" si="17"/>
        <v>#N/A</v>
      </c>
      <c r="AD208" s="149" t="e">
        <f t="shared" si="17"/>
        <v>#N/A</v>
      </c>
    </row>
    <row r="209" spans="1:30">
      <c r="A209" s="160" t="s">
        <v>291</v>
      </c>
      <c r="B209" s="41" t="s">
        <v>557</v>
      </c>
      <c r="C209" s="41" t="s">
        <v>701</v>
      </c>
      <c r="D209" s="94">
        <v>3800</v>
      </c>
      <c r="E209" s="148">
        <v>-7.9000000000000001E-2</v>
      </c>
      <c r="F209" s="41" t="s">
        <v>1264</v>
      </c>
      <c r="L209" s="41"/>
      <c r="N209" s="99"/>
      <c r="O209" s="99"/>
      <c r="P209" s="99"/>
      <c r="R209" s="148">
        <f t="shared" si="16"/>
        <v>7.0000000000000007E-2</v>
      </c>
      <c r="S209" s="149" t="e">
        <f t="shared" si="15"/>
        <v>#N/A</v>
      </c>
      <c r="T209" s="149" t="e">
        <f t="shared" si="17"/>
        <v>#N/A</v>
      </c>
      <c r="U209" s="149" t="e">
        <f t="shared" si="17"/>
        <v>#N/A</v>
      </c>
      <c r="V209" s="149" t="e">
        <f t="shared" si="17"/>
        <v>#N/A</v>
      </c>
      <c r="W209" s="149" t="e">
        <f t="shared" si="17"/>
        <v>#N/A</v>
      </c>
      <c r="X209" s="149" t="e">
        <f t="shared" si="17"/>
        <v>#N/A</v>
      </c>
      <c r="Y209" s="149" t="e">
        <f t="shared" si="17"/>
        <v>#N/A</v>
      </c>
      <c r="Z209" s="149" t="e">
        <f t="shared" si="17"/>
        <v>#N/A</v>
      </c>
      <c r="AA209" s="149" t="e">
        <f t="shared" si="17"/>
        <v>#N/A</v>
      </c>
      <c r="AB209" s="149" t="e">
        <f t="shared" si="17"/>
        <v>#N/A</v>
      </c>
      <c r="AC209" s="149" t="e">
        <f t="shared" si="17"/>
        <v>#N/A</v>
      </c>
      <c r="AD209" s="149" t="e">
        <f t="shared" si="17"/>
        <v>#N/A</v>
      </c>
    </row>
    <row r="210" spans="1:30">
      <c r="A210" s="160" t="s">
        <v>292</v>
      </c>
      <c r="B210" s="41" t="s">
        <v>558</v>
      </c>
      <c r="C210" s="41" t="s">
        <v>701</v>
      </c>
      <c r="D210" s="94">
        <v>3900</v>
      </c>
      <c r="E210" s="148">
        <v>-5.5E-2</v>
      </c>
      <c r="F210" s="41" t="s">
        <v>1265</v>
      </c>
      <c r="L210" s="41"/>
      <c r="N210" s="99"/>
      <c r="O210" s="99"/>
      <c r="P210" s="99"/>
      <c r="R210" s="148">
        <f t="shared" si="16"/>
        <v>7.0999999999999994E-2</v>
      </c>
      <c r="S210" s="149" t="e">
        <f t="shared" si="15"/>
        <v>#N/A</v>
      </c>
      <c r="T210" s="149" t="e">
        <f t="shared" si="17"/>
        <v>#N/A</v>
      </c>
      <c r="U210" s="149" t="e">
        <f t="shared" si="17"/>
        <v>#N/A</v>
      </c>
      <c r="V210" s="149" t="e">
        <f t="shared" si="17"/>
        <v>#N/A</v>
      </c>
      <c r="W210" s="149" t="e">
        <f t="shared" si="17"/>
        <v>#N/A</v>
      </c>
      <c r="X210" s="149" t="e">
        <f t="shared" si="17"/>
        <v>#N/A</v>
      </c>
      <c r="Y210" s="149" t="e">
        <f t="shared" si="17"/>
        <v>#N/A</v>
      </c>
      <c r="Z210" s="149" t="e">
        <f t="shared" si="17"/>
        <v>#N/A</v>
      </c>
      <c r="AA210" s="149" t="e">
        <f t="shared" si="17"/>
        <v>#N/A</v>
      </c>
      <c r="AB210" s="149" t="e">
        <f t="shared" si="17"/>
        <v>#N/A</v>
      </c>
      <c r="AC210" s="149" t="e">
        <f t="shared" si="17"/>
        <v>#N/A</v>
      </c>
      <c r="AD210" s="149" t="e">
        <f t="shared" si="17"/>
        <v>#N/A</v>
      </c>
    </row>
    <row r="211" spans="1:30">
      <c r="A211" s="160" t="s">
        <v>293</v>
      </c>
      <c r="B211" s="41" t="s">
        <v>559</v>
      </c>
      <c r="C211" s="41" t="s">
        <v>701</v>
      </c>
      <c r="D211" s="94">
        <v>4000</v>
      </c>
      <c r="E211" s="148">
        <v>-3.1E-2</v>
      </c>
      <c r="F211" s="41" t="s">
        <v>754</v>
      </c>
      <c r="L211" s="41"/>
      <c r="N211" s="99"/>
      <c r="O211" s="99"/>
      <c r="P211" s="99"/>
      <c r="R211" s="148">
        <f t="shared" si="16"/>
        <v>7.1999999999999995E-2</v>
      </c>
      <c r="S211" s="149" t="e">
        <f t="shared" si="15"/>
        <v>#N/A</v>
      </c>
      <c r="T211" s="149" t="e">
        <f t="shared" si="17"/>
        <v>#N/A</v>
      </c>
      <c r="U211" s="149" t="e">
        <f t="shared" si="17"/>
        <v>#N/A</v>
      </c>
      <c r="V211" s="149" t="e">
        <f t="shared" si="17"/>
        <v>#N/A</v>
      </c>
      <c r="W211" s="149" t="e">
        <f t="shared" si="17"/>
        <v>#N/A</v>
      </c>
      <c r="X211" s="149" t="e">
        <f t="shared" si="17"/>
        <v>#N/A</v>
      </c>
      <c r="Y211" s="149" t="e">
        <f t="shared" si="17"/>
        <v>#N/A</v>
      </c>
      <c r="Z211" s="149" t="e">
        <f t="shared" si="17"/>
        <v>#N/A</v>
      </c>
      <c r="AA211" s="149" t="e">
        <f t="shared" si="17"/>
        <v>#N/A</v>
      </c>
      <c r="AB211" s="149" t="e">
        <f t="shared" si="17"/>
        <v>#N/A</v>
      </c>
      <c r="AC211" s="149" t="e">
        <f t="shared" si="17"/>
        <v>#N/A</v>
      </c>
      <c r="AD211" s="149" t="e">
        <f t="shared" si="17"/>
        <v>#N/A</v>
      </c>
    </row>
    <row r="212" spans="1:30">
      <c r="A212" s="160" t="s">
        <v>294</v>
      </c>
      <c r="B212" s="41" t="s">
        <v>560</v>
      </c>
      <c r="C212" s="41" t="s">
        <v>701</v>
      </c>
      <c r="D212" s="94">
        <v>4100</v>
      </c>
      <c r="E212" s="148">
        <v>-6.0000000000000001E-3</v>
      </c>
      <c r="F212" s="41" t="s">
        <v>755</v>
      </c>
      <c r="L212" s="41"/>
      <c r="N212" s="99"/>
      <c r="O212" s="99"/>
      <c r="P212" s="99"/>
      <c r="R212" s="148">
        <f t="shared" si="16"/>
        <v>7.2999999999999995E-2</v>
      </c>
      <c r="S212" s="149" t="e">
        <f t="shared" si="15"/>
        <v>#N/A</v>
      </c>
      <c r="T212" s="149" t="e">
        <f t="shared" si="17"/>
        <v>#N/A</v>
      </c>
      <c r="U212" s="149" t="e">
        <f t="shared" si="17"/>
        <v>#N/A</v>
      </c>
      <c r="V212" s="149" t="e">
        <f t="shared" si="17"/>
        <v>#N/A</v>
      </c>
      <c r="W212" s="149" t="e">
        <f t="shared" si="17"/>
        <v>#N/A</v>
      </c>
      <c r="X212" s="149" t="e">
        <f t="shared" si="17"/>
        <v>#N/A</v>
      </c>
      <c r="Y212" s="149" t="e">
        <f t="shared" si="17"/>
        <v>#N/A</v>
      </c>
      <c r="Z212" s="149" t="e">
        <f t="shared" si="17"/>
        <v>#N/A</v>
      </c>
      <c r="AA212" s="149" t="e">
        <f t="shared" si="17"/>
        <v>#N/A</v>
      </c>
      <c r="AB212" s="149" t="e">
        <f t="shared" si="17"/>
        <v>#N/A</v>
      </c>
      <c r="AC212" s="149" t="e">
        <f t="shared" si="17"/>
        <v>#N/A</v>
      </c>
      <c r="AD212" s="149" t="e">
        <f t="shared" si="17"/>
        <v>#N/A</v>
      </c>
    </row>
    <row r="213" spans="1:30">
      <c r="A213" s="160" t="s">
        <v>295</v>
      </c>
      <c r="B213" s="41" t="s">
        <v>561</v>
      </c>
      <c r="C213" s="41" t="s">
        <v>701</v>
      </c>
      <c r="D213" s="94">
        <v>4200</v>
      </c>
      <c r="E213" s="148">
        <v>1.8000000000000002E-2</v>
      </c>
      <c r="F213" s="41" t="s">
        <v>756</v>
      </c>
      <c r="L213" s="41"/>
      <c r="N213" s="99"/>
      <c r="O213" s="99"/>
      <c r="P213" s="99"/>
      <c r="R213" s="148">
        <f t="shared" si="16"/>
        <v>7.3999999999999996E-2</v>
      </c>
      <c r="S213" s="149" t="e">
        <f t="shared" si="15"/>
        <v>#N/A</v>
      </c>
      <c r="T213" s="149" t="e">
        <f t="shared" si="17"/>
        <v>#N/A</v>
      </c>
      <c r="U213" s="149" t="e">
        <f t="shared" si="17"/>
        <v>#N/A</v>
      </c>
      <c r="V213" s="149" t="e">
        <f t="shared" si="17"/>
        <v>#N/A</v>
      </c>
      <c r="W213" s="149" t="e">
        <f t="shared" si="17"/>
        <v>#N/A</v>
      </c>
      <c r="X213" s="149" t="e">
        <f t="shared" si="17"/>
        <v>#N/A</v>
      </c>
      <c r="Y213" s="149" t="e">
        <f t="shared" si="17"/>
        <v>#N/A</v>
      </c>
      <c r="Z213" s="149" t="e">
        <f t="shared" si="17"/>
        <v>#N/A</v>
      </c>
      <c r="AA213" s="149" t="e">
        <f t="shared" si="17"/>
        <v>#N/A</v>
      </c>
      <c r="AB213" s="149" t="e">
        <f t="shared" si="17"/>
        <v>#N/A</v>
      </c>
      <c r="AC213" s="149" t="e">
        <f t="shared" si="17"/>
        <v>#N/A</v>
      </c>
      <c r="AD213" s="149" t="e">
        <f t="shared" si="17"/>
        <v>#N/A</v>
      </c>
    </row>
    <row r="214" spans="1:30">
      <c r="A214" s="160" t="s">
        <v>296</v>
      </c>
      <c r="B214" s="41" t="s">
        <v>562</v>
      </c>
      <c r="C214" s="41" t="s">
        <v>701</v>
      </c>
      <c r="D214" s="94">
        <v>4300</v>
      </c>
      <c r="E214" s="148">
        <v>4.2000000000000003E-2</v>
      </c>
      <c r="F214" s="41" t="s">
        <v>1266</v>
      </c>
      <c r="L214" s="41"/>
      <c r="N214" s="99"/>
      <c r="O214" s="99"/>
      <c r="P214" s="99"/>
      <c r="R214" s="148">
        <f t="shared" si="16"/>
        <v>7.4999999999999997E-2</v>
      </c>
      <c r="S214" s="149" t="e">
        <f t="shared" si="15"/>
        <v>#N/A</v>
      </c>
      <c r="T214" s="149" t="e">
        <f t="shared" si="17"/>
        <v>#N/A</v>
      </c>
      <c r="U214" s="149" t="e">
        <f t="shared" si="17"/>
        <v>#N/A</v>
      </c>
      <c r="V214" s="149" t="e">
        <f t="shared" si="17"/>
        <v>#N/A</v>
      </c>
      <c r="W214" s="149" t="e">
        <f t="shared" si="17"/>
        <v>#N/A</v>
      </c>
      <c r="X214" s="149" t="e">
        <f t="shared" si="17"/>
        <v>#N/A</v>
      </c>
      <c r="Y214" s="149" t="e">
        <f t="shared" si="17"/>
        <v>#N/A</v>
      </c>
      <c r="Z214" s="149" t="e">
        <f t="shared" si="17"/>
        <v>#N/A</v>
      </c>
      <c r="AA214" s="149" t="e">
        <f t="shared" si="17"/>
        <v>#N/A</v>
      </c>
      <c r="AB214" s="149" t="e">
        <f t="shared" si="17"/>
        <v>#N/A</v>
      </c>
      <c r="AC214" s="149" t="e">
        <f t="shared" si="17"/>
        <v>#N/A</v>
      </c>
      <c r="AD214" s="149" t="e">
        <f t="shared" si="17"/>
        <v>#N/A</v>
      </c>
    </row>
    <row r="215" spans="1:30">
      <c r="A215" s="160" t="s">
        <v>297</v>
      </c>
      <c r="B215" s="41" t="s">
        <v>563</v>
      </c>
      <c r="C215" s="41" t="s">
        <v>701</v>
      </c>
      <c r="D215" s="94">
        <v>4400</v>
      </c>
      <c r="E215" s="148">
        <v>6.6000000000000003E-2</v>
      </c>
      <c r="F215" s="41" t="s">
        <v>1267</v>
      </c>
      <c r="L215" s="41"/>
      <c r="N215" s="99"/>
      <c r="O215" s="99"/>
      <c r="P215" s="99"/>
      <c r="R215" s="148">
        <f t="shared" si="16"/>
        <v>7.5999999999999998E-2</v>
      </c>
      <c r="S215" s="149" t="e">
        <f t="shared" si="15"/>
        <v>#N/A</v>
      </c>
      <c r="T215" s="149" t="e">
        <f t="shared" si="17"/>
        <v>#N/A</v>
      </c>
      <c r="U215" s="149" t="e">
        <f t="shared" si="17"/>
        <v>#N/A</v>
      </c>
      <c r="V215" s="149" t="e">
        <f t="shared" si="17"/>
        <v>#N/A</v>
      </c>
      <c r="W215" s="149" t="e">
        <f t="shared" si="17"/>
        <v>#N/A</v>
      </c>
      <c r="X215" s="149" t="e">
        <f t="shared" si="17"/>
        <v>#N/A</v>
      </c>
      <c r="Y215" s="149" t="e">
        <f t="shared" si="17"/>
        <v>#N/A</v>
      </c>
      <c r="Z215" s="149" t="e">
        <f t="shared" si="17"/>
        <v>#N/A</v>
      </c>
      <c r="AA215" s="149" t="e">
        <f t="shared" si="17"/>
        <v>#N/A</v>
      </c>
      <c r="AB215" s="149" t="e">
        <f t="shared" si="17"/>
        <v>#N/A</v>
      </c>
      <c r="AC215" s="149" t="e">
        <f t="shared" si="17"/>
        <v>#N/A</v>
      </c>
      <c r="AD215" s="149" t="e">
        <f t="shared" si="17"/>
        <v>#N/A</v>
      </c>
    </row>
    <row r="216" spans="1:30">
      <c r="A216" s="160" t="s">
        <v>298</v>
      </c>
      <c r="B216" s="41" t="s">
        <v>564</v>
      </c>
      <c r="C216" s="41" t="s">
        <v>701</v>
      </c>
      <c r="D216" s="94">
        <v>4500</v>
      </c>
      <c r="E216" s="148">
        <v>9.0999999999999998E-2</v>
      </c>
      <c r="F216" s="41" t="s">
        <v>1268</v>
      </c>
      <c r="L216" s="41"/>
      <c r="N216" s="99"/>
      <c r="O216" s="99"/>
      <c r="P216" s="99"/>
      <c r="R216" s="148">
        <f t="shared" si="16"/>
        <v>7.6999999999999999E-2</v>
      </c>
      <c r="S216" s="149" t="e">
        <f t="shared" si="15"/>
        <v>#N/A</v>
      </c>
      <c r="T216" s="149" t="e">
        <f t="shared" si="17"/>
        <v>#N/A</v>
      </c>
      <c r="U216" s="149" t="e">
        <f t="shared" si="17"/>
        <v>#N/A</v>
      </c>
      <c r="V216" s="149" t="e">
        <f t="shared" si="17"/>
        <v>#N/A</v>
      </c>
      <c r="W216" s="149" t="e">
        <f t="shared" si="17"/>
        <v>#N/A</v>
      </c>
      <c r="X216" s="149" t="e">
        <f t="shared" si="17"/>
        <v>#N/A</v>
      </c>
      <c r="Y216" s="149" t="e">
        <f t="shared" si="17"/>
        <v>#N/A</v>
      </c>
      <c r="Z216" s="149" t="e">
        <f t="shared" si="17"/>
        <v>#N/A</v>
      </c>
      <c r="AA216" s="149" t="e">
        <f t="shared" si="17"/>
        <v>#N/A</v>
      </c>
      <c r="AB216" s="149" t="e">
        <f t="shared" si="17"/>
        <v>#N/A</v>
      </c>
      <c r="AC216" s="149" t="e">
        <f t="shared" si="17"/>
        <v>#N/A</v>
      </c>
      <c r="AD216" s="149" t="e">
        <f t="shared" si="17"/>
        <v>#N/A</v>
      </c>
    </row>
    <row r="217" spans="1:30">
      <c r="A217" s="160" t="s">
        <v>875</v>
      </c>
      <c r="B217" s="41" t="s">
        <v>1269</v>
      </c>
      <c r="C217" s="41" t="s">
        <v>701</v>
      </c>
      <c r="D217" s="94">
        <v>4600</v>
      </c>
      <c r="E217" s="148">
        <v>0.115</v>
      </c>
      <c r="F217" s="41" t="s">
        <v>1270</v>
      </c>
      <c r="L217" s="41"/>
      <c r="N217" s="99"/>
      <c r="O217" s="99"/>
      <c r="P217" s="99"/>
      <c r="R217" s="148">
        <f t="shared" si="16"/>
        <v>7.8E-2</v>
      </c>
      <c r="S217" s="149" t="e">
        <f t="shared" si="15"/>
        <v>#N/A</v>
      </c>
      <c r="T217" s="149" t="e">
        <f t="shared" si="17"/>
        <v>#N/A</v>
      </c>
      <c r="U217" s="149" t="e">
        <f t="shared" si="17"/>
        <v>#N/A</v>
      </c>
      <c r="V217" s="149" t="e">
        <f t="shared" si="17"/>
        <v>#N/A</v>
      </c>
      <c r="W217" s="149" t="e">
        <f t="shared" si="17"/>
        <v>#N/A</v>
      </c>
      <c r="X217" s="149" t="e">
        <f t="shared" si="17"/>
        <v>#N/A</v>
      </c>
      <c r="Y217" s="149" t="e">
        <f t="shared" si="17"/>
        <v>#N/A</v>
      </c>
      <c r="Z217" s="149" t="e">
        <f t="shared" si="17"/>
        <v>#N/A</v>
      </c>
      <c r="AA217" s="149" t="e">
        <f t="shared" si="17"/>
        <v>#N/A</v>
      </c>
      <c r="AB217" s="149" t="e">
        <f t="shared" si="17"/>
        <v>#N/A</v>
      </c>
      <c r="AC217" s="149" t="e">
        <f t="shared" si="17"/>
        <v>#N/A</v>
      </c>
      <c r="AD217" s="149" t="e">
        <f t="shared" si="17"/>
        <v>#N/A</v>
      </c>
    </row>
    <row r="218" spans="1:30">
      <c r="A218" s="160" t="s">
        <v>876</v>
      </c>
      <c r="B218" s="41" t="s">
        <v>1271</v>
      </c>
      <c r="C218" s="41" t="s">
        <v>701</v>
      </c>
      <c r="D218" s="94">
        <v>4700</v>
      </c>
      <c r="E218" s="148">
        <v>0.13900000000000001</v>
      </c>
      <c r="F218" s="41" t="s">
        <v>1272</v>
      </c>
      <c r="L218" s="41"/>
      <c r="N218" s="99"/>
      <c r="O218" s="99"/>
      <c r="P218" s="99"/>
      <c r="R218" s="148">
        <f t="shared" si="16"/>
        <v>7.9000000000000001E-2</v>
      </c>
      <c r="S218" s="149" t="e">
        <f t="shared" si="15"/>
        <v>#N/A</v>
      </c>
      <c r="T218" s="149" t="e">
        <f t="shared" si="17"/>
        <v>#N/A</v>
      </c>
      <c r="U218" s="149" t="e">
        <f t="shared" si="17"/>
        <v>#N/A</v>
      </c>
      <c r="V218" s="149" t="e">
        <f t="shared" si="17"/>
        <v>#N/A</v>
      </c>
      <c r="W218" s="149" t="e">
        <f t="shared" si="17"/>
        <v>#N/A</v>
      </c>
      <c r="X218" s="149" t="e">
        <f t="shared" si="17"/>
        <v>#N/A</v>
      </c>
      <c r="Y218" s="149" t="e">
        <f t="shared" si="17"/>
        <v>#N/A</v>
      </c>
      <c r="Z218" s="149" t="e">
        <f t="shared" si="17"/>
        <v>#N/A</v>
      </c>
      <c r="AA218" s="149" t="e">
        <f t="shared" si="17"/>
        <v>#N/A</v>
      </c>
      <c r="AB218" s="149" t="e">
        <f t="shared" si="17"/>
        <v>#N/A</v>
      </c>
      <c r="AC218" s="149" t="e">
        <f t="shared" si="17"/>
        <v>#N/A</v>
      </c>
      <c r="AD218" s="149" t="e">
        <f t="shared" si="17"/>
        <v>#N/A</v>
      </c>
    </row>
    <row r="219" spans="1:30">
      <c r="A219" s="160" t="s">
        <v>877</v>
      </c>
      <c r="B219" s="41" t="s">
        <v>1273</v>
      </c>
      <c r="C219" s="41" t="s">
        <v>716</v>
      </c>
      <c r="D219" s="94">
        <v>3300</v>
      </c>
      <c r="E219" s="148">
        <v>-0.2</v>
      </c>
      <c r="F219" s="41" t="s">
        <v>1274</v>
      </c>
      <c r="L219" s="41"/>
      <c r="N219" s="99"/>
      <c r="O219" s="99"/>
      <c r="P219" s="99"/>
      <c r="R219" s="148">
        <f t="shared" si="16"/>
        <v>0.08</v>
      </c>
      <c r="S219" s="149" t="e">
        <f t="shared" si="15"/>
        <v>#N/A</v>
      </c>
      <c r="T219" s="149" t="e">
        <f t="shared" si="17"/>
        <v>#N/A</v>
      </c>
      <c r="U219" s="149" t="e">
        <f t="shared" si="17"/>
        <v>#N/A</v>
      </c>
      <c r="V219" s="149" t="e">
        <f t="shared" si="17"/>
        <v>#N/A</v>
      </c>
      <c r="W219" s="149" t="e">
        <f t="shared" si="17"/>
        <v>#N/A</v>
      </c>
      <c r="X219" s="149" t="e">
        <f t="shared" si="17"/>
        <v>#N/A</v>
      </c>
      <c r="Y219" s="149" t="e">
        <f t="shared" si="17"/>
        <v>#N/A</v>
      </c>
      <c r="Z219" s="149" t="e">
        <f t="shared" si="17"/>
        <v>#N/A</v>
      </c>
      <c r="AA219" s="149" t="e">
        <f t="shared" si="17"/>
        <v>#N/A</v>
      </c>
      <c r="AB219" s="149" t="e">
        <f t="shared" si="17"/>
        <v>#N/A</v>
      </c>
      <c r="AC219" s="149" t="e">
        <f t="shared" si="17"/>
        <v>#N/A</v>
      </c>
      <c r="AD219" s="149" t="e">
        <f t="shared" si="17"/>
        <v>#N/A</v>
      </c>
    </row>
    <row r="220" spans="1:30">
      <c r="A220" s="160" t="s">
        <v>878</v>
      </c>
      <c r="B220" s="41" t="s">
        <v>1275</v>
      </c>
      <c r="C220" s="41" t="s">
        <v>716</v>
      </c>
      <c r="D220" s="94">
        <v>3400</v>
      </c>
      <c r="E220" s="148">
        <v>-0.17600000000000002</v>
      </c>
      <c r="F220" s="41" t="s">
        <v>1276</v>
      </c>
      <c r="L220" s="41"/>
      <c r="N220" s="99"/>
      <c r="O220" s="99"/>
      <c r="P220" s="99"/>
      <c r="R220" s="148">
        <f t="shared" si="16"/>
        <v>8.1000000000000003E-2</v>
      </c>
      <c r="S220" s="149" t="e">
        <f t="shared" si="15"/>
        <v>#N/A</v>
      </c>
      <c r="T220" s="149" t="e">
        <f t="shared" si="17"/>
        <v>#N/A</v>
      </c>
      <c r="U220" s="149" t="e">
        <f t="shared" si="17"/>
        <v>#N/A</v>
      </c>
      <c r="V220" s="149" t="e">
        <f t="shared" si="17"/>
        <v>#N/A</v>
      </c>
      <c r="W220" s="149" t="e">
        <f t="shared" si="17"/>
        <v>#N/A</v>
      </c>
      <c r="X220" s="149" t="e">
        <f t="shared" si="17"/>
        <v>#N/A</v>
      </c>
      <c r="Y220" s="149" t="e">
        <f t="shared" si="17"/>
        <v>#N/A</v>
      </c>
      <c r="Z220" s="149" t="e">
        <f t="shared" si="17"/>
        <v>#N/A</v>
      </c>
      <c r="AA220" s="149" t="e">
        <f t="shared" si="17"/>
        <v>#N/A</v>
      </c>
      <c r="AB220" s="149" t="e">
        <f t="shared" si="17"/>
        <v>#N/A</v>
      </c>
      <c r="AC220" s="149" t="e">
        <f t="shared" si="17"/>
        <v>#N/A</v>
      </c>
      <c r="AD220" s="149" t="e">
        <f t="shared" si="17"/>
        <v>#N/A</v>
      </c>
    </row>
    <row r="221" spans="1:30">
      <c r="A221" s="160" t="s">
        <v>228</v>
      </c>
      <c r="B221" s="41" t="s">
        <v>494</v>
      </c>
      <c r="C221" s="41" t="s">
        <v>716</v>
      </c>
      <c r="D221" s="94">
        <v>3500</v>
      </c>
      <c r="E221" s="148">
        <v>-0.152</v>
      </c>
      <c r="F221" s="41" t="s">
        <v>1277</v>
      </c>
      <c r="L221" s="41"/>
      <c r="N221" s="99"/>
      <c r="O221" s="99"/>
      <c r="P221" s="99"/>
      <c r="R221" s="148">
        <f t="shared" si="16"/>
        <v>8.2000000000000003E-2</v>
      </c>
      <c r="S221" s="149" t="e">
        <f t="shared" si="15"/>
        <v>#N/A</v>
      </c>
      <c r="T221" s="149" t="e">
        <f t="shared" si="17"/>
        <v>#N/A</v>
      </c>
      <c r="U221" s="149" t="e">
        <f t="shared" si="17"/>
        <v>#N/A</v>
      </c>
      <c r="V221" s="149" t="e">
        <f t="shared" si="17"/>
        <v>#N/A</v>
      </c>
      <c r="W221" s="149" t="e">
        <f t="shared" si="17"/>
        <v>#N/A</v>
      </c>
      <c r="X221" s="149" t="e">
        <f t="shared" si="17"/>
        <v>#N/A</v>
      </c>
      <c r="Y221" s="149" t="e">
        <f t="shared" si="17"/>
        <v>#N/A</v>
      </c>
      <c r="Z221" s="149" t="e">
        <f t="shared" si="17"/>
        <v>#N/A</v>
      </c>
      <c r="AA221" s="149" t="e">
        <f t="shared" si="17"/>
        <v>#N/A</v>
      </c>
      <c r="AB221" s="149" t="e">
        <f t="shared" si="17"/>
        <v>#N/A</v>
      </c>
      <c r="AC221" s="149" t="e">
        <f t="shared" si="17"/>
        <v>#N/A</v>
      </c>
      <c r="AD221" s="149" t="e">
        <f t="shared" si="17"/>
        <v>#N/A</v>
      </c>
    </row>
    <row r="222" spans="1:30">
      <c r="A222" s="160" t="s">
        <v>229</v>
      </c>
      <c r="B222" s="41" t="s">
        <v>495</v>
      </c>
      <c r="C222" s="41" t="s">
        <v>716</v>
      </c>
      <c r="D222" s="94">
        <v>3600</v>
      </c>
      <c r="E222" s="148">
        <v>-0.128</v>
      </c>
      <c r="F222" s="41" t="s">
        <v>1278</v>
      </c>
      <c r="L222" s="41"/>
      <c r="N222" s="99"/>
      <c r="O222" s="99"/>
      <c r="P222" s="99"/>
      <c r="R222" s="148">
        <f t="shared" si="16"/>
        <v>8.3000000000000004E-2</v>
      </c>
      <c r="S222" s="149" t="e">
        <f t="shared" si="15"/>
        <v>#N/A</v>
      </c>
      <c r="T222" s="149" t="e">
        <f t="shared" si="17"/>
        <v>#N/A</v>
      </c>
      <c r="U222" s="149" t="e">
        <f t="shared" si="17"/>
        <v>#N/A</v>
      </c>
      <c r="V222" s="149" t="e">
        <f t="shared" si="17"/>
        <v>#N/A</v>
      </c>
      <c r="W222" s="149" t="e">
        <f t="shared" si="17"/>
        <v>#N/A</v>
      </c>
      <c r="X222" s="149" t="e">
        <f t="shared" si="17"/>
        <v>#N/A</v>
      </c>
      <c r="Y222" s="149" t="e">
        <f t="shared" si="17"/>
        <v>#N/A</v>
      </c>
      <c r="Z222" s="149" t="e">
        <f t="shared" si="17"/>
        <v>#N/A</v>
      </c>
      <c r="AA222" s="149" t="e">
        <f t="shared" si="17"/>
        <v>#N/A</v>
      </c>
      <c r="AB222" s="149" t="e">
        <f t="shared" si="17"/>
        <v>#N/A</v>
      </c>
      <c r="AC222" s="149" t="e">
        <f t="shared" si="17"/>
        <v>#N/A</v>
      </c>
      <c r="AD222" s="149" t="e">
        <f t="shared" si="17"/>
        <v>#N/A</v>
      </c>
    </row>
    <row r="223" spans="1:30">
      <c r="A223" s="160" t="s">
        <v>230</v>
      </c>
      <c r="B223" s="41" t="s">
        <v>496</v>
      </c>
      <c r="C223" s="41" t="s">
        <v>716</v>
      </c>
      <c r="D223" s="94">
        <v>3700</v>
      </c>
      <c r="E223" s="148">
        <v>-0.10300000000000001</v>
      </c>
      <c r="F223" s="41" t="s">
        <v>1279</v>
      </c>
      <c r="L223" s="41"/>
      <c r="N223" s="99"/>
      <c r="O223" s="99"/>
      <c r="P223" s="99"/>
      <c r="R223" s="148">
        <f t="shared" si="16"/>
        <v>8.4000000000000005E-2</v>
      </c>
      <c r="S223" s="149" t="e">
        <f t="shared" si="15"/>
        <v>#N/A</v>
      </c>
      <c r="T223" s="149" t="e">
        <f t="shared" si="17"/>
        <v>#N/A</v>
      </c>
      <c r="U223" s="149" t="e">
        <f t="shared" si="17"/>
        <v>#N/A</v>
      </c>
      <c r="V223" s="149" t="e">
        <f t="shared" si="17"/>
        <v>#N/A</v>
      </c>
      <c r="W223" s="149" t="e">
        <f t="shared" si="17"/>
        <v>#N/A</v>
      </c>
      <c r="X223" s="149" t="e">
        <f t="shared" si="17"/>
        <v>#N/A</v>
      </c>
      <c r="Y223" s="149" t="e">
        <f t="shared" si="17"/>
        <v>#N/A</v>
      </c>
      <c r="Z223" s="149" t="e">
        <f t="shared" si="17"/>
        <v>#N/A</v>
      </c>
      <c r="AA223" s="149" t="e">
        <f t="shared" si="17"/>
        <v>#N/A</v>
      </c>
      <c r="AB223" s="149" t="e">
        <f t="shared" si="17"/>
        <v>#N/A</v>
      </c>
      <c r="AC223" s="149" t="e">
        <f t="shared" si="17"/>
        <v>#N/A</v>
      </c>
      <c r="AD223" s="149" t="e">
        <f t="shared" si="17"/>
        <v>#N/A</v>
      </c>
    </row>
    <row r="224" spans="1:30">
      <c r="A224" s="160" t="s">
        <v>231</v>
      </c>
      <c r="B224" s="41" t="s">
        <v>497</v>
      </c>
      <c r="C224" s="41" t="s">
        <v>716</v>
      </c>
      <c r="D224" s="94">
        <v>3800</v>
      </c>
      <c r="E224" s="148">
        <v>-7.9000000000000001E-2</v>
      </c>
      <c r="F224" s="41" t="s">
        <v>1280</v>
      </c>
      <c r="L224" s="41"/>
      <c r="N224" s="99"/>
      <c r="O224" s="99"/>
      <c r="P224" s="99"/>
      <c r="R224" s="148">
        <f t="shared" si="16"/>
        <v>8.5000000000000006E-2</v>
      </c>
      <c r="S224" s="149" t="e">
        <f t="shared" si="15"/>
        <v>#N/A</v>
      </c>
      <c r="T224" s="149" t="e">
        <f t="shared" si="17"/>
        <v>#N/A</v>
      </c>
      <c r="U224" s="149" t="e">
        <f t="shared" si="17"/>
        <v>#N/A</v>
      </c>
      <c r="V224" s="149" t="e">
        <f t="shared" si="17"/>
        <v>#N/A</v>
      </c>
      <c r="W224" s="149" t="e">
        <f t="shared" si="17"/>
        <v>#N/A</v>
      </c>
      <c r="X224" s="149" t="e">
        <f t="shared" si="17"/>
        <v>#N/A</v>
      </c>
      <c r="Y224" s="149" t="e">
        <f t="shared" si="17"/>
        <v>#N/A</v>
      </c>
      <c r="Z224" s="149" t="e">
        <f t="shared" si="17"/>
        <v>#N/A</v>
      </c>
      <c r="AA224" s="149" t="e">
        <f t="shared" si="17"/>
        <v>#N/A</v>
      </c>
      <c r="AB224" s="149" t="e">
        <f t="shared" si="17"/>
        <v>#N/A</v>
      </c>
      <c r="AC224" s="149" t="e">
        <f t="shared" si="17"/>
        <v>#N/A</v>
      </c>
      <c r="AD224" s="149" t="e">
        <f t="shared" si="17"/>
        <v>#N/A</v>
      </c>
    </row>
    <row r="225" spans="1:30">
      <c r="A225" s="160" t="s">
        <v>232</v>
      </c>
      <c r="B225" s="41" t="s">
        <v>498</v>
      </c>
      <c r="C225" s="41" t="s">
        <v>716</v>
      </c>
      <c r="D225" s="94">
        <v>3900</v>
      </c>
      <c r="E225" s="148">
        <v>-5.5E-2</v>
      </c>
      <c r="F225" s="41" t="s">
        <v>1281</v>
      </c>
      <c r="L225" s="41"/>
      <c r="N225" s="99"/>
      <c r="O225" s="99"/>
      <c r="P225" s="99"/>
      <c r="R225" s="148">
        <f t="shared" si="16"/>
        <v>8.5999999999999993E-2</v>
      </c>
      <c r="S225" s="149" t="e">
        <f t="shared" si="15"/>
        <v>#N/A</v>
      </c>
      <c r="T225" s="149" t="e">
        <f t="shared" si="17"/>
        <v>#N/A</v>
      </c>
      <c r="U225" s="149" t="e">
        <f t="shared" si="17"/>
        <v>#N/A</v>
      </c>
      <c r="V225" s="149" t="e">
        <f t="shared" si="17"/>
        <v>#N/A</v>
      </c>
      <c r="W225" s="149" t="e">
        <f t="shared" si="17"/>
        <v>#N/A</v>
      </c>
      <c r="X225" s="149" t="e">
        <f t="shared" si="17"/>
        <v>#N/A</v>
      </c>
      <c r="Y225" s="149" t="e">
        <f t="shared" si="17"/>
        <v>#N/A</v>
      </c>
      <c r="Z225" s="149" t="e">
        <f t="shared" si="17"/>
        <v>#N/A</v>
      </c>
      <c r="AA225" s="149" t="e">
        <f t="shared" si="17"/>
        <v>#N/A</v>
      </c>
      <c r="AB225" s="149" t="e">
        <f t="shared" si="17"/>
        <v>#N/A</v>
      </c>
      <c r="AC225" s="149" t="e">
        <f t="shared" si="17"/>
        <v>#N/A</v>
      </c>
      <c r="AD225" s="149" t="e">
        <f t="shared" si="17"/>
        <v>#N/A</v>
      </c>
    </row>
    <row r="226" spans="1:30">
      <c r="A226" s="160" t="s">
        <v>233</v>
      </c>
      <c r="B226" s="41" t="s">
        <v>499</v>
      </c>
      <c r="C226" s="41" t="s">
        <v>716</v>
      </c>
      <c r="D226" s="94">
        <v>4000</v>
      </c>
      <c r="E226" s="148">
        <v>-3.1E-2</v>
      </c>
      <c r="F226" s="41" t="s">
        <v>740</v>
      </c>
      <c r="L226" s="41"/>
      <c r="N226" s="99"/>
      <c r="O226" s="99"/>
      <c r="P226" s="99"/>
      <c r="R226" s="148">
        <f t="shared" si="16"/>
        <v>8.6999999999999994E-2</v>
      </c>
      <c r="S226" s="149" t="e">
        <f t="shared" si="15"/>
        <v>#N/A</v>
      </c>
      <c r="T226" s="149" t="e">
        <f t="shared" si="17"/>
        <v>#N/A</v>
      </c>
      <c r="U226" s="149" t="e">
        <f t="shared" si="17"/>
        <v>#N/A</v>
      </c>
      <c r="V226" s="149" t="e">
        <f t="shared" si="17"/>
        <v>#N/A</v>
      </c>
      <c r="W226" s="149" t="e">
        <f t="shared" si="17"/>
        <v>#N/A</v>
      </c>
      <c r="X226" s="149" t="e">
        <f t="shared" si="17"/>
        <v>#N/A</v>
      </c>
      <c r="Y226" s="149" t="e">
        <f t="shared" si="17"/>
        <v>#N/A</v>
      </c>
      <c r="Z226" s="149" t="e">
        <f t="shared" si="17"/>
        <v>#N/A</v>
      </c>
      <c r="AA226" s="149" t="e">
        <f t="shared" si="17"/>
        <v>#N/A</v>
      </c>
      <c r="AB226" s="149" t="e">
        <f t="shared" si="17"/>
        <v>#N/A</v>
      </c>
      <c r="AC226" s="149" t="e">
        <f t="shared" si="17"/>
        <v>#N/A</v>
      </c>
      <c r="AD226" s="149" t="e">
        <f t="shared" si="17"/>
        <v>#N/A</v>
      </c>
    </row>
    <row r="227" spans="1:30">
      <c r="A227" s="160" t="s">
        <v>234</v>
      </c>
      <c r="B227" s="41" t="s">
        <v>500</v>
      </c>
      <c r="C227" s="41" t="s">
        <v>716</v>
      </c>
      <c r="D227" s="94">
        <v>4100</v>
      </c>
      <c r="E227" s="148">
        <v>-6.0000000000000001E-3</v>
      </c>
      <c r="F227" s="41" t="s">
        <v>741</v>
      </c>
      <c r="L227" s="41"/>
      <c r="N227" s="99"/>
      <c r="O227" s="99"/>
      <c r="P227" s="99"/>
      <c r="R227" s="148">
        <f t="shared" si="16"/>
        <v>8.7999999999999995E-2</v>
      </c>
      <c r="S227" s="149" t="e">
        <f t="shared" si="15"/>
        <v>#N/A</v>
      </c>
      <c r="T227" s="149" t="e">
        <f t="shared" si="17"/>
        <v>#N/A</v>
      </c>
      <c r="U227" s="149" t="e">
        <f t="shared" si="17"/>
        <v>#N/A</v>
      </c>
      <c r="V227" s="149" t="e">
        <f t="shared" si="17"/>
        <v>#N/A</v>
      </c>
      <c r="W227" s="149" t="e">
        <f t="shared" si="17"/>
        <v>#N/A</v>
      </c>
      <c r="X227" s="149" t="e">
        <f t="shared" si="17"/>
        <v>#N/A</v>
      </c>
      <c r="Y227" s="149" t="e">
        <f t="shared" si="17"/>
        <v>#N/A</v>
      </c>
      <c r="Z227" s="149" t="e">
        <f t="shared" si="17"/>
        <v>#N/A</v>
      </c>
      <c r="AA227" s="149" t="e">
        <f t="shared" si="17"/>
        <v>#N/A</v>
      </c>
      <c r="AB227" s="149" t="e">
        <f t="shared" si="17"/>
        <v>#N/A</v>
      </c>
      <c r="AC227" s="149" t="e">
        <f t="shared" si="17"/>
        <v>#N/A</v>
      </c>
      <c r="AD227" s="149" t="e">
        <f t="shared" si="17"/>
        <v>#N/A</v>
      </c>
    </row>
    <row r="228" spans="1:30">
      <c r="A228" s="160" t="s">
        <v>235</v>
      </c>
      <c r="B228" s="41" t="s">
        <v>501</v>
      </c>
      <c r="C228" s="41" t="s">
        <v>716</v>
      </c>
      <c r="D228" s="94">
        <v>4200</v>
      </c>
      <c r="E228" s="148">
        <v>1.8000000000000002E-2</v>
      </c>
      <c r="F228" s="41" t="s">
        <v>742</v>
      </c>
      <c r="L228" s="41"/>
      <c r="N228" s="99"/>
      <c r="O228" s="99"/>
      <c r="P228" s="99"/>
      <c r="R228" s="148">
        <f t="shared" si="16"/>
        <v>8.8999999999999996E-2</v>
      </c>
      <c r="S228" s="149" t="e">
        <f t="shared" si="15"/>
        <v>#N/A</v>
      </c>
      <c r="T228" s="149" t="e">
        <f t="shared" si="17"/>
        <v>#N/A</v>
      </c>
      <c r="U228" s="149" t="e">
        <f t="shared" si="17"/>
        <v>#N/A</v>
      </c>
      <c r="V228" s="149" t="e">
        <f t="shared" si="17"/>
        <v>#N/A</v>
      </c>
      <c r="W228" s="149" t="e">
        <f t="shared" si="17"/>
        <v>#N/A</v>
      </c>
      <c r="X228" s="149" t="e">
        <f t="shared" si="17"/>
        <v>#N/A</v>
      </c>
      <c r="Y228" s="149" t="e">
        <f t="shared" ref="T228:AD251" si="18">IF(VLOOKUP(Y$8&amp;"@"&amp;$R228,$F:$Q,$R$7,0)=0,NA(),VLOOKUP(Y$8&amp;"@"&amp;$R228,$F:$Q,$R$7,0))</f>
        <v>#N/A</v>
      </c>
      <c r="Z228" s="149" t="e">
        <f t="shared" si="18"/>
        <v>#N/A</v>
      </c>
      <c r="AA228" s="149" t="e">
        <f t="shared" si="18"/>
        <v>#N/A</v>
      </c>
      <c r="AB228" s="149" t="e">
        <f t="shared" si="18"/>
        <v>#N/A</v>
      </c>
      <c r="AC228" s="149" t="e">
        <f t="shared" si="18"/>
        <v>#N/A</v>
      </c>
      <c r="AD228" s="149" t="e">
        <f t="shared" si="18"/>
        <v>#N/A</v>
      </c>
    </row>
    <row r="229" spans="1:30">
      <c r="A229" s="160" t="s">
        <v>236</v>
      </c>
      <c r="B229" s="41" t="s">
        <v>502</v>
      </c>
      <c r="C229" s="41" t="s">
        <v>716</v>
      </c>
      <c r="D229" s="94">
        <v>4300</v>
      </c>
      <c r="E229" s="148">
        <v>4.2000000000000003E-2</v>
      </c>
      <c r="F229" s="41" t="s">
        <v>1282</v>
      </c>
      <c r="L229" s="41"/>
      <c r="N229" s="99"/>
      <c r="O229" s="99"/>
      <c r="P229" s="99"/>
      <c r="R229" s="148">
        <f t="shared" si="16"/>
        <v>0.09</v>
      </c>
      <c r="S229" s="149" t="e">
        <f t="shared" si="15"/>
        <v>#N/A</v>
      </c>
      <c r="T229" s="149" t="e">
        <f t="shared" si="18"/>
        <v>#N/A</v>
      </c>
      <c r="U229" s="149" t="e">
        <f t="shared" si="18"/>
        <v>#N/A</v>
      </c>
      <c r="V229" s="149" t="e">
        <f t="shared" si="18"/>
        <v>#N/A</v>
      </c>
      <c r="W229" s="149" t="e">
        <f t="shared" si="18"/>
        <v>#N/A</v>
      </c>
      <c r="X229" s="149" t="e">
        <f t="shared" si="18"/>
        <v>#N/A</v>
      </c>
      <c r="Y229" s="149" t="e">
        <f t="shared" si="18"/>
        <v>#N/A</v>
      </c>
      <c r="Z229" s="149" t="e">
        <f t="shared" si="18"/>
        <v>#N/A</v>
      </c>
      <c r="AA229" s="149" t="e">
        <f t="shared" si="18"/>
        <v>#N/A</v>
      </c>
      <c r="AB229" s="149" t="e">
        <f t="shared" si="18"/>
        <v>#N/A</v>
      </c>
      <c r="AC229" s="149" t="e">
        <f t="shared" si="18"/>
        <v>#N/A</v>
      </c>
      <c r="AD229" s="149" t="e">
        <f t="shared" si="18"/>
        <v>#N/A</v>
      </c>
    </row>
    <row r="230" spans="1:30">
      <c r="A230" s="160" t="s">
        <v>237</v>
      </c>
      <c r="B230" s="41" t="s">
        <v>503</v>
      </c>
      <c r="C230" s="41" t="s">
        <v>716</v>
      </c>
      <c r="D230" s="94">
        <v>4400</v>
      </c>
      <c r="E230" s="148">
        <v>6.6000000000000003E-2</v>
      </c>
      <c r="F230" s="41" t="s">
        <v>1283</v>
      </c>
      <c r="L230" s="41"/>
      <c r="N230" s="99"/>
      <c r="O230" s="99"/>
      <c r="P230" s="99"/>
      <c r="R230" s="148">
        <f t="shared" si="16"/>
        <v>9.0999999999999998E-2</v>
      </c>
      <c r="S230" s="149" t="e">
        <f t="shared" si="15"/>
        <v>#N/A</v>
      </c>
      <c r="T230" s="149" t="e">
        <f t="shared" si="18"/>
        <v>#N/A</v>
      </c>
      <c r="U230" s="149" t="e">
        <f t="shared" si="18"/>
        <v>#N/A</v>
      </c>
      <c r="V230" s="149" t="e">
        <f t="shared" si="18"/>
        <v>#N/A</v>
      </c>
      <c r="W230" s="149" t="e">
        <f t="shared" si="18"/>
        <v>#N/A</v>
      </c>
      <c r="X230" s="149" t="e">
        <f t="shared" si="18"/>
        <v>#N/A</v>
      </c>
      <c r="Y230" s="149" t="e">
        <f t="shared" si="18"/>
        <v>#N/A</v>
      </c>
      <c r="Z230" s="149" t="e">
        <f t="shared" si="18"/>
        <v>#N/A</v>
      </c>
      <c r="AA230" s="149" t="e">
        <f t="shared" si="18"/>
        <v>#N/A</v>
      </c>
      <c r="AB230" s="149" t="e">
        <f t="shared" si="18"/>
        <v>#N/A</v>
      </c>
      <c r="AC230" s="149" t="e">
        <f t="shared" si="18"/>
        <v>#N/A</v>
      </c>
      <c r="AD230" s="149" t="e">
        <f t="shared" si="18"/>
        <v>#N/A</v>
      </c>
    </row>
    <row r="231" spans="1:30">
      <c r="A231" s="160" t="s">
        <v>238</v>
      </c>
      <c r="B231" s="41" t="s">
        <v>504</v>
      </c>
      <c r="C231" s="41" t="s">
        <v>716</v>
      </c>
      <c r="D231" s="94">
        <v>4500</v>
      </c>
      <c r="E231" s="148">
        <v>9.0999999999999998E-2</v>
      </c>
      <c r="F231" s="41" t="s">
        <v>1284</v>
      </c>
      <c r="L231" s="41"/>
      <c r="N231" s="99"/>
      <c r="O231" s="99"/>
      <c r="P231" s="99"/>
      <c r="R231" s="148">
        <f t="shared" si="16"/>
        <v>9.1999999999999998E-2</v>
      </c>
      <c r="S231" s="149" t="e">
        <f t="shared" si="15"/>
        <v>#N/A</v>
      </c>
      <c r="T231" s="149" t="e">
        <f t="shared" si="18"/>
        <v>#N/A</v>
      </c>
      <c r="U231" s="149" t="e">
        <f t="shared" si="18"/>
        <v>#N/A</v>
      </c>
      <c r="V231" s="149" t="e">
        <f t="shared" si="18"/>
        <v>#N/A</v>
      </c>
      <c r="W231" s="149" t="e">
        <f t="shared" si="18"/>
        <v>#N/A</v>
      </c>
      <c r="X231" s="149" t="e">
        <f t="shared" si="18"/>
        <v>#N/A</v>
      </c>
      <c r="Y231" s="149" t="e">
        <f t="shared" si="18"/>
        <v>#N/A</v>
      </c>
      <c r="Z231" s="149" t="e">
        <f t="shared" si="18"/>
        <v>#N/A</v>
      </c>
      <c r="AA231" s="149" t="e">
        <f t="shared" si="18"/>
        <v>#N/A</v>
      </c>
      <c r="AB231" s="149" t="e">
        <f t="shared" si="18"/>
        <v>#N/A</v>
      </c>
      <c r="AC231" s="149" t="e">
        <f t="shared" si="18"/>
        <v>#N/A</v>
      </c>
      <c r="AD231" s="149" t="e">
        <f t="shared" si="18"/>
        <v>#N/A</v>
      </c>
    </row>
    <row r="232" spans="1:30">
      <c r="A232" s="160" t="s">
        <v>879</v>
      </c>
      <c r="B232" s="41" t="s">
        <v>1285</v>
      </c>
      <c r="C232" s="41" t="s">
        <v>716</v>
      </c>
      <c r="D232" s="94">
        <v>4600</v>
      </c>
      <c r="E232" s="148">
        <v>0.115</v>
      </c>
      <c r="F232" s="41" t="s">
        <v>1286</v>
      </c>
      <c r="L232" s="41"/>
      <c r="N232" s="99"/>
      <c r="O232" s="99"/>
      <c r="P232" s="99"/>
      <c r="R232" s="148">
        <f t="shared" si="16"/>
        <v>9.2999999999999999E-2</v>
      </c>
      <c r="S232" s="149" t="e">
        <f t="shared" si="15"/>
        <v>#N/A</v>
      </c>
      <c r="T232" s="149" t="e">
        <f t="shared" si="18"/>
        <v>#N/A</v>
      </c>
      <c r="U232" s="149" t="e">
        <f t="shared" si="18"/>
        <v>#N/A</v>
      </c>
      <c r="V232" s="149" t="e">
        <f t="shared" si="18"/>
        <v>#N/A</v>
      </c>
      <c r="W232" s="149" t="e">
        <f t="shared" si="18"/>
        <v>#N/A</v>
      </c>
      <c r="X232" s="149" t="e">
        <f t="shared" si="18"/>
        <v>#N/A</v>
      </c>
      <c r="Y232" s="149" t="e">
        <f t="shared" si="18"/>
        <v>#N/A</v>
      </c>
      <c r="Z232" s="149" t="e">
        <f t="shared" si="18"/>
        <v>#N/A</v>
      </c>
      <c r="AA232" s="149" t="e">
        <f t="shared" si="18"/>
        <v>#N/A</v>
      </c>
      <c r="AB232" s="149" t="e">
        <f t="shared" si="18"/>
        <v>#N/A</v>
      </c>
      <c r="AC232" s="149" t="e">
        <f t="shared" si="18"/>
        <v>#N/A</v>
      </c>
      <c r="AD232" s="149" t="e">
        <f t="shared" si="18"/>
        <v>#N/A</v>
      </c>
    </row>
    <row r="233" spans="1:30">
      <c r="A233" s="160" t="s">
        <v>880</v>
      </c>
      <c r="B233" s="41" t="s">
        <v>1287</v>
      </c>
      <c r="C233" s="41" t="s">
        <v>716</v>
      </c>
      <c r="D233" s="94">
        <v>4700</v>
      </c>
      <c r="E233" s="148">
        <v>0.13900000000000001</v>
      </c>
      <c r="F233" s="41" t="s">
        <v>1288</v>
      </c>
      <c r="L233" s="41"/>
      <c r="N233" s="99"/>
      <c r="O233" s="99"/>
      <c r="P233" s="99"/>
      <c r="R233" s="148">
        <f t="shared" si="16"/>
        <v>9.4E-2</v>
      </c>
      <c r="S233" s="149" t="e">
        <f t="shared" si="15"/>
        <v>#N/A</v>
      </c>
      <c r="T233" s="149" t="e">
        <f t="shared" si="18"/>
        <v>#N/A</v>
      </c>
      <c r="U233" s="149" t="e">
        <f t="shared" si="18"/>
        <v>#N/A</v>
      </c>
      <c r="V233" s="149" t="e">
        <f t="shared" si="18"/>
        <v>#N/A</v>
      </c>
      <c r="W233" s="149" t="e">
        <f t="shared" si="18"/>
        <v>#N/A</v>
      </c>
      <c r="X233" s="149" t="e">
        <f t="shared" si="18"/>
        <v>#N/A</v>
      </c>
      <c r="Y233" s="149" t="e">
        <f t="shared" si="18"/>
        <v>#N/A</v>
      </c>
      <c r="Z233" s="149" t="e">
        <f t="shared" si="18"/>
        <v>#N/A</v>
      </c>
      <c r="AA233" s="149" t="e">
        <f t="shared" si="18"/>
        <v>#N/A</v>
      </c>
      <c r="AB233" s="149" t="e">
        <f t="shared" si="18"/>
        <v>#N/A</v>
      </c>
      <c r="AC233" s="149" t="e">
        <f t="shared" si="18"/>
        <v>#N/A</v>
      </c>
      <c r="AD233" s="149" t="e">
        <f t="shared" si="18"/>
        <v>#N/A</v>
      </c>
    </row>
    <row r="234" spans="1:30">
      <c r="A234" s="160" t="s">
        <v>881</v>
      </c>
      <c r="B234" s="41" t="s">
        <v>1289</v>
      </c>
      <c r="C234" s="41" t="s">
        <v>702</v>
      </c>
      <c r="D234" s="94">
        <v>3300</v>
      </c>
      <c r="E234" s="148">
        <v>-0.2</v>
      </c>
      <c r="F234" s="41" t="s">
        <v>1290</v>
      </c>
      <c r="L234" s="41"/>
      <c r="N234" s="99"/>
      <c r="O234" s="99"/>
      <c r="P234" s="99"/>
      <c r="R234" s="148">
        <f t="shared" si="16"/>
        <v>9.5000000000000001E-2</v>
      </c>
      <c r="S234" s="149" t="e">
        <f t="shared" si="15"/>
        <v>#N/A</v>
      </c>
      <c r="T234" s="149" t="e">
        <f t="shared" si="18"/>
        <v>#N/A</v>
      </c>
      <c r="U234" s="149" t="e">
        <f t="shared" si="18"/>
        <v>#N/A</v>
      </c>
      <c r="V234" s="149" t="e">
        <f t="shared" si="18"/>
        <v>#N/A</v>
      </c>
      <c r="W234" s="149" t="e">
        <f t="shared" si="18"/>
        <v>#N/A</v>
      </c>
      <c r="X234" s="149" t="e">
        <f t="shared" si="18"/>
        <v>#N/A</v>
      </c>
      <c r="Y234" s="149" t="e">
        <f t="shared" si="18"/>
        <v>#N/A</v>
      </c>
      <c r="Z234" s="149" t="e">
        <f t="shared" si="18"/>
        <v>#N/A</v>
      </c>
      <c r="AA234" s="149" t="e">
        <f t="shared" si="18"/>
        <v>#N/A</v>
      </c>
      <c r="AB234" s="149" t="e">
        <f t="shared" si="18"/>
        <v>#N/A</v>
      </c>
      <c r="AC234" s="149" t="e">
        <f t="shared" si="18"/>
        <v>#N/A</v>
      </c>
      <c r="AD234" s="149" t="e">
        <f t="shared" si="18"/>
        <v>#N/A</v>
      </c>
    </row>
    <row r="235" spans="1:30">
      <c r="A235" s="160" t="s">
        <v>882</v>
      </c>
      <c r="B235" s="41" t="s">
        <v>1291</v>
      </c>
      <c r="C235" s="41" t="s">
        <v>702</v>
      </c>
      <c r="D235" s="94">
        <v>3400</v>
      </c>
      <c r="E235" s="148">
        <v>-0.17600000000000002</v>
      </c>
      <c r="F235" s="41" t="s">
        <v>1292</v>
      </c>
      <c r="L235" s="41"/>
      <c r="N235" s="99"/>
      <c r="O235" s="99"/>
      <c r="P235" s="99"/>
      <c r="R235" s="148">
        <f t="shared" si="16"/>
        <v>9.6000000000000002E-2</v>
      </c>
      <c r="S235" s="149" t="e">
        <f t="shared" si="15"/>
        <v>#N/A</v>
      </c>
      <c r="T235" s="149" t="e">
        <f t="shared" si="18"/>
        <v>#N/A</v>
      </c>
      <c r="U235" s="149" t="e">
        <f t="shared" si="18"/>
        <v>#N/A</v>
      </c>
      <c r="V235" s="149" t="e">
        <f t="shared" si="18"/>
        <v>#N/A</v>
      </c>
      <c r="W235" s="149" t="e">
        <f t="shared" si="18"/>
        <v>#N/A</v>
      </c>
      <c r="X235" s="149" t="e">
        <f t="shared" si="18"/>
        <v>#N/A</v>
      </c>
      <c r="Y235" s="149" t="e">
        <f t="shared" si="18"/>
        <v>#N/A</v>
      </c>
      <c r="Z235" s="149" t="e">
        <f t="shared" si="18"/>
        <v>#N/A</v>
      </c>
      <c r="AA235" s="149" t="e">
        <f t="shared" si="18"/>
        <v>#N/A</v>
      </c>
      <c r="AB235" s="149" t="e">
        <f t="shared" si="18"/>
        <v>#N/A</v>
      </c>
      <c r="AC235" s="149" t="e">
        <f t="shared" si="18"/>
        <v>#N/A</v>
      </c>
      <c r="AD235" s="149" t="e">
        <f t="shared" si="18"/>
        <v>#N/A</v>
      </c>
    </row>
    <row r="236" spans="1:30">
      <c r="A236" s="160" t="s">
        <v>299</v>
      </c>
      <c r="B236" s="41" t="s">
        <v>565</v>
      </c>
      <c r="C236" s="41" t="s">
        <v>702</v>
      </c>
      <c r="D236" s="94">
        <v>3500</v>
      </c>
      <c r="E236" s="148">
        <v>-0.152</v>
      </c>
      <c r="F236" s="41" t="s">
        <v>1293</v>
      </c>
      <c r="L236" s="41"/>
      <c r="N236" s="99"/>
      <c r="O236" s="99"/>
      <c r="P236" s="99"/>
      <c r="R236" s="148">
        <f t="shared" si="16"/>
        <v>9.7000000000000003E-2</v>
      </c>
      <c r="S236" s="149" t="e">
        <f t="shared" si="15"/>
        <v>#N/A</v>
      </c>
      <c r="T236" s="149" t="e">
        <f t="shared" si="18"/>
        <v>#N/A</v>
      </c>
      <c r="U236" s="149" t="e">
        <f t="shared" si="18"/>
        <v>#N/A</v>
      </c>
      <c r="V236" s="149" t="e">
        <f t="shared" si="18"/>
        <v>#N/A</v>
      </c>
      <c r="W236" s="149" t="e">
        <f t="shared" si="18"/>
        <v>#N/A</v>
      </c>
      <c r="X236" s="149" t="e">
        <f t="shared" si="18"/>
        <v>#N/A</v>
      </c>
      <c r="Y236" s="149" t="e">
        <f t="shared" si="18"/>
        <v>#N/A</v>
      </c>
      <c r="Z236" s="149" t="e">
        <f t="shared" si="18"/>
        <v>#N/A</v>
      </c>
      <c r="AA236" s="149" t="e">
        <f t="shared" si="18"/>
        <v>#N/A</v>
      </c>
      <c r="AB236" s="149" t="e">
        <f t="shared" si="18"/>
        <v>#N/A</v>
      </c>
      <c r="AC236" s="149" t="e">
        <f t="shared" si="18"/>
        <v>#N/A</v>
      </c>
      <c r="AD236" s="149" t="e">
        <f t="shared" si="18"/>
        <v>#N/A</v>
      </c>
    </row>
    <row r="237" spans="1:30">
      <c r="A237" s="160" t="s">
        <v>300</v>
      </c>
      <c r="B237" s="41" t="s">
        <v>566</v>
      </c>
      <c r="C237" s="41" t="s">
        <v>702</v>
      </c>
      <c r="D237" s="94">
        <v>3600</v>
      </c>
      <c r="E237" s="148">
        <v>-0.128</v>
      </c>
      <c r="F237" s="41" t="s">
        <v>1294</v>
      </c>
      <c r="L237" s="41"/>
      <c r="N237" s="99"/>
      <c r="O237" s="99"/>
      <c r="P237" s="99"/>
      <c r="R237" s="148">
        <f t="shared" si="16"/>
        <v>9.8000000000000004E-2</v>
      </c>
      <c r="S237" s="149" t="e">
        <f t="shared" si="15"/>
        <v>#N/A</v>
      </c>
      <c r="T237" s="149" t="e">
        <f t="shared" si="18"/>
        <v>#N/A</v>
      </c>
      <c r="U237" s="149" t="e">
        <f t="shared" si="18"/>
        <v>#N/A</v>
      </c>
      <c r="V237" s="149" t="e">
        <f t="shared" si="18"/>
        <v>#N/A</v>
      </c>
      <c r="W237" s="149" t="e">
        <f t="shared" si="18"/>
        <v>#N/A</v>
      </c>
      <c r="X237" s="149" t="e">
        <f t="shared" si="18"/>
        <v>#N/A</v>
      </c>
      <c r="Y237" s="149" t="e">
        <f t="shared" si="18"/>
        <v>#N/A</v>
      </c>
      <c r="Z237" s="149" t="e">
        <f t="shared" si="18"/>
        <v>#N/A</v>
      </c>
      <c r="AA237" s="149" t="e">
        <f t="shared" si="18"/>
        <v>#N/A</v>
      </c>
      <c r="AB237" s="149" t="e">
        <f t="shared" si="18"/>
        <v>#N/A</v>
      </c>
      <c r="AC237" s="149" t="e">
        <f t="shared" si="18"/>
        <v>#N/A</v>
      </c>
      <c r="AD237" s="149" t="e">
        <f t="shared" si="18"/>
        <v>#N/A</v>
      </c>
    </row>
    <row r="238" spans="1:30">
      <c r="A238" s="160" t="s">
        <v>301</v>
      </c>
      <c r="B238" s="41" t="s">
        <v>567</v>
      </c>
      <c r="C238" s="41" t="s">
        <v>702</v>
      </c>
      <c r="D238" s="94">
        <v>3700</v>
      </c>
      <c r="E238" s="148">
        <v>-0.10300000000000001</v>
      </c>
      <c r="F238" s="41" t="s">
        <v>1295</v>
      </c>
      <c r="L238" s="41"/>
      <c r="N238" s="99"/>
      <c r="O238" s="99"/>
      <c r="P238" s="99"/>
      <c r="R238" s="148">
        <f t="shared" si="16"/>
        <v>9.9000000000000005E-2</v>
      </c>
      <c r="S238" s="149" t="e">
        <f t="shared" si="15"/>
        <v>#N/A</v>
      </c>
      <c r="T238" s="149" t="e">
        <f t="shared" si="18"/>
        <v>#N/A</v>
      </c>
      <c r="U238" s="149" t="e">
        <f t="shared" si="18"/>
        <v>#N/A</v>
      </c>
      <c r="V238" s="149" t="e">
        <f t="shared" si="18"/>
        <v>#N/A</v>
      </c>
      <c r="W238" s="149" t="e">
        <f t="shared" si="18"/>
        <v>#N/A</v>
      </c>
      <c r="X238" s="149" t="e">
        <f t="shared" si="18"/>
        <v>#N/A</v>
      </c>
      <c r="Y238" s="149" t="e">
        <f t="shared" si="18"/>
        <v>#N/A</v>
      </c>
      <c r="Z238" s="149" t="e">
        <f t="shared" si="18"/>
        <v>#N/A</v>
      </c>
      <c r="AA238" s="149" t="e">
        <f t="shared" si="18"/>
        <v>#N/A</v>
      </c>
      <c r="AB238" s="149" t="e">
        <f t="shared" si="18"/>
        <v>#N/A</v>
      </c>
      <c r="AC238" s="149" t="e">
        <f t="shared" si="18"/>
        <v>#N/A</v>
      </c>
      <c r="AD238" s="149" t="e">
        <f t="shared" si="18"/>
        <v>#N/A</v>
      </c>
    </row>
    <row r="239" spans="1:30">
      <c r="A239" s="160" t="s">
        <v>302</v>
      </c>
      <c r="B239" s="41" t="s">
        <v>568</v>
      </c>
      <c r="C239" s="41" t="s">
        <v>702</v>
      </c>
      <c r="D239" s="94">
        <v>3800</v>
      </c>
      <c r="E239" s="148">
        <v>-7.9000000000000001E-2</v>
      </c>
      <c r="F239" s="41" t="s">
        <v>1296</v>
      </c>
      <c r="L239" s="41"/>
      <c r="N239" s="99"/>
      <c r="O239" s="99"/>
      <c r="P239" s="99"/>
      <c r="R239" s="148">
        <f t="shared" si="16"/>
        <v>0.1</v>
      </c>
      <c r="S239" s="149" t="e">
        <f t="shared" si="15"/>
        <v>#N/A</v>
      </c>
      <c r="T239" s="149" t="e">
        <f t="shared" si="18"/>
        <v>#N/A</v>
      </c>
      <c r="U239" s="149" t="e">
        <f t="shared" si="18"/>
        <v>#N/A</v>
      </c>
      <c r="V239" s="149" t="e">
        <f t="shared" si="18"/>
        <v>#N/A</v>
      </c>
      <c r="W239" s="149" t="e">
        <f t="shared" si="18"/>
        <v>#N/A</v>
      </c>
      <c r="X239" s="149" t="e">
        <f t="shared" si="18"/>
        <v>#N/A</v>
      </c>
      <c r="Y239" s="149" t="e">
        <f t="shared" si="18"/>
        <v>#N/A</v>
      </c>
      <c r="Z239" s="149" t="e">
        <f t="shared" si="18"/>
        <v>#N/A</v>
      </c>
      <c r="AA239" s="149" t="e">
        <f t="shared" si="18"/>
        <v>#N/A</v>
      </c>
      <c r="AB239" s="149" t="e">
        <f t="shared" si="18"/>
        <v>#N/A</v>
      </c>
      <c r="AC239" s="149" t="e">
        <f t="shared" si="18"/>
        <v>#N/A</v>
      </c>
      <c r="AD239" s="149" t="e">
        <f t="shared" si="18"/>
        <v>#N/A</v>
      </c>
    </row>
    <row r="240" spans="1:30">
      <c r="A240" s="160" t="s">
        <v>303</v>
      </c>
      <c r="B240" s="41" t="s">
        <v>569</v>
      </c>
      <c r="C240" s="41" t="s">
        <v>702</v>
      </c>
      <c r="D240" s="94">
        <v>3900</v>
      </c>
      <c r="E240" s="148">
        <v>-5.5E-2</v>
      </c>
      <c r="F240" s="41" t="s">
        <v>1297</v>
      </c>
      <c r="L240" s="41"/>
      <c r="N240" s="99"/>
      <c r="O240" s="99"/>
      <c r="P240" s="99"/>
      <c r="R240" s="148">
        <f t="shared" si="16"/>
        <v>0.10100000000000001</v>
      </c>
      <c r="S240" s="149" t="e">
        <f t="shared" si="15"/>
        <v>#N/A</v>
      </c>
      <c r="T240" s="149" t="e">
        <f t="shared" si="18"/>
        <v>#N/A</v>
      </c>
      <c r="U240" s="149" t="e">
        <f t="shared" si="18"/>
        <v>#N/A</v>
      </c>
      <c r="V240" s="149" t="e">
        <f t="shared" si="18"/>
        <v>#N/A</v>
      </c>
      <c r="W240" s="149" t="e">
        <f t="shared" si="18"/>
        <v>#N/A</v>
      </c>
      <c r="X240" s="149" t="e">
        <f t="shared" si="18"/>
        <v>#N/A</v>
      </c>
      <c r="Y240" s="149" t="e">
        <f t="shared" si="18"/>
        <v>#N/A</v>
      </c>
      <c r="Z240" s="149" t="e">
        <f t="shared" si="18"/>
        <v>#N/A</v>
      </c>
      <c r="AA240" s="149" t="e">
        <f t="shared" si="18"/>
        <v>#N/A</v>
      </c>
      <c r="AB240" s="149" t="e">
        <f t="shared" si="18"/>
        <v>#N/A</v>
      </c>
      <c r="AC240" s="149" t="e">
        <f t="shared" si="18"/>
        <v>#N/A</v>
      </c>
      <c r="AD240" s="149" t="e">
        <f t="shared" si="18"/>
        <v>#N/A</v>
      </c>
    </row>
    <row r="241" spans="1:30">
      <c r="A241" s="160" t="s">
        <v>304</v>
      </c>
      <c r="B241" s="41" t="s">
        <v>570</v>
      </c>
      <c r="C241" s="41" t="s">
        <v>702</v>
      </c>
      <c r="D241" s="94">
        <v>4000</v>
      </c>
      <c r="E241" s="148">
        <v>-3.1E-2</v>
      </c>
      <c r="F241" s="41" t="s">
        <v>757</v>
      </c>
      <c r="L241" s="41"/>
      <c r="N241" s="99"/>
      <c r="O241" s="99"/>
      <c r="P241" s="99"/>
      <c r="R241" s="148">
        <f t="shared" si="16"/>
        <v>0.10199999999999999</v>
      </c>
      <c r="S241" s="149" t="e">
        <f t="shared" si="15"/>
        <v>#N/A</v>
      </c>
      <c r="T241" s="149" t="e">
        <f t="shared" si="18"/>
        <v>#N/A</v>
      </c>
      <c r="U241" s="149" t="e">
        <f t="shared" si="18"/>
        <v>#N/A</v>
      </c>
      <c r="V241" s="149" t="e">
        <f t="shared" si="18"/>
        <v>#N/A</v>
      </c>
      <c r="W241" s="149" t="e">
        <f t="shared" si="18"/>
        <v>#N/A</v>
      </c>
      <c r="X241" s="149" t="e">
        <f t="shared" si="18"/>
        <v>#N/A</v>
      </c>
      <c r="Y241" s="149" t="e">
        <f t="shared" si="18"/>
        <v>#N/A</v>
      </c>
      <c r="Z241" s="149" t="e">
        <f t="shared" si="18"/>
        <v>#N/A</v>
      </c>
      <c r="AA241" s="149" t="e">
        <f t="shared" si="18"/>
        <v>#N/A</v>
      </c>
      <c r="AB241" s="149" t="e">
        <f t="shared" si="18"/>
        <v>#N/A</v>
      </c>
      <c r="AC241" s="149" t="e">
        <f t="shared" si="18"/>
        <v>#N/A</v>
      </c>
      <c r="AD241" s="149" t="e">
        <f t="shared" si="18"/>
        <v>#N/A</v>
      </c>
    </row>
    <row r="242" spans="1:30">
      <c r="A242" s="160" t="s">
        <v>305</v>
      </c>
      <c r="B242" s="41" t="s">
        <v>571</v>
      </c>
      <c r="C242" s="41" t="s">
        <v>702</v>
      </c>
      <c r="D242" s="94">
        <v>4100</v>
      </c>
      <c r="E242" s="148">
        <v>-6.0000000000000001E-3</v>
      </c>
      <c r="F242" s="41" t="s">
        <v>758</v>
      </c>
      <c r="L242" s="41"/>
      <c r="N242" s="99"/>
      <c r="O242" s="99"/>
      <c r="P242" s="99"/>
      <c r="R242" s="148">
        <f t="shared" si="16"/>
        <v>0.10299999999999999</v>
      </c>
      <c r="S242" s="149" t="e">
        <f t="shared" si="15"/>
        <v>#N/A</v>
      </c>
      <c r="T242" s="149" t="e">
        <f t="shared" si="18"/>
        <v>#N/A</v>
      </c>
      <c r="U242" s="149" t="e">
        <f t="shared" si="18"/>
        <v>#N/A</v>
      </c>
      <c r="V242" s="149" t="e">
        <f t="shared" si="18"/>
        <v>#N/A</v>
      </c>
      <c r="W242" s="149" t="e">
        <f t="shared" si="18"/>
        <v>#N/A</v>
      </c>
      <c r="X242" s="149" t="e">
        <f t="shared" si="18"/>
        <v>#N/A</v>
      </c>
      <c r="Y242" s="149" t="e">
        <f t="shared" si="18"/>
        <v>#N/A</v>
      </c>
      <c r="Z242" s="149" t="e">
        <f t="shared" si="18"/>
        <v>#N/A</v>
      </c>
      <c r="AA242" s="149" t="e">
        <f t="shared" si="18"/>
        <v>#N/A</v>
      </c>
      <c r="AB242" s="149" t="e">
        <f t="shared" si="18"/>
        <v>#N/A</v>
      </c>
      <c r="AC242" s="149" t="e">
        <f t="shared" si="18"/>
        <v>#N/A</v>
      </c>
      <c r="AD242" s="149" t="e">
        <f t="shared" si="18"/>
        <v>#N/A</v>
      </c>
    </row>
    <row r="243" spans="1:30">
      <c r="A243" s="160" t="s">
        <v>306</v>
      </c>
      <c r="B243" s="41" t="s">
        <v>572</v>
      </c>
      <c r="C243" s="41" t="s">
        <v>702</v>
      </c>
      <c r="D243" s="94">
        <v>4200</v>
      </c>
      <c r="E243" s="148">
        <v>1.8000000000000002E-2</v>
      </c>
      <c r="F243" s="41" t="s">
        <v>759</v>
      </c>
      <c r="L243" s="41"/>
      <c r="N243" s="99"/>
      <c r="O243" s="99"/>
      <c r="P243" s="99"/>
      <c r="R243" s="148">
        <f t="shared" si="16"/>
        <v>0.104</v>
      </c>
      <c r="S243" s="149" t="e">
        <f t="shared" si="15"/>
        <v>#N/A</v>
      </c>
      <c r="T243" s="149" t="e">
        <f t="shared" si="18"/>
        <v>#N/A</v>
      </c>
      <c r="U243" s="149" t="e">
        <f t="shared" si="18"/>
        <v>#N/A</v>
      </c>
      <c r="V243" s="149" t="e">
        <f t="shared" si="18"/>
        <v>#N/A</v>
      </c>
      <c r="W243" s="149" t="e">
        <f t="shared" si="18"/>
        <v>#N/A</v>
      </c>
      <c r="X243" s="149" t="e">
        <f t="shared" si="18"/>
        <v>#N/A</v>
      </c>
      <c r="Y243" s="149" t="e">
        <f t="shared" si="18"/>
        <v>#N/A</v>
      </c>
      <c r="Z243" s="149" t="e">
        <f t="shared" si="18"/>
        <v>#N/A</v>
      </c>
      <c r="AA243" s="149" t="e">
        <f t="shared" si="18"/>
        <v>#N/A</v>
      </c>
      <c r="AB243" s="149" t="e">
        <f t="shared" si="18"/>
        <v>#N/A</v>
      </c>
      <c r="AC243" s="149" t="e">
        <f t="shared" si="18"/>
        <v>#N/A</v>
      </c>
      <c r="AD243" s="149" t="e">
        <f t="shared" si="18"/>
        <v>#N/A</v>
      </c>
    </row>
    <row r="244" spans="1:30">
      <c r="A244" s="160" t="s">
        <v>307</v>
      </c>
      <c r="B244" s="41" t="s">
        <v>573</v>
      </c>
      <c r="C244" s="41" t="s">
        <v>702</v>
      </c>
      <c r="D244" s="94">
        <v>4300</v>
      </c>
      <c r="E244" s="148">
        <v>4.2000000000000003E-2</v>
      </c>
      <c r="F244" s="41" t="s">
        <v>1298</v>
      </c>
      <c r="L244" s="41"/>
      <c r="N244" s="99"/>
      <c r="O244" s="99"/>
      <c r="P244" s="99"/>
      <c r="R244" s="148">
        <f t="shared" si="16"/>
        <v>0.105</v>
      </c>
      <c r="S244" s="149" t="e">
        <f t="shared" si="15"/>
        <v>#N/A</v>
      </c>
      <c r="T244" s="149" t="e">
        <f t="shared" si="18"/>
        <v>#N/A</v>
      </c>
      <c r="U244" s="149" t="e">
        <f t="shared" si="18"/>
        <v>#N/A</v>
      </c>
      <c r="V244" s="149" t="e">
        <f t="shared" si="18"/>
        <v>#N/A</v>
      </c>
      <c r="W244" s="149" t="e">
        <f t="shared" si="18"/>
        <v>#N/A</v>
      </c>
      <c r="X244" s="149" t="e">
        <f t="shared" si="18"/>
        <v>#N/A</v>
      </c>
      <c r="Y244" s="149" t="e">
        <f t="shared" si="18"/>
        <v>#N/A</v>
      </c>
      <c r="Z244" s="149" t="e">
        <f t="shared" si="18"/>
        <v>#N/A</v>
      </c>
      <c r="AA244" s="149" t="e">
        <f t="shared" si="18"/>
        <v>#N/A</v>
      </c>
      <c r="AB244" s="149" t="e">
        <f t="shared" si="18"/>
        <v>#N/A</v>
      </c>
      <c r="AC244" s="149" t="e">
        <f t="shared" si="18"/>
        <v>#N/A</v>
      </c>
      <c r="AD244" s="149" t="e">
        <f t="shared" si="18"/>
        <v>#N/A</v>
      </c>
    </row>
    <row r="245" spans="1:30">
      <c r="A245" s="160" t="s">
        <v>308</v>
      </c>
      <c r="B245" s="41" t="s">
        <v>574</v>
      </c>
      <c r="C245" s="41" t="s">
        <v>702</v>
      </c>
      <c r="D245" s="94">
        <v>4400</v>
      </c>
      <c r="E245" s="148">
        <v>6.6000000000000003E-2</v>
      </c>
      <c r="F245" s="41" t="s">
        <v>1299</v>
      </c>
      <c r="L245" s="41"/>
      <c r="N245" s="99"/>
      <c r="O245" s="99"/>
      <c r="P245" s="99"/>
      <c r="R245" s="148">
        <f t="shared" si="16"/>
        <v>0.106</v>
      </c>
      <c r="S245" s="149" t="e">
        <f t="shared" si="15"/>
        <v>#N/A</v>
      </c>
      <c r="T245" s="149" t="e">
        <f t="shared" si="18"/>
        <v>#N/A</v>
      </c>
      <c r="U245" s="149" t="e">
        <f t="shared" si="18"/>
        <v>#N/A</v>
      </c>
      <c r="V245" s="149" t="e">
        <f t="shared" si="18"/>
        <v>#N/A</v>
      </c>
      <c r="W245" s="149" t="e">
        <f t="shared" si="18"/>
        <v>#N/A</v>
      </c>
      <c r="X245" s="149" t="e">
        <f t="shared" si="18"/>
        <v>#N/A</v>
      </c>
      <c r="Y245" s="149" t="e">
        <f t="shared" si="18"/>
        <v>#N/A</v>
      </c>
      <c r="Z245" s="149" t="e">
        <f t="shared" si="18"/>
        <v>#N/A</v>
      </c>
      <c r="AA245" s="149" t="e">
        <f t="shared" si="18"/>
        <v>#N/A</v>
      </c>
      <c r="AB245" s="149" t="e">
        <f t="shared" si="18"/>
        <v>#N/A</v>
      </c>
      <c r="AC245" s="149" t="e">
        <f t="shared" si="18"/>
        <v>#N/A</v>
      </c>
      <c r="AD245" s="149" t="e">
        <f t="shared" si="18"/>
        <v>#N/A</v>
      </c>
    </row>
    <row r="246" spans="1:30">
      <c r="A246" s="160" t="s">
        <v>309</v>
      </c>
      <c r="B246" s="41" t="s">
        <v>575</v>
      </c>
      <c r="C246" s="41" t="s">
        <v>702</v>
      </c>
      <c r="D246" s="94">
        <v>4500</v>
      </c>
      <c r="E246" s="148">
        <v>9.0999999999999998E-2</v>
      </c>
      <c r="F246" s="41" t="s">
        <v>1300</v>
      </c>
      <c r="L246" s="41"/>
      <c r="N246" s="99"/>
      <c r="O246" s="99"/>
      <c r="P246" s="99"/>
      <c r="R246" s="148">
        <f t="shared" si="16"/>
        <v>0.107</v>
      </c>
      <c r="S246" s="149" t="e">
        <f t="shared" si="15"/>
        <v>#N/A</v>
      </c>
      <c r="T246" s="149" t="e">
        <f t="shared" si="18"/>
        <v>#N/A</v>
      </c>
      <c r="U246" s="149" t="e">
        <f t="shared" si="18"/>
        <v>#N/A</v>
      </c>
      <c r="V246" s="149" t="e">
        <f t="shared" si="18"/>
        <v>#N/A</v>
      </c>
      <c r="W246" s="149" t="e">
        <f t="shared" si="18"/>
        <v>#N/A</v>
      </c>
      <c r="X246" s="149" t="e">
        <f t="shared" si="18"/>
        <v>#N/A</v>
      </c>
      <c r="Y246" s="149" t="e">
        <f t="shared" si="18"/>
        <v>#N/A</v>
      </c>
      <c r="Z246" s="149" t="e">
        <f t="shared" si="18"/>
        <v>#N/A</v>
      </c>
      <c r="AA246" s="149" t="e">
        <f t="shared" si="18"/>
        <v>#N/A</v>
      </c>
      <c r="AB246" s="149" t="e">
        <f t="shared" si="18"/>
        <v>#N/A</v>
      </c>
      <c r="AC246" s="149" t="e">
        <f t="shared" si="18"/>
        <v>#N/A</v>
      </c>
      <c r="AD246" s="149" t="e">
        <f t="shared" si="18"/>
        <v>#N/A</v>
      </c>
    </row>
    <row r="247" spans="1:30">
      <c r="A247" s="160" t="s">
        <v>883</v>
      </c>
      <c r="B247" s="41" t="s">
        <v>1301</v>
      </c>
      <c r="C247" s="41" t="s">
        <v>702</v>
      </c>
      <c r="D247" s="94">
        <v>4600</v>
      </c>
      <c r="E247" s="148">
        <v>0.115</v>
      </c>
      <c r="F247" s="41" t="s">
        <v>1302</v>
      </c>
      <c r="L247" s="41"/>
      <c r="N247" s="99"/>
      <c r="O247" s="99"/>
      <c r="P247" s="99"/>
      <c r="R247" s="148">
        <f t="shared" si="16"/>
        <v>0.108</v>
      </c>
      <c r="S247" s="149" t="e">
        <f t="shared" si="15"/>
        <v>#N/A</v>
      </c>
      <c r="T247" s="149" t="e">
        <f t="shared" si="18"/>
        <v>#N/A</v>
      </c>
      <c r="U247" s="149" t="e">
        <f t="shared" si="18"/>
        <v>#N/A</v>
      </c>
      <c r="V247" s="149" t="e">
        <f t="shared" si="18"/>
        <v>#N/A</v>
      </c>
      <c r="W247" s="149" t="e">
        <f t="shared" si="18"/>
        <v>#N/A</v>
      </c>
      <c r="X247" s="149" t="e">
        <f t="shared" si="18"/>
        <v>#N/A</v>
      </c>
      <c r="Y247" s="149" t="e">
        <f t="shared" si="18"/>
        <v>#N/A</v>
      </c>
      <c r="Z247" s="149" t="e">
        <f t="shared" si="18"/>
        <v>#N/A</v>
      </c>
      <c r="AA247" s="149" t="e">
        <f t="shared" si="18"/>
        <v>#N/A</v>
      </c>
      <c r="AB247" s="149" t="e">
        <f t="shared" si="18"/>
        <v>#N/A</v>
      </c>
      <c r="AC247" s="149" t="e">
        <f t="shared" si="18"/>
        <v>#N/A</v>
      </c>
      <c r="AD247" s="149" t="e">
        <f t="shared" si="18"/>
        <v>#N/A</v>
      </c>
    </row>
    <row r="248" spans="1:30">
      <c r="A248" s="160" t="s">
        <v>884</v>
      </c>
      <c r="B248" s="41" t="s">
        <v>1303</v>
      </c>
      <c r="C248" s="41" t="s">
        <v>702</v>
      </c>
      <c r="D248" s="94">
        <v>4700</v>
      </c>
      <c r="E248" s="148">
        <v>0.13900000000000001</v>
      </c>
      <c r="F248" s="41" t="s">
        <v>1304</v>
      </c>
      <c r="L248" s="41"/>
      <c r="N248" s="99"/>
      <c r="O248" s="99"/>
      <c r="P248" s="99"/>
      <c r="R248" s="148">
        <f t="shared" si="16"/>
        <v>0.109</v>
      </c>
      <c r="S248" s="149" t="e">
        <f t="shared" si="15"/>
        <v>#N/A</v>
      </c>
      <c r="T248" s="149" t="e">
        <f t="shared" si="18"/>
        <v>#N/A</v>
      </c>
      <c r="U248" s="149" t="e">
        <f t="shared" si="18"/>
        <v>#N/A</v>
      </c>
      <c r="V248" s="149" t="e">
        <f t="shared" si="18"/>
        <v>#N/A</v>
      </c>
      <c r="W248" s="149" t="e">
        <f t="shared" si="18"/>
        <v>#N/A</v>
      </c>
      <c r="X248" s="149" t="e">
        <f t="shared" si="18"/>
        <v>#N/A</v>
      </c>
      <c r="Y248" s="149" t="e">
        <f t="shared" si="18"/>
        <v>#N/A</v>
      </c>
      <c r="Z248" s="149" t="e">
        <f t="shared" si="18"/>
        <v>#N/A</v>
      </c>
      <c r="AA248" s="149" t="e">
        <f t="shared" si="18"/>
        <v>#N/A</v>
      </c>
      <c r="AB248" s="149" t="e">
        <f t="shared" si="18"/>
        <v>#N/A</v>
      </c>
      <c r="AC248" s="149" t="e">
        <f t="shared" si="18"/>
        <v>#N/A</v>
      </c>
      <c r="AD248" s="149" t="e">
        <f t="shared" si="18"/>
        <v>#N/A</v>
      </c>
    </row>
    <row r="249" spans="1:30">
      <c r="A249" s="160" t="s">
        <v>917</v>
      </c>
      <c r="B249" s="41" t="s">
        <v>1419</v>
      </c>
      <c r="C249" s="41" t="s">
        <v>717</v>
      </c>
      <c r="D249" s="94">
        <v>3.3</v>
      </c>
      <c r="E249" s="148">
        <v>-0.19800000000000001</v>
      </c>
      <c r="F249" s="41" t="s">
        <v>1420</v>
      </c>
      <c r="L249" s="41"/>
      <c r="N249" s="99"/>
      <c r="O249" s="99"/>
      <c r="P249" s="99"/>
      <c r="R249" s="148">
        <f t="shared" si="16"/>
        <v>0.11</v>
      </c>
      <c r="S249" s="149" t="e">
        <f t="shared" si="15"/>
        <v>#N/A</v>
      </c>
      <c r="T249" s="149" t="e">
        <f t="shared" si="18"/>
        <v>#N/A</v>
      </c>
      <c r="U249" s="149" t="e">
        <f t="shared" si="18"/>
        <v>#N/A</v>
      </c>
      <c r="V249" s="149" t="e">
        <f t="shared" si="18"/>
        <v>#N/A</v>
      </c>
      <c r="W249" s="149" t="e">
        <f t="shared" si="18"/>
        <v>#N/A</v>
      </c>
      <c r="X249" s="149" t="e">
        <f t="shared" si="18"/>
        <v>#N/A</v>
      </c>
      <c r="Y249" s="149" t="e">
        <f t="shared" si="18"/>
        <v>#N/A</v>
      </c>
      <c r="Z249" s="149" t="e">
        <f t="shared" si="18"/>
        <v>#N/A</v>
      </c>
      <c r="AA249" s="149" t="e">
        <f t="shared" si="18"/>
        <v>#N/A</v>
      </c>
      <c r="AB249" s="149" t="e">
        <f t="shared" si="18"/>
        <v>#N/A</v>
      </c>
      <c r="AC249" s="149" t="e">
        <f t="shared" si="18"/>
        <v>#N/A</v>
      </c>
      <c r="AD249" s="149" t="e">
        <f t="shared" si="18"/>
        <v>#N/A</v>
      </c>
    </row>
    <row r="250" spans="1:30">
      <c r="A250" s="160" t="s">
        <v>918</v>
      </c>
      <c r="B250" s="41" t="s">
        <v>1421</v>
      </c>
      <c r="C250" s="41" t="s">
        <v>717</v>
      </c>
      <c r="D250" s="94">
        <v>3.4</v>
      </c>
      <c r="E250" s="148">
        <v>-0.17399999999999999</v>
      </c>
      <c r="F250" s="41" t="s">
        <v>1422</v>
      </c>
      <c r="L250" s="41"/>
      <c r="N250" s="99"/>
      <c r="O250" s="99"/>
      <c r="P250" s="99"/>
      <c r="R250" s="148">
        <f t="shared" si="16"/>
        <v>0.111</v>
      </c>
      <c r="S250" s="149" t="e">
        <f t="shared" si="15"/>
        <v>#N/A</v>
      </c>
      <c r="T250" s="149" t="e">
        <f t="shared" si="18"/>
        <v>#N/A</v>
      </c>
      <c r="U250" s="149" t="e">
        <f t="shared" si="18"/>
        <v>#N/A</v>
      </c>
      <c r="V250" s="149" t="e">
        <f t="shared" si="18"/>
        <v>#N/A</v>
      </c>
      <c r="W250" s="149" t="e">
        <f t="shared" si="18"/>
        <v>#N/A</v>
      </c>
      <c r="X250" s="149" t="e">
        <f t="shared" si="18"/>
        <v>#N/A</v>
      </c>
      <c r="Y250" s="149" t="e">
        <f t="shared" si="18"/>
        <v>#N/A</v>
      </c>
      <c r="Z250" s="149" t="e">
        <f t="shared" si="18"/>
        <v>#N/A</v>
      </c>
      <c r="AA250" s="149" t="e">
        <f t="shared" si="18"/>
        <v>#N/A</v>
      </c>
      <c r="AB250" s="149" t="e">
        <f t="shared" si="18"/>
        <v>#N/A</v>
      </c>
      <c r="AC250" s="149" t="e">
        <f t="shared" si="18"/>
        <v>#N/A</v>
      </c>
      <c r="AD250" s="149" t="e">
        <f t="shared" si="18"/>
        <v>#N/A</v>
      </c>
    </row>
    <row r="251" spans="1:30">
      <c r="A251" s="160" t="s">
        <v>919</v>
      </c>
      <c r="B251" s="41" t="s">
        <v>1423</v>
      </c>
      <c r="C251" s="41" t="s">
        <v>717</v>
      </c>
      <c r="D251" s="94">
        <v>3.5</v>
      </c>
      <c r="E251" s="148">
        <v>-0.14899999999999999</v>
      </c>
      <c r="F251" s="41" t="s">
        <v>1424</v>
      </c>
      <c r="L251" s="41"/>
      <c r="N251" s="99"/>
      <c r="O251" s="99"/>
      <c r="P251" s="99"/>
      <c r="R251" s="148">
        <f t="shared" si="16"/>
        <v>0.112</v>
      </c>
      <c r="S251" s="149" t="e">
        <f t="shared" si="15"/>
        <v>#N/A</v>
      </c>
      <c r="T251" s="149" t="e">
        <f t="shared" si="18"/>
        <v>#N/A</v>
      </c>
      <c r="U251" s="149" t="e">
        <f t="shared" si="18"/>
        <v>#N/A</v>
      </c>
      <c r="V251" s="149" t="e">
        <f t="shared" si="18"/>
        <v>#N/A</v>
      </c>
      <c r="W251" s="149" t="e">
        <f t="shared" si="18"/>
        <v>#N/A</v>
      </c>
      <c r="X251" s="149" t="e">
        <f t="shared" si="18"/>
        <v>#N/A</v>
      </c>
      <c r="Y251" s="149" t="e">
        <f t="shared" si="18"/>
        <v>#N/A</v>
      </c>
      <c r="Z251" s="149" t="e">
        <f t="shared" si="18"/>
        <v>#N/A</v>
      </c>
      <c r="AA251" s="149" t="e">
        <f t="shared" ref="T251:AD269" si="19">IF(VLOOKUP(AA$8&amp;"@"&amp;$R251,$F:$Q,$R$7,0)=0,NA(),VLOOKUP(AA$8&amp;"@"&amp;$R251,$F:$Q,$R$7,0))</f>
        <v>#N/A</v>
      </c>
      <c r="AB251" s="149" t="e">
        <f t="shared" si="19"/>
        <v>#N/A</v>
      </c>
      <c r="AC251" s="149" t="e">
        <f t="shared" si="19"/>
        <v>#N/A</v>
      </c>
      <c r="AD251" s="149" t="e">
        <f t="shared" si="19"/>
        <v>#N/A</v>
      </c>
    </row>
    <row r="252" spans="1:30">
      <c r="A252" s="160" t="s">
        <v>318</v>
      </c>
      <c r="B252" s="41" t="s">
        <v>576</v>
      </c>
      <c r="C252" s="41" t="s">
        <v>717</v>
      </c>
      <c r="D252" s="94">
        <v>3.6</v>
      </c>
      <c r="E252" s="148">
        <v>-0.125</v>
      </c>
      <c r="F252" s="41" t="s">
        <v>1305</v>
      </c>
      <c r="L252" s="41"/>
      <c r="N252" s="99"/>
      <c r="O252" s="99"/>
      <c r="P252" s="99"/>
      <c r="R252" s="148">
        <f t="shared" si="16"/>
        <v>0.113</v>
      </c>
      <c r="S252" s="149" t="e">
        <f t="shared" si="15"/>
        <v>#N/A</v>
      </c>
      <c r="T252" s="149" t="e">
        <f t="shared" si="19"/>
        <v>#N/A</v>
      </c>
      <c r="U252" s="149" t="e">
        <f t="shared" si="19"/>
        <v>#N/A</v>
      </c>
      <c r="V252" s="149" t="e">
        <f t="shared" si="19"/>
        <v>#N/A</v>
      </c>
      <c r="W252" s="149" t="e">
        <f t="shared" si="19"/>
        <v>#N/A</v>
      </c>
      <c r="X252" s="149" t="e">
        <f t="shared" si="19"/>
        <v>#N/A</v>
      </c>
      <c r="Y252" s="149" t="e">
        <f t="shared" si="19"/>
        <v>#N/A</v>
      </c>
      <c r="Z252" s="149" t="e">
        <f t="shared" si="19"/>
        <v>#N/A</v>
      </c>
      <c r="AA252" s="149" t="e">
        <f t="shared" si="19"/>
        <v>#N/A</v>
      </c>
      <c r="AB252" s="149" t="e">
        <f t="shared" si="19"/>
        <v>#N/A</v>
      </c>
      <c r="AC252" s="149" t="e">
        <f t="shared" si="19"/>
        <v>#N/A</v>
      </c>
      <c r="AD252" s="149" t="e">
        <f t="shared" si="19"/>
        <v>#N/A</v>
      </c>
    </row>
    <row r="253" spans="1:30">
      <c r="A253" s="160" t="s">
        <v>319</v>
      </c>
      <c r="B253" s="41" t="s">
        <v>577</v>
      </c>
      <c r="C253" s="41" t="s">
        <v>717</v>
      </c>
      <c r="D253" s="94">
        <v>3.7</v>
      </c>
      <c r="E253" s="148">
        <v>-0.10099999999999999</v>
      </c>
      <c r="F253" s="41" t="s">
        <v>1306</v>
      </c>
      <c r="L253" s="41"/>
      <c r="N253" s="99"/>
      <c r="O253" s="99"/>
      <c r="P253" s="99"/>
      <c r="R253" s="148">
        <f t="shared" si="16"/>
        <v>0.114</v>
      </c>
      <c r="S253" s="149" t="e">
        <f t="shared" si="15"/>
        <v>#N/A</v>
      </c>
      <c r="T253" s="149" t="e">
        <f t="shared" si="19"/>
        <v>#N/A</v>
      </c>
      <c r="U253" s="149" t="e">
        <f t="shared" si="19"/>
        <v>#N/A</v>
      </c>
      <c r="V253" s="149" t="e">
        <f t="shared" si="19"/>
        <v>#N/A</v>
      </c>
      <c r="W253" s="149" t="e">
        <f t="shared" si="19"/>
        <v>#N/A</v>
      </c>
      <c r="X253" s="149" t="e">
        <f t="shared" si="19"/>
        <v>#N/A</v>
      </c>
      <c r="Y253" s="149" t="e">
        <f t="shared" si="19"/>
        <v>#N/A</v>
      </c>
      <c r="Z253" s="149" t="e">
        <f t="shared" si="19"/>
        <v>#N/A</v>
      </c>
      <c r="AA253" s="149" t="e">
        <f t="shared" si="19"/>
        <v>#N/A</v>
      </c>
      <c r="AB253" s="149" t="e">
        <f t="shared" si="19"/>
        <v>#N/A</v>
      </c>
      <c r="AC253" s="149" t="e">
        <f t="shared" si="19"/>
        <v>#N/A</v>
      </c>
      <c r="AD253" s="149" t="e">
        <f t="shared" si="19"/>
        <v>#N/A</v>
      </c>
    </row>
    <row r="254" spans="1:30">
      <c r="A254" s="160" t="s">
        <v>320</v>
      </c>
      <c r="B254" s="41" t="s">
        <v>578</v>
      </c>
      <c r="C254" s="41" t="s">
        <v>717</v>
      </c>
      <c r="D254" s="94">
        <v>3.8</v>
      </c>
      <c r="E254" s="148">
        <v>-7.5999999999999998E-2</v>
      </c>
      <c r="F254" s="41" t="s">
        <v>1307</v>
      </c>
      <c r="L254" s="41"/>
      <c r="N254" s="99"/>
      <c r="O254" s="99"/>
      <c r="P254" s="99"/>
      <c r="R254" s="148">
        <f t="shared" si="16"/>
        <v>0.115</v>
      </c>
      <c r="S254" s="149" t="e">
        <f t="shared" si="15"/>
        <v>#N/A</v>
      </c>
      <c r="T254" s="149" t="e">
        <f t="shared" si="19"/>
        <v>#N/A</v>
      </c>
      <c r="U254" s="149" t="e">
        <f t="shared" si="19"/>
        <v>#N/A</v>
      </c>
      <c r="V254" s="149" t="e">
        <f t="shared" si="19"/>
        <v>#N/A</v>
      </c>
      <c r="W254" s="149" t="e">
        <f t="shared" si="19"/>
        <v>#N/A</v>
      </c>
      <c r="X254" s="149" t="e">
        <f t="shared" si="19"/>
        <v>#N/A</v>
      </c>
      <c r="Y254" s="149" t="e">
        <f t="shared" si="19"/>
        <v>#N/A</v>
      </c>
      <c r="Z254" s="149" t="e">
        <f t="shared" si="19"/>
        <v>#N/A</v>
      </c>
      <c r="AA254" s="149" t="e">
        <f t="shared" si="19"/>
        <v>#N/A</v>
      </c>
      <c r="AB254" s="149" t="e">
        <f t="shared" si="19"/>
        <v>#N/A</v>
      </c>
      <c r="AC254" s="149" t="e">
        <f t="shared" si="19"/>
        <v>#N/A</v>
      </c>
      <c r="AD254" s="149" t="e">
        <f t="shared" si="19"/>
        <v>#N/A</v>
      </c>
    </row>
    <row r="255" spans="1:30">
      <c r="A255" s="160" t="s">
        <v>321</v>
      </c>
      <c r="B255" s="41" t="s">
        <v>579</v>
      </c>
      <c r="C255" s="41" t="s">
        <v>717</v>
      </c>
      <c r="D255" s="94">
        <v>3.9</v>
      </c>
      <c r="E255" s="148">
        <v>-5.2000000000000005E-2</v>
      </c>
      <c r="F255" s="41" t="s">
        <v>1308</v>
      </c>
      <c r="L255" s="41"/>
      <c r="N255" s="99"/>
      <c r="O255" s="99"/>
      <c r="P255" s="99"/>
      <c r="R255" s="148">
        <f t="shared" si="16"/>
        <v>0.11600000000000001</v>
      </c>
      <c r="S255" s="149" t="e">
        <f t="shared" si="15"/>
        <v>#N/A</v>
      </c>
      <c r="T255" s="149" t="e">
        <f t="shared" si="19"/>
        <v>#N/A</v>
      </c>
      <c r="U255" s="149" t="e">
        <f t="shared" si="19"/>
        <v>#N/A</v>
      </c>
      <c r="V255" s="149" t="e">
        <f t="shared" si="19"/>
        <v>#N/A</v>
      </c>
      <c r="W255" s="149" t="e">
        <f t="shared" si="19"/>
        <v>#N/A</v>
      </c>
      <c r="X255" s="149" t="e">
        <f t="shared" si="19"/>
        <v>#N/A</v>
      </c>
      <c r="Y255" s="149" t="e">
        <f t="shared" si="19"/>
        <v>#N/A</v>
      </c>
      <c r="Z255" s="149" t="e">
        <f t="shared" si="19"/>
        <v>#N/A</v>
      </c>
      <c r="AA255" s="149" t="e">
        <f t="shared" si="19"/>
        <v>#N/A</v>
      </c>
      <c r="AB255" s="149" t="e">
        <f t="shared" si="19"/>
        <v>#N/A</v>
      </c>
      <c r="AC255" s="149" t="e">
        <f t="shared" si="19"/>
        <v>#N/A</v>
      </c>
      <c r="AD255" s="149" t="e">
        <f t="shared" si="19"/>
        <v>#N/A</v>
      </c>
    </row>
    <row r="256" spans="1:30">
      <c r="A256" s="160" t="s">
        <v>322</v>
      </c>
      <c r="B256" s="41" t="s">
        <v>580</v>
      </c>
      <c r="C256" s="41" t="s">
        <v>717</v>
      </c>
      <c r="D256" s="94">
        <v>4</v>
      </c>
      <c r="E256" s="148">
        <v>-2.7999999999999997E-2</v>
      </c>
      <c r="F256" s="41" t="s">
        <v>1309</v>
      </c>
      <c r="L256" s="41"/>
      <c r="N256" s="99"/>
      <c r="O256" s="99"/>
      <c r="P256" s="99"/>
      <c r="R256" s="148">
        <f t="shared" si="16"/>
        <v>0.11700000000000001</v>
      </c>
      <c r="S256" s="149" t="e">
        <f t="shared" si="15"/>
        <v>#N/A</v>
      </c>
      <c r="T256" s="149" t="e">
        <f t="shared" si="19"/>
        <v>#N/A</v>
      </c>
      <c r="U256" s="149" t="e">
        <f t="shared" si="19"/>
        <v>#N/A</v>
      </c>
      <c r="V256" s="149" t="e">
        <f t="shared" si="19"/>
        <v>#N/A</v>
      </c>
      <c r="W256" s="149" t="e">
        <f t="shared" si="19"/>
        <v>#N/A</v>
      </c>
      <c r="X256" s="149" t="e">
        <f t="shared" si="19"/>
        <v>#N/A</v>
      </c>
      <c r="Y256" s="149" t="e">
        <f t="shared" si="19"/>
        <v>#N/A</v>
      </c>
      <c r="Z256" s="149" t="e">
        <f t="shared" si="19"/>
        <v>#N/A</v>
      </c>
      <c r="AA256" s="149" t="e">
        <f t="shared" si="19"/>
        <v>#N/A</v>
      </c>
      <c r="AB256" s="149" t="e">
        <f t="shared" si="19"/>
        <v>#N/A</v>
      </c>
      <c r="AC256" s="149" t="e">
        <f t="shared" si="19"/>
        <v>#N/A</v>
      </c>
      <c r="AD256" s="149" t="e">
        <f t="shared" si="19"/>
        <v>#N/A</v>
      </c>
    </row>
    <row r="257" spans="1:30">
      <c r="A257" s="160" t="s">
        <v>323</v>
      </c>
      <c r="B257" s="41" t="s">
        <v>581</v>
      </c>
      <c r="C257" s="41" t="s">
        <v>717</v>
      </c>
      <c r="D257" s="94">
        <v>4.0999999999999996</v>
      </c>
      <c r="E257" s="148">
        <v>-3.0000000000000001E-3</v>
      </c>
      <c r="F257" s="41" t="s">
        <v>1310</v>
      </c>
      <c r="L257" s="41"/>
      <c r="N257" s="99"/>
      <c r="O257" s="99"/>
      <c r="P257" s="99"/>
      <c r="R257" s="148">
        <f t="shared" si="16"/>
        <v>0.11799999999999999</v>
      </c>
      <c r="S257" s="149" t="e">
        <f t="shared" si="15"/>
        <v>#N/A</v>
      </c>
      <c r="T257" s="149" t="e">
        <f t="shared" si="19"/>
        <v>#N/A</v>
      </c>
      <c r="U257" s="149" t="e">
        <f t="shared" si="19"/>
        <v>#N/A</v>
      </c>
      <c r="V257" s="149" t="e">
        <f t="shared" si="19"/>
        <v>#N/A</v>
      </c>
      <c r="W257" s="149" t="e">
        <f t="shared" si="19"/>
        <v>#N/A</v>
      </c>
      <c r="X257" s="149" t="e">
        <f t="shared" si="19"/>
        <v>#N/A</v>
      </c>
      <c r="Y257" s="149" t="e">
        <f t="shared" si="19"/>
        <v>#N/A</v>
      </c>
      <c r="Z257" s="149" t="e">
        <f t="shared" si="19"/>
        <v>#N/A</v>
      </c>
      <c r="AA257" s="149" t="e">
        <f t="shared" si="19"/>
        <v>#N/A</v>
      </c>
      <c r="AB257" s="149" t="e">
        <f t="shared" si="19"/>
        <v>#N/A</v>
      </c>
      <c r="AC257" s="149" t="e">
        <f t="shared" si="19"/>
        <v>#N/A</v>
      </c>
      <c r="AD257" s="149" t="e">
        <f t="shared" si="19"/>
        <v>#N/A</v>
      </c>
    </row>
    <row r="258" spans="1:30">
      <c r="A258" s="160" t="s">
        <v>324</v>
      </c>
      <c r="B258" s="41" t="s">
        <v>582</v>
      </c>
      <c r="C258" s="41" t="s">
        <v>717</v>
      </c>
      <c r="D258" s="94">
        <v>4.2</v>
      </c>
      <c r="E258" s="148">
        <v>2.1000000000000001E-2</v>
      </c>
      <c r="F258" s="41" t="s">
        <v>1311</v>
      </c>
      <c r="L258" s="41"/>
      <c r="N258" s="99"/>
      <c r="O258" s="99"/>
      <c r="P258" s="99"/>
      <c r="R258" s="148">
        <f t="shared" si="16"/>
        <v>0.11899999999999999</v>
      </c>
      <c r="S258" s="149" t="e">
        <f t="shared" si="15"/>
        <v>#N/A</v>
      </c>
      <c r="T258" s="149" t="e">
        <f t="shared" si="19"/>
        <v>#N/A</v>
      </c>
      <c r="U258" s="149" t="e">
        <f t="shared" si="19"/>
        <v>#N/A</v>
      </c>
      <c r="V258" s="149" t="e">
        <f t="shared" si="19"/>
        <v>#N/A</v>
      </c>
      <c r="W258" s="149" t="e">
        <f t="shared" si="19"/>
        <v>#N/A</v>
      </c>
      <c r="X258" s="149" t="e">
        <f t="shared" si="19"/>
        <v>#N/A</v>
      </c>
      <c r="Y258" s="149" t="e">
        <f t="shared" si="19"/>
        <v>#N/A</v>
      </c>
      <c r="Z258" s="149" t="e">
        <f t="shared" si="19"/>
        <v>#N/A</v>
      </c>
      <c r="AA258" s="149" t="e">
        <f t="shared" si="19"/>
        <v>#N/A</v>
      </c>
      <c r="AB258" s="149" t="e">
        <f t="shared" si="19"/>
        <v>#N/A</v>
      </c>
      <c r="AC258" s="149" t="e">
        <f t="shared" si="19"/>
        <v>#N/A</v>
      </c>
      <c r="AD258" s="149" t="e">
        <f t="shared" si="19"/>
        <v>#N/A</v>
      </c>
    </row>
    <row r="259" spans="1:30">
      <c r="A259" s="160" t="s">
        <v>325</v>
      </c>
      <c r="B259" s="41" t="s">
        <v>583</v>
      </c>
      <c r="C259" s="41" t="s">
        <v>717</v>
      </c>
      <c r="D259" s="94">
        <v>4.3</v>
      </c>
      <c r="E259" s="148">
        <v>4.4999999999999998E-2</v>
      </c>
      <c r="F259" s="41" t="s">
        <v>1312</v>
      </c>
      <c r="L259" s="41"/>
      <c r="N259" s="99"/>
      <c r="O259" s="99"/>
      <c r="P259" s="99"/>
      <c r="R259" s="148">
        <f t="shared" si="16"/>
        <v>0.12</v>
      </c>
      <c r="S259" s="149" t="e">
        <f t="shared" ref="S259:S269" si="20">IF(VLOOKUP(S$8&amp;"@"&amp;$R259,$F:$Q,$R$7,0)=0,NA(),VLOOKUP(S$8&amp;"@"&amp;$R259,$F:$Q,$R$7,0))</f>
        <v>#N/A</v>
      </c>
      <c r="T259" s="149" t="e">
        <f t="shared" si="19"/>
        <v>#N/A</v>
      </c>
      <c r="U259" s="149" t="e">
        <f t="shared" si="19"/>
        <v>#N/A</v>
      </c>
      <c r="V259" s="149" t="e">
        <f t="shared" si="19"/>
        <v>#N/A</v>
      </c>
      <c r="W259" s="149" t="e">
        <f t="shared" si="19"/>
        <v>#N/A</v>
      </c>
      <c r="X259" s="149" t="e">
        <f t="shared" si="19"/>
        <v>#N/A</v>
      </c>
      <c r="Y259" s="149" t="e">
        <f t="shared" si="19"/>
        <v>#N/A</v>
      </c>
      <c r="Z259" s="149" t="e">
        <f t="shared" si="19"/>
        <v>#N/A</v>
      </c>
      <c r="AA259" s="149" t="e">
        <f t="shared" si="19"/>
        <v>#N/A</v>
      </c>
      <c r="AB259" s="149" t="e">
        <f t="shared" si="19"/>
        <v>#N/A</v>
      </c>
      <c r="AC259" s="149" t="e">
        <f t="shared" si="19"/>
        <v>#N/A</v>
      </c>
      <c r="AD259" s="149" t="e">
        <f t="shared" si="19"/>
        <v>#N/A</v>
      </c>
    </row>
    <row r="260" spans="1:30">
      <c r="A260" s="160" t="s">
        <v>326</v>
      </c>
      <c r="B260" s="41" t="s">
        <v>584</v>
      </c>
      <c r="C260" s="41" t="s">
        <v>717</v>
      </c>
      <c r="D260" s="94">
        <v>4.4000000000000004</v>
      </c>
      <c r="E260" s="148">
        <v>7.0000000000000007E-2</v>
      </c>
      <c r="F260" s="41" t="s">
        <v>1313</v>
      </c>
      <c r="L260" s="41"/>
      <c r="N260" s="99"/>
      <c r="O260" s="99"/>
      <c r="P260" s="99"/>
      <c r="R260" s="148">
        <f t="shared" si="16"/>
        <v>0.121</v>
      </c>
      <c r="S260" s="149" t="e">
        <f t="shared" si="20"/>
        <v>#N/A</v>
      </c>
      <c r="T260" s="149" t="e">
        <f t="shared" si="19"/>
        <v>#N/A</v>
      </c>
      <c r="U260" s="149" t="e">
        <f t="shared" si="19"/>
        <v>#N/A</v>
      </c>
      <c r="V260" s="149" t="e">
        <f t="shared" si="19"/>
        <v>#N/A</v>
      </c>
      <c r="W260" s="149" t="e">
        <f t="shared" si="19"/>
        <v>#N/A</v>
      </c>
      <c r="X260" s="149" t="e">
        <f t="shared" si="19"/>
        <v>#N/A</v>
      </c>
      <c r="Y260" s="149" t="e">
        <f t="shared" si="19"/>
        <v>#N/A</v>
      </c>
      <c r="Z260" s="149" t="e">
        <f t="shared" si="19"/>
        <v>#N/A</v>
      </c>
      <c r="AA260" s="149" t="e">
        <f t="shared" si="19"/>
        <v>#N/A</v>
      </c>
      <c r="AB260" s="149" t="e">
        <f t="shared" si="19"/>
        <v>#N/A</v>
      </c>
      <c r="AC260" s="149" t="e">
        <f t="shared" si="19"/>
        <v>#N/A</v>
      </c>
      <c r="AD260" s="149" t="e">
        <f t="shared" si="19"/>
        <v>#N/A</v>
      </c>
    </row>
    <row r="261" spans="1:30">
      <c r="A261" s="160" t="s">
        <v>885</v>
      </c>
      <c r="B261" s="41" t="s">
        <v>1359</v>
      </c>
      <c r="C261" s="41" t="s">
        <v>717</v>
      </c>
      <c r="D261" s="94">
        <v>4.5</v>
      </c>
      <c r="E261" s="148">
        <v>9.4E-2</v>
      </c>
      <c r="F261" s="41" t="s">
        <v>760</v>
      </c>
      <c r="L261" s="41"/>
      <c r="N261" s="99"/>
      <c r="O261" s="99"/>
      <c r="P261" s="99"/>
      <c r="R261" s="148">
        <f t="shared" si="16"/>
        <v>0.122</v>
      </c>
      <c r="S261" s="149" t="e">
        <f t="shared" si="20"/>
        <v>#N/A</v>
      </c>
      <c r="T261" s="149" t="e">
        <f t="shared" si="19"/>
        <v>#N/A</v>
      </c>
      <c r="U261" s="149" t="e">
        <f t="shared" si="19"/>
        <v>#N/A</v>
      </c>
      <c r="V261" s="149" t="e">
        <f t="shared" si="19"/>
        <v>#N/A</v>
      </c>
      <c r="W261" s="149" t="e">
        <f t="shared" si="19"/>
        <v>#N/A</v>
      </c>
      <c r="X261" s="149" t="e">
        <f t="shared" si="19"/>
        <v>#N/A</v>
      </c>
      <c r="Y261" s="149" t="e">
        <f t="shared" si="19"/>
        <v>#N/A</v>
      </c>
      <c r="Z261" s="149" t="e">
        <f t="shared" si="19"/>
        <v>#N/A</v>
      </c>
      <c r="AA261" s="149" t="e">
        <f t="shared" si="19"/>
        <v>#N/A</v>
      </c>
      <c r="AB261" s="149" t="e">
        <f t="shared" si="19"/>
        <v>#N/A</v>
      </c>
      <c r="AC261" s="149" t="e">
        <f t="shared" si="19"/>
        <v>#N/A</v>
      </c>
      <c r="AD261" s="149" t="e">
        <f t="shared" si="19"/>
        <v>#N/A</v>
      </c>
    </row>
    <row r="262" spans="1:30">
      <c r="A262" s="160" t="s">
        <v>891</v>
      </c>
      <c r="B262" s="41" t="s">
        <v>1365</v>
      </c>
      <c r="C262" s="41" t="s">
        <v>717</v>
      </c>
      <c r="D262" s="94">
        <v>4.5999999999999996</v>
      </c>
      <c r="E262" s="148">
        <v>0.11800000000000001</v>
      </c>
      <c r="F262" s="41" t="s">
        <v>1366</v>
      </c>
      <c r="L262" s="41"/>
      <c r="N262" s="99"/>
      <c r="O262" s="99"/>
      <c r="P262" s="99"/>
      <c r="R262" s="148">
        <f t="shared" si="16"/>
        <v>0.123</v>
      </c>
      <c r="S262" s="149" t="e">
        <f t="shared" si="20"/>
        <v>#N/A</v>
      </c>
      <c r="T262" s="149" t="e">
        <f t="shared" si="19"/>
        <v>#N/A</v>
      </c>
      <c r="U262" s="149" t="e">
        <f t="shared" si="19"/>
        <v>#N/A</v>
      </c>
      <c r="V262" s="149" t="e">
        <f t="shared" si="19"/>
        <v>#N/A</v>
      </c>
      <c r="W262" s="149" t="e">
        <f t="shared" si="19"/>
        <v>#N/A</v>
      </c>
      <c r="X262" s="149" t="e">
        <f t="shared" si="19"/>
        <v>#N/A</v>
      </c>
      <c r="Y262" s="149" t="e">
        <f t="shared" si="19"/>
        <v>#N/A</v>
      </c>
      <c r="Z262" s="149" t="e">
        <f t="shared" si="19"/>
        <v>#N/A</v>
      </c>
      <c r="AA262" s="149" t="e">
        <f t="shared" si="19"/>
        <v>#N/A</v>
      </c>
      <c r="AB262" s="149" t="e">
        <f t="shared" si="19"/>
        <v>#N/A</v>
      </c>
      <c r="AC262" s="149" t="e">
        <f t="shared" si="19"/>
        <v>#N/A</v>
      </c>
      <c r="AD262" s="149" t="e">
        <f t="shared" si="19"/>
        <v>#N/A</v>
      </c>
    </row>
    <row r="263" spans="1:30">
      <c r="A263" s="160" t="s">
        <v>920</v>
      </c>
      <c r="B263" s="41" t="s">
        <v>1425</v>
      </c>
      <c r="C263" s="41" t="s">
        <v>703</v>
      </c>
      <c r="D263" s="94">
        <v>3.3</v>
      </c>
      <c r="E263" s="148">
        <v>-0.19800000000000001</v>
      </c>
      <c r="F263" s="41" t="s">
        <v>1426</v>
      </c>
      <c r="L263" s="41"/>
      <c r="N263" s="99"/>
      <c r="O263" s="99"/>
      <c r="P263" s="99"/>
      <c r="R263" s="148">
        <f t="shared" si="16"/>
        <v>0.124</v>
      </c>
      <c r="S263" s="149" t="e">
        <f t="shared" si="20"/>
        <v>#N/A</v>
      </c>
      <c r="T263" s="149" t="e">
        <f t="shared" si="19"/>
        <v>#N/A</v>
      </c>
      <c r="U263" s="149" t="e">
        <f t="shared" si="19"/>
        <v>#N/A</v>
      </c>
      <c r="V263" s="149" t="e">
        <f t="shared" si="19"/>
        <v>#N/A</v>
      </c>
      <c r="W263" s="149" t="e">
        <f t="shared" si="19"/>
        <v>#N/A</v>
      </c>
      <c r="X263" s="149" t="e">
        <f t="shared" si="19"/>
        <v>#N/A</v>
      </c>
      <c r="Y263" s="149" t="e">
        <f t="shared" si="19"/>
        <v>#N/A</v>
      </c>
      <c r="Z263" s="149" t="e">
        <f t="shared" si="19"/>
        <v>#N/A</v>
      </c>
      <c r="AA263" s="149" t="e">
        <f t="shared" si="19"/>
        <v>#N/A</v>
      </c>
      <c r="AB263" s="149" t="e">
        <f t="shared" si="19"/>
        <v>#N/A</v>
      </c>
      <c r="AC263" s="149" t="e">
        <f t="shared" si="19"/>
        <v>#N/A</v>
      </c>
      <c r="AD263" s="149" t="e">
        <f t="shared" si="19"/>
        <v>#N/A</v>
      </c>
    </row>
    <row r="264" spans="1:30">
      <c r="A264" s="160" t="s">
        <v>921</v>
      </c>
      <c r="B264" s="41" t="s">
        <v>1427</v>
      </c>
      <c r="C264" s="41" t="s">
        <v>703</v>
      </c>
      <c r="D264" s="94">
        <v>3.4</v>
      </c>
      <c r="E264" s="148">
        <v>-0.17399999999999999</v>
      </c>
      <c r="F264" s="41" t="s">
        <v>1428</v>
      </c>
      <c r="L264" s="41"/>
      <c r="N264" s="99"/>
      <c r="O264" s="99"/>
      <c r="P264" s="99"/>
      <c r="R264" s="148">
        <f t="shared" si="16"/>
        <v>0.125</v>
      </c>
      <c r="S264" s="149" t="e">
        <f t="shared" si="20"/>
        <v>#N/A</v>
      </c>
      <c r="T264" s="149" t="e">
        <f t="shared" si="19"/>
        <v>#N/A</v>
      </c>
      <c r="U264" s="149" t="e">
        <f t="shared" si="19"/>
        <v>#N/A</v>
      </c>
      <c r="V264" s="149" t="e">
        <f t="shared" si="19"/>
        <v>#N/A</v>
      </c>
      <c r="W264" s="149" t="e">
        <f t="shared" si="19"/>
        <v>#N/A</v>
      </c>
      <c r="X264" s="149" t="e">
        <f t="shared" si="19"/>
        <v>#N/A</v>
      </c>
      <c r="Y264" s="149" t="e">
        <f t="shared" si="19"/>
        <v>#N/A</v>
      </c>
      <c r="Z264" s="149" t="e">
        <f t="shared" si="19"/>
        <v>#N/A</v>
      </c>
      <c r="AA264" s="149" t="e">
        <f t="shared" si="19"/>
        <v>#N/A</v>
      </c>
      <c r="AB264" s="149" t="e">
        <f t="shared" si="19"/>
        <v>#N/A</v>
      </c>
      <c r="AC264" s="149" t="e">
        <f t="shared" si="19"/>
        <v>#N/A</v>
      </c>
      <c r="AD264" s="149" t="e">
        <f t="shared" si="19"/>
        <v>#N/A</v>
      </c>
    </row>
    <row r="265" spans="1:30">
      <c r="A265" s="160" t="s">
        <v>922</v>
      </c>
      <c r="B265" s="41" t="s">
        <v>1429</v>
      </c>
      <c r="C265" s="41" t="s">
        <v>703</v>
      </c>
      <c r="D265" s="94">
        <v>3.5</v>
      </c>
      <c r="E265" s="148">
        <v>-0.14899999999999999</v>
      </c>
      <c r="F265" s="41" t="s">
        <v>1430</v>
      </c>
      <c r="L265" s="41"/>
      <c r="N265" s="99"/>
      <c r="O265" s="99"/>
      <c r="P265" s="99"/>
      <c r="R265" s="148">
        <f t="shared" si="16"/>
        <v>0.126</v>
      </c>
      <c r="S265" s="149" t="e">
        <f t="shared" si="20"/>
        <v>#N/A</v>
      </c>
      <c r="T265" s="149" t="e">
        <f t="shared" si="19"/>
        <v>#N/A</v>
      </c>
      <c r="U265" s="149" t="e">
        <f t="shared" si="19"/>
        <v>#N/A</v>
      </c>
      <c r="V265" s="149" t="e">
        <f t="shared" si="19"/>
        <v>#N/A</v>
      </c>
      <c r="W265" s="149" t="e">
        <f t="shared" si="19"/>
        <v>#N/A</v>
      </c>
      <c r="X265" s="149" t="e">
        <f t="shared" si="19"/>
        <v>#N/A</v>
      </c>
      <c r="Y265" s="149" t="e">
        <f t="shared" si="19"/>
        <v>#N/A</v>
      </c>
      <c r="Z265" s="149" t="e">
        <f t="shared" si="19"/>
        <v>#N/A</v>
      </c>
      <c r="AA265" s="149" t="e">
        <f t="shared" si="19"/>
        <v>#N/A</v>
      </c>
      <c r="AB265" s="149" t="e">
        <f t="shared" si="19"/>
        <v>#N/A</v>
      </c>
      <c r="AC265" s="149" t="e">
        <f t="shared" si="19"/>
        <v>#N/A</v>
      </c>
      <c r="AD265" s="149" t="e">
        <f t="shared" si="19"/>
        <v>#N/A</v>
      </c>
    </row>
    <row r="266" spans="1:30">
      <c r="A266" s="160" t="s">
        <v>327</v>
      </c>
      <c r="B266" s="41" t="s">
        <v>585</v>
      </c>
      <c r="C266" s="41" t="s">
        <v>703</v>
      </c>
      <c r="D266" s="94">
        <v>3.6</v>
      </c>
      <c r="E266" s="148">
        <v>-0.125</v>
      </c>
      <c r="F266" s="41" t="s">
        <v>1314</v>
      </c>
      <c r="L266" s="41"/>
      <c r="N266" s="99"/>
      <c r="O266" s="99"/>
      <c r="P266" s="99"/>
      <c r="R266" s="148">
        <f t="shared" si="16"/>
        <v>0.127</v>
      </c>
      <c r="S266" s="149" t="e">
        <f t="shared" si="20"/>
        <v>#N/A</v>
      </c>
      <c r="T266" s="149" t="e">
        <f t="shared" si="19"/>
        <v>#N/A</v>
      </c>
      <c r="U266" s="149" t="e">
        <f t="shared" si="19"/>
        <v>#N/A</v>
      </c>
      <c r="V266" s="149" t="e">
        <f t="shared" si="19"/>
        <v>#N/A</v>
      </c>
      <c r="W266" s="149" t="e">
        <f t="shared" si="19"/>
        <v>#N/A</v>
      </c>
      <c r="X266" s="149" t="e">
        <f t="shared" si="19"/>
        <v>#N/A</v>
      </c>
      <c r="Y266" s="149" t="e">
        <f t="shared" si="19"/>
        <v>#N/A</v>
      </c>
      <c r="Z266" s="149" t="e">
        <f t="shared" si="19"/>
        <v>#N/A</v>
      </c>
      <c r="AA266" s="149" t="e">
        <f t="shared" si="19"/>
        <v>#N/A</v>
      </c>
      <c r="AB266" s="149" t="e">
        <f t="shared" si="19"/>
        <v>#N/A</v>
      </c>
      <c r="AC266" s="149" t="e">
        <f t="shared" si="19"/>
        <v>#N/A</v>
      </c>
      <c r="AD266" s="149" t="e">
        <f t="shared" si="19"/>
        <v>#N/A</v>
      </c>
    </row>
    <row r="267" spans="1:30">
      <c r="A267" s="160" t="s">
        <v>328</v>
      </c>
      <c r="B267" s="41" t="s">
        <v>586</v>
      </c>
      <c r="C267" s="41" t="s">
        <v>703</v>
      </c>
      <c r="D267" s="94">
        <v>3.7</v>
      </c>
      <c r="E267" s="148">
        <v>-0.10099999999999999</v>
      </c>
      <c r="F267" s="41" t="s">
        <v>1315</v>
      </c>
      <c r="L267" s="41"/>
      <c r="N267" s="99"/>
      <c r="O267" s="99"/>
      <c r="P267" s="99"/>
      <c r="R267" s="148">
        <f t="shared" si="16"/>
        <v>0.128</v>
      </c>
      <c r="S267" s="149" t="e">
        <f t="shared" si="20"/>
        <v>#N/A</v>
      </c>
      <c r="T267" s="149" t="e">
        <f t="shared" si="19"/>
        <v>#N/A</v>
      </c>
      <c r="U267" s="149" t="e">
        <f t="shared" si="19"/>
        <v>#N/A</v>
      </c>
      <c r="V267" s="149" t="e">
        <f t="shared" si="19"/>
        <v>#N/A</v>
      </c>
      <c r="W267" s="149" t="e">
        <f t="shared" si="19"/>
        <v>#N/A</v>
      </c>
      <c r="X267" s="149" t="e">
        <f t="shared" si="19"/>
        <v>#N/A</v>
      </c>
      <c r="Y267" s="149" t="e">
        <f t="shared" si="19"/>
        <v>#N/A</v>
      </c>
      <c r="Z267" s="149" t="e">
        <f t="shared" si="19"/>
        <v>#N/A</v>
      </c>
      <c r="AA267" s="149" t="e">
        <f t="shared" si="19"/>
        <v>#N/A</v>
      </c>
      <c r="AB267" s="149" t="e">
        <f t="shared" si="19"/>
        <v>#N/A</v>
      </c>
      <c r="AC267" s="149" t="e">
        <f t="shared" si="19"/>
        <v>#N/A</v>
      </c>
      <c r="AD267" s="149" t="e">
        <f t="shared" si="19"/>
        <v>#N/A</v>
      </c>
    </row>
    <row r="268" spans="1:30">
      <c r="A268" s="160" t="s">
        <v>329</v>
      </c>
      <c r="B268" s="41" t="s">
        <v>587</v>
      </c>
      <c r="C268" s="41" t="s">
        <v>703</v>
      </c>
      <c r="D268" s="94">
        <v>3.8</v>
      </c>
      <c r="E268" s="148">
        <v>-7.5999999999999998E-2</v>
      </c>
      <c r="F268" s="41" t="s">
        <v>1316</v>
      </c>
      <c r="L268" s="41"/>
      <c r="N268" s="99"/>
      <c r="O268" s="99"/>
      <c r="P268" s="99"/>
      <c r="R268" s="148">
        <f t="shared" ref="R268:R269" si="21">ROUND(R267+0.001,3)</f>
        <v>0.129</v>
      </c>
      <c r="S268" s="149" t="e">
        <f t="shared" si="20"/>
        <v>#N/A</v>
      </c>
      <c r="T268" s="149" t="e">
        <f t="shared" si="19"/>
        <v>#N/A</v>
      </c>
      <c r="U268" s="149" t="e">
        <f t="shared" si="19"/>
        <v>#N/A</v>
      </c>
      <c r="V268" s="149" t="e">
        <f t="shared" si="19"/>
        <v>#N/A</v>
      </c>
      <c r="W268" s="149" t="e">
        <f t="shared" si="19"/>
        <v>#N/A</v>
      </c>
      <c r="X268" s="149" t="e">
        <f t="shared" si="19"/>
        <v>#N/A</v>
      </c>
      <c r="Y268" s="149" t="e">
        <f t="shared" si="19"/>
        <v>#N/A</v>
      </c>
      <c r="Z268" s="149" t="e">
        <f t="shared" si="19"/>
        <v>#N/A</v>
      </c>
      <c r="AA268" s="149" t="e">
        <f t="shared" si="19"/>
        <v>#N/A</v>
      </c>
      <c r="AB268" s="149" t="e">
        <f t="shared" si="19"/>
        <v>#N/A</v>
      </c>
      <c r="AC268" s="149" t="e">
        <f t="shared" si="19"/>
        <v>#N/A</v>
      </c>
      <c r="AD268" s="149" t="e">
        <f t="shared" si="19"/>
        <v>#N/A</v>
      </c>
    </row>
    <row r="269" spans="1:30">
      <c r="A269" s="160" t="s">
        <v>330</v>
      </c>
      <c r="B269" s="41" t="s">
        <v>588</v>
      </c>
      <c r="C269" s="41" t="s">
        <v>703</v>
      </c>
      <c r="D269" s="94">
        <v>3.9</v>
      </c>
      <c r="E269" s="148">
        <v>-5.2000000000000005E-2</v>
      </c>
      <c r="F269" s="41" t="s">
        <v>1317</v>
      </c>
      <c r="L269" s="41"/>
      <c r="N269" s="99"/>
      <c r="O269" s="99"/>
      <c r="P269" s="99"/>
      <c r="R269" s="148">
        <f t="shared" si="21"/>
        <v>0.13</v>
      </c>
      <c r="S269" s="149" t="e">
        <f t="shared" si="20"/>
        <v>#N/A</v>
      </c>
      <c r="T269" s="149" t="e">
        <f t="shared" si="19"/>
        <v>#N/A</v>
      </c>
      <c r="U269" s="149" t="e">
        <f t="shared" si="19"/>
        <v>#N/A</v>
      </c>
      <c r="V269" s="149" t="e">
        <f t="shared" si="19"/>
        <v>#N/A</v>
      </c>
      <c r="W269" s="149" t="e">
        <f t="shared" si="19"/>
        <v>#N/A</v>
      </c>
      <c r="X269" s="149" t="e">
        <f t="shared" si="19"/>
        <v>#N/A</v>
      </c>
      <c r="Y269" s="149" t="e">
        <f t="shared" si="19"/>
        <v>#N/A</v>
      </c>
      <c r="Z269" s="149" t="e">
        <f t="shared" si="19"/>
        <v>#N/A</v>
      </c>
      <c r="AA269" s="149" t="e">
        <f t="shared" si="19"/>
        <v>#N/A</v>
      </c>
      <c r="AB269" s="149" t="e">
        <f t="shared" si="19"/>
        <v>#N/A</v>
      </c>
      <c r="AC269" s="149" t="e">
        <f t="shared" si="19"/>
        <v>#N/A</v>
      </c>
      <c r="AD269" s="149" t="e">
        <f t="shared" si="19"/>
        <v>#N/A</v>
      </c>
    </row>
    <row r="270" spans="1:30">
      <c r="A270" s="160" t="s">
        <v>331</v>
      </c>
      <c r="B270" s="41" t="s">
        <v>589</v>
      </c>
      <c r="C270" s="41" t="s">
        <v>703</v>
      </c>
      <c r="D270" s="94">
        <v>4</v>
      </c>
      <c r="E270" s="148">
        <v>-2.7999999999999997E-2</v>
      </c>
      <c r="F270" s="41" t="s">
        <v>1318</v>
      </c>
      <c r="L270" s="41"/>
      <c r="N270" s="99"/>
      <c r="O270" s="99"/>
      <c r="P270" s="99"/>
    </row>
    <row r="271" spans="1:30">
      <c r="A271" s="160" t="s">
        <v>332</v>
      </c>
      <c r="B271" s="41" t="s">
        <v>590</v>
      </c>
      <c r="C271" s="41" t="s">
        <v>703</v>
      </c>
      <c r="D271" s="94">
        <v>4.0999999999999996</v>
      </c>
      <c r="E271" s="148">
        <v>-3.0000000000000001E-3</v>
      </c>
      <c r="F271" s="41" t="s">
        <v>1319</v>
      </c>
      <c r="L271" s="41"/>
      <c r="N271" s="99"/>
      <c r="O271" s="99"/>
      <c r="P271" s="99"/>
    </row>
    <row r="272" spans="1:30">
      <c r="A272" s="160" t="s">
        <v>333</v>
      </c>
      <c r="B272" s="41" t="s">
        <v>591</v>
      </c>
      <c r="C272" s="41" t="s">
        <v>703</v>
      </c>
      <c r="D272" s="94">
        <v>4.2</v>
      </c>
      <c r="E272" s="148">
        <v>2.1000000000000001E-2</v>
      </c>
      <c r="F272" s="41" t="s">
        <v>1320</v>
      </c>
      <c r="L272" s="41"/>
      <c r="N272" s="99"/>
      <c r="O272" s="99"/>
      <c r="P272" s="99"/>
    </row>
    <row r="273" spans="1:16">
      <c r="A273" s="160" t="s">
        <v>334</v>
      </c>
      <c r="B273" s="41" t="s">
        <v>592</v>
      </c>
      <c r="C273" s="41" t="s">
        <v>703</v>
      </c>
      <c r="D273" s="94">
        <v>4.3</v>
      </c>
      <c r="E273" s="148">
        <v>4.4999999999999998E-2</v>
      </c>
      <c r="F273" s="41" t="s">
        <v>1321</v>
      </c>
      <c r="L273" s="41"/>
      <c r="N273" s="99"/>
      <c r="O273" s="99"/>
      <c r="P273" s="99"/>
    </row>
    <row r="274" spans="1:16">
      <c r="A274" s="160" t="s">
        <v>335</v>
      </c>
      <c r="B274" s="41" t="s">
        <v>593</v>
      </c>
      <c r="C274" s="41" t="s">
        <v>703</v>
      </c>
      <c r="D274" s="94">
        <v>4.4000000000000004</v>
      </c>
      <c r="E274" s="148">
        <v>7.0000000000000007E-2</v>
      </c>
      <c r="F274" s="41" t="s">
        <v>1322</v>
      </c>
      <c r="L274" s="41"/>
      <c r="N274" s="99"/>
      <c r="O274" s="99"/>
      <c r="P274" s="99"/>
    </row>
    <row r="275" spans="1:16">
      <c r="A275" s="160" t="s">
        <v>886</v>
      </c>
      <c r="B275" s="41" t="s">
        <v>1360</v>
      </c>
      <c r="C275" s="41" t="s">
        <v>703</v>
      </c>
      <c r="D275" s="94">
        <v>4.5</v>
      </c>
      <c r="E275" s="148">
        <v>9.4E-2</v>
      </c>
      <c r="F275" s="41" t="s">
        <v>761</v>
      </c>
      <c r="L275" s="41"/>
      <c r="N275" s="99"/>
      <c r="O275" s="99"/>
      <c r="P275" s="99"/>
    </row>
    <row r="276" spans="1:16">
      <c r="A276" s="160" t="s">
        <v>892</v>
      </c>
      <c r="B276" s="41" t="s">
        <v>1367</v>
      </c>
      <c r="C276" s="41" t="s">
        <v>703</v>
      </c>
      <c r="D276" s="94">
        <v>4.5999999999999996</v>
      </c>
      <c r="E276" s="148">
        <v>0.11800000000000001</v>
      </c>
      <c r="F276" s="41" t="s">
        <v>1368</v>
      </c>
      <c r="L276" s="41"/>
      <c r="N276" s="99"/>
      <c r="O276" s="99"/>
      <c r="P276" s="99"/>
    </row>
    <row r="277" spans="1:16">
      <c r="A277" s="160" t="s">
        <v>923</v>
      </c>
      <c r="B277" s="41" t="s">
        <v>1431</v>
      </c>
      <c r="C277" s="41" t="s">
        <v>721</v>
      </c>
      <c r="D277" s="94">
        <v>3.3</v>
      </c>
      <c r="E277" s="148">
        <v>-0.19800000000000001</v>
      </c>
      <c r="F277" s="41" t="s">
        <v>1432</v>
      </c>
      <c r="L277" s="41"/>
      <c r="N277" s="99"/>
      <c r="O277" s="99"/>
      <c r="P277" s="99"/>
    </row>
    <row r="278" spans="1:16">
      <c r="A278" s="160" t="s">
        <v>924</v>
      </c>
      <c r="B278" s="41" t="s">
        <v>1433</v>
      </c>
      <c r="C278" s="41" t="s">
        <v>721</v>
      </c>
      <c r="D278" s="94">
        <v>3.4</v>
      </c>
      <c r="E278" s="148">
        <v>-0.17399999999999999</v>
      </c>
      <c r="F278" s="41" t="s">
        <v>1434</v>
      </c>
      <c r="L278" s="41"/>
      <c r="N278" s="99"/>
      <c r="O278" s="99"/>
      <c r="P278" s="99"/>
    </row>
    <row r="279" spans="1:16">
      <c r="A279" s="160" t="s">
        <v>925</v>
      </c>
      <c r="B279" s="41" t="s">
        <v>1435</v>
      </c>
      <c r="C279" s="41" t="s">
        <v>721</v>
      </c>
      <c r="D279" s="94">
        <v>3.5</v>
      </c>
      <c r="E279" s="148">
        <v>-0.14899999999999999</v>
      </c>
      <c r="F279" s="41" t="s">
        <v>1436</v>
      </c>
      <c r="L279" s="41"/>
      <c r="N279" s="99"/>
      <c r="O279" s="99"/>
      <c r="P279" s="99"/>
    </row>
    <row r="280" spans="1:16">
      <c r="A280" s="160" t="s">
        <v>336</v>
      </c>
      <c r="B280" s="41" t="s">
        <v>594</v>
      </c>
      <c r="C280" s="41" t="s">
        <v>721</v>
      </c>
      <c r="D280" s="94">
        <v>3.6</v>
      </c>
      <c r="E280" s="148">
        <v>-0.125</v>
      </c>
      <c r="F280" s="41" t="s">
        <v>1323</v>
      </c>
      <c r="L280" s="41"/>
      <c r="N280" s="99"/>
      <c r="O280" s="99"/>
      <c r="P280" s="99"/>
    </row>
    <row r="281" spans="1:16">
      <c r="A281" s="160" t="s">
        <v>337</v>
      </c>
      <c r="B281" s="41" t="s">
        <v>595</v>
      </c>
      <c r="C281" s="41" t="s">
        <v>721</v>
      </c>
      <c r="D281" s="94">
        <v>3.7</v>
      </c>
      <c r="E281" s="148">
        <v>-0.10099999999999999</v>
      </c>
      <c r="F281" s="41" t="s">
        <v>1324</v>
      </c>
      <c r="L281" s="41"/>
      <c r="N281" s="99"/>
      <c r="O281" s="99"/>
      <c r="P281" s="99"/>
    </row>
    <row r="282" spans="1:16">
      <c r="A282" s="160" t="s">
        <v>338</v>
      </c>
      <c r="B282" s="41" t="s">
        <v>596</v>
      </c>
      <c r="C282" s="41" t="s">
        <v>721</v>
      </c>
      <c r="D282" s="94">
        <v>3.8</v>
      </c>
      <c r="E282" s="148">
        <v>-7.5999999999999998E-2</v>
      </c>
      <c r="F282" s="41" t="s">
        <v>1325</v>
      </c>
      <c r="L282" s="41"/>
      <c r="N282" s="99"/>
      <c r="O282" s="99"/>
      <c r="P282" s="99"/>
    </row>
    <row r="283" spans="1:16">
      <c r="A283" s="160" t="s">
        <v>339</v>
      </c>
      <c r="B283" s="41" t="s">
        <v>597</v>
      </c>
      <c r="C283" s="41" t="s">
        <v>721</v>
      </c>
      <c r="D283" s="94">
        <v>3.9</v>
      </c>
      <c r="E283" s="148">
        <v>-5.2000000000000005E-2</v>
      </c>
      <c r="F283" s="41" t="s">
        <v>1326</v>
      </c>
      <c r="L283" s="41"/>
      <c r="N283" s="99"/>
      <c r="O283" s="99"/>
      <c r="P283" s="99"/>
    </row>
    <row r="284" spans="1:16">
      <c r="A284" s="160" t="s">
        <v>340</v>
      </c>
      <c r="B284" s="41" t="s">
        <v>598</v>
      </c>
      <c r="C284" s="41" t="s">
        <v>721</v>
      </c>
      <c r="D284" s="94">
        <v>4</v>
      </c>
      <c r="E284" s="148">
        <v>-2.7999999999999997E-2</v>
      </c>
      <c r="F284" s="41" t="s">
        <v>1327</v>
      </c>
      <c r="L284" s="41"/>
      <c r="N284" s="99"/>
      <c r="O284" s="99"/>
      <c r="P284" s="99"/>
    </row>
    <row r="285" spans="1:16">
      <c r="A285" s="160" t="s">
        <v>341</v>
      </c>
      <c r="B285" s="41" t="s">
        <v>599</v>
      </c>
      <c r="C285" s="41" t="s">
        <v>721</v>
      </c>
      <c r="D285" s="94">
        <v>4.0999999999999996</v>
      </c>
      <c r="E285" s="148">
        <v>-3.0000000000000001E-3</v>
      </c>
      <c r="F285" s="41" t="s">
        <v>1328</v>
      </c>
      <c r="L285" s="41"/>
      <c r="N285" s="99"/>
      <c r="O285" s="99"/>
      <c r="P285" s="99"/>
    </row>
    <row r="286" spans="1:16">
      <c r="A286" s="160" t="s">
        <v>342</v>
      </c>
      <c r="B286" s="41" t="s">
        <v>600</v>
      </c>
      <c r="C286" s="41" t="s">
        <v>721</v>
      </c>
      <c r="D286" s="94">
        <v>4.2</v>
      </c>
      <c r="E286" s="148">
        <v>2.1000000000000001E-2</v>
      </c>
      <c r="F286" s="41" t="s">
        <v>1329</v>
      </c>
      <c r="L286" s="41"/>
      <c r="N286" s="99"/>
      <c r="O286" s="99"/>
      <c r="P286" s="99"/>
    </row>
    <row r="287" spans="1:16">
      <c r="A287" s="160" t="s">
        <v>343</v>
      </c>
      <c r="B287" s="41" t="s">
        <v>601</v>
      </c>
      <c r="C287" s="41" t="s">
        <v>721</v>
      </c>
      <c r="D287" s="94">
        <v>4.3</v>
      </c>
      <c r="E287" s="148">
        <v>4.4999999999999998E-2</v>
      </c>
      <c r="F287" s="41" t="s">
        <v>1330</v>
      </c>
      <c r="L287" s="41"/>
      <c r="N287" s="99"/>
      <c r="O287" s="99"/>
      <c r="P287" s="99"/>
    </row>
    <row r="288" spans="1:16">
      <c r="A288" s="160" t="s">
        <v>344</v>
      </c>
      <c r="B288" s="41" t="s">
        <v>602</v>
      </c>
      <c r="C288" s="41" t="s">
        <v>721</v>
      </c>
      <c r="D288" s="94">
        <v>4.4000000000000004</v>
      </c>
      <c r="E288" s="148">
        <v>7.0000000000000007E-2</v>
      </c>
      <c r="F288" s="41" t="s">
        <v>1331</v>
      </c>
      <c r="L288" s="41"/>
      <c r="N288" s="99"/>
      <c r="O288" s="99"/>
      <c r="P288" s="99"/>
    </row>
    <row r="289" spans="1:16">
      <c r="A289" s="160" t="s">
        <v>887</v>
      </c>
      <c r="B289" s="41" t="s">
        <v>1361</v>
      </c>
      <c r="C289" s="41" t="s">
        <v>721</v>
      </c>
      <c r="D289" s="94">
        <v>4.5</v>
      </c>
      <c r="E289" s="148">
        <v>9.4E-2</v>
      </c>
      <c r="F289" s="41" t="s">
        <v>762</v>
      </c>
      <c r="L289" s="41"/>
      <c r="N289" s="99"/>
      <c r="O289" s="99"/>
      <c r="P289" s="99"/>
    </row>
    <row r="290" spans="1:16">
      <c r="A290" s="160" t="s">
        <v>893</v>
      </c>
      <c r="B290" s="41" t="s">
        <v>1369</v>
      </c>
      <c r="C290" s="41" t="s">
        <v>721</v>
      </c>
      <c r="D290" s="94">
        <v>4.5999999999999996</v>
      </c>
      <c r="E290" s="148">
        <v>0.11800000000000001</v>
      </c>
      <c r="F290" s="41" t="s">
        <v>1370</v>
      </c>
      <c r="L290" s="41"/>
      <c r="N290" s="99"/>
      <c r="O290" s="99"/>
      <c r="P290" s="99"/>
    </row>
    <row r="291" spans="1:16">
      <c r="A291" s="160" t="s">
        <v>926</v>
      </c>
      <c r="B291" s="41" t="s">
        <v>1437</v>
      </c>
      <c r="C291" s="41" t="s">
        <v>707</v>
      </c>
      <c r="D291" s="94">
        <v>3.3</v>
      </c>
      <c r="E291" s="148">
        <v>-0.19800000000000001</v>
      </c>
      <c r="F291" s="41" t="s">
        <v>1438</v>
      </c>
      <c r="L291" s="41"/>
      <c r="N291" s="99"/>
      <c r="O291" s="99"/>
      <c r="P291" s="99"/>
    </row>
    <row r="292" spans="1:16">
      <c r="A292" s="160" t="s">
        <v>927</v>
      </c>
      <c r="B292" s="41" t="s">
        <v>1439</v>
      </c>
      <c r="C292" s="41" t="s">
        <v>707</v>
      </c>
      <c r="D292" s="94">
        <v>3.4</v>
      </c>
      <c r="E292" s="148">
        <v>-0.17399999999999999</v>
      </c>
      <c r="F292" s="41" t="s">
        <v>1440</v>
      </c>
      <c r="L292" s="41"/>
      <c r="N292" s="99"/>
      <c r="O292" s="99"/>
      <c r="P292" s="99"/>
    </row>
    <row r="293" spans="1:16">
      <c r="A293" s="160" t="s">
        <v>928</v>
      </c>
      <c r="B293" s="41" t="s">
        <v>1441</v>
      </c>
      <c r="C293" s="41" t="s">
        <v>707</v>
      </c>
      <c r="D293" s="94">
        <v>3.5</v>
      </c>
      <c r="E293" s="148">
        <v>-0.14899999999999999</v>
      </c>
      <c r="F293" s="41" t="s">
        <v>1442</v>
      </c>
      <c r="L293" s="41"/>
      <c r="N293" s="99"/>
      <c r="O293" s="99"/>
      <c r="P293" s="99"/>
    </row>
    <row r="294" spans="1:16">
      <c r="A294" s="160" t="s">
        <v>345</v>
      </c>
      <c r="B294" s="41" t="s">
        <v>603</v>
      </c>
      <c r="C294" s="41" t="s">
        <v>707</v>
      </c>
      <c r="D294" s="94">
        <v>3.6</v>
      </c>
      <c r="E294" s="148">
        <v>-0.125</v>
      </c>
      <c r="F294" s="41" t="s">
        <v>1332</v>
      </c>
      <c r="L294" s="41"/>
      <c r="N294" s="99"/>
      <c r="O294" s="99"/>
      <c r="P294" s="99"/>
    </row>
    <row r="295" spans="1:16">
      <c r="A295" s="160" t="s">
        <v>346</v>
      </c>
      <c r="B295" s="41" t="s">
        <v>604</v>
      </c>
      <c r="C295" s="41" t="s">
        <v>707</v>
      </c>
      <c r="D295" s="94">
        <v>3.7</v>
      </c>
      <c r="E295" s="148">
        <v>-0.10099999999999999</v>
      </c>
      <c r="F295" s="41" t="s">
        <v>1333</v>
      </c>
      <c r="L295" s="41"/>
      <c r="N295" s="99"/>
      <c r="O295" s="99"/>
      <c r="P295" s="99"/>
    </row>
    <row r="296" spans="1:16">
      <c r="A296" s="160" t="s">
        <v>347</v>
      </c>
      <c r="B296" s="41" t="s">
        <v>605</v>
      </c>
      <c r="C296" s="41" t="s">
        <v>707</v>
      </c>
      <c r="D296" s="94">
        <v>3.8</v>
      </c>
      <c r="E296" s="148">
        <v>-7.5999999999999998E-2</v>
      </c>
      <c r="F296" s="41" t="s">
        <v>1334</v>
      </c>
      <c r="L296" s="41"/>
      <c r="N296" s="99"/>
      <c r="O296" s="99"/>
      <c r="P296" s="99"/>
    </row>
    <row r="297" spans="1:16">
      <c r="A297" s="160" t="s">
        <v>348</v>
      </c>
      <c r="B297" s="41" t="s">
        <v>606</v>
      </c>
      <c r="C297" s="41" t="s">
        <v>707</v>
      </c>
      <c r="D297" s="94">
        <v>3.9</v>
      </c>
      <c r="E297" s="148">
        <v>-5.2000000000000005E-2</v>
      </c>
      <c r="F297" s="41" t="s">
        <v>1335</v>
      </c>
      <c r="L297" s="41"/>
      <c r="N297" s="99"/>
      <c r="O297" s="99"/>
      <c r="P297" s="99"/>
    </row>
    <row r="298" spans="1:16">
      <c r="A298" s="160" t="s">
        <v>349</v>
      </c>
      <c r="B298" s="41" t="s">
        <v>607</v>
      </c>
      <c r="C298" s="41" t="s">
        <v>707</v>
      </c>
      <c r="D298" s="94">
        <v>4</v>
      </c>
      <c r="E298" s="148">
        <v>-2.7999999999999997E-2</v>
      </c>
      <c r="F298" s="41" t="s">
        <v>1336</v>
      </c>
      <c r="L298" s="41"/>
      <c r="N298" s="99"/>
      <c r="O298" s="99"/>
      <c r="P298" s="99"/>
    </row>
    <row r="299" spans="1:16">
      <c r="A299" s="160" t="s">
        <v>350</v>
      </c>
      <c r="B299" s="41" t="s">
        <v>608</v>
      </c>
      <c r="C299" s="41" t="s">
        <v>707</v>
      </c>
      <c r="D299" s="94">
        <v>4.0999999999999996</v>
      </c>
      <c r="E299" s="148">
        <v>-3.0000000000000001E-3</v>
      </c>
      <c r="F299" s="41" t="s">
        <v>1337</v>
      </c>
      <c r="L299" s="41"/>
      <c r="N299" s="99"/>
      <c r="O299" s="99"/>
      <c r="P299" s="99"/>
    </row>
    <row r="300" spans="1:16">
      <c r="A300" s="160" t="s">
        <v>351</v>
      </c>
      <c r="B300" s="41" t="s">
        <v>609</v>
      </c>
      <c r="C300" s="41" t="s">
        <v>707</v>
      </c>
      <c r="D300" s="94">
        <v>4.2</v>
      </c>
      <c r="E300" s="148">
        <v>2.1000000000000001E-2</v>
      </c>
      <c r="F300" s="41" t="s">
        <v>1338</v>
      </c>
      <c r="L300" s="41"/>
      <c r="N300" s="99"/>
      <c r="O300" s="99"/>
      <c r="P300" s="99"/>
    </row>
    <row r="301" spans="1:16">
      <c r="A301" s="160" t="s">
        <v>352</v>
      </c>
      <c r="B301" s="41" t="s">
        <v>610</v>
      </c>
      <c r="C301" s="41" t="s">
        <v>707</v>
      </c>
      <c r="D301" s="94">
        <v>4.3</v>
      </c>
      <c r="E301" s="148">
        <v>4.4999999999999998E-2</v>
      </c>
      <c r="F301" s="41" t="s">
        <v>1339</v>
      </c>
      <c r="L301" s="41"/>
      <c r="N301" s="99"/>
      <c r="O301" s="99"/>
      <c r="P301" s="99"/>
    </row>
    <row r="302" spans="1:16">
      <c r="A302" s="160" t="s">
        <v>353</v>
      </c>
      <c r="B302" s="41" t="s">
        <v>611</v>
      </c>
      <c r="C302" s="41" t="s">
        <v>707</v>
      </c>
      <c r="D302" s="94">
        <v>4.4000000000000004</v>
      </c>
      <c r="E302" s="148">
        <v>7.0000000000000007E-2</v>
      </c>
      <c r="F302" s="41" t="s">
        <v>1340</v>
      </c>
      <c r="L302" s="41"/>
      <c r="N302" s="99"/>
      <c r="O302" s="99"/>
      <c r="P302" s="99"/>
    </row>
    <row r="303" spans="1:16">
      <c r="A303" s="160" t="s">
        <v>888</v>
      </c>
      <c r="B303" s="41" t="s">
        <v>1362</v>
      </c>
      <c r="C303" s="41" t="s">
        <v>707</v>
      </c>
      <c r="D303" s="94">
        <v>4.5</v>
      </c>
      <c r="E303" s="148">
        <v>9.4E-2</v>
      </c>
      <c r="F303" s="41" t="s">
        <v>763</v>
      </c>
      <c r="L303" s="41"/>
      <c r="N303" s="99"/>
      <c r="O303" s="99"/>
      <c r="P303" s="99"/>
    </row>
    <row r="304" spans="1:16">
      <c r="A304" s="160" t="s">
        <v>894</v>
      </c>
      <c r="B304" s="41" t="s">
        <v>1371</v>
      </c>
      <c r="C304" s="41" t="s">
        <v>707</v>
      </c>
      <c r="D304" s="94">
        <v>4.5999999999999996</v>
      </c>
      <c r="E304" s="148">
        <v>0.11800000000000001</v>
      </c>
      <c r="F304" s="41" t="s">
        <v>1372</v>
      </c>
      <c r="L304" s="41"/>
      <c r="N304" s="99"/>
      <c r="O304" s="99"/>
      <c r="P304" s="99"/>
    </row>
    <row r="305" spans="1:16">
      <c r="A305" s="160" t="s">
        <v>929</v>
      </c>
      <c r="B305" s="41" t="s">
        <v>1443</v>
      </c>
      <c r="C305" s="41" t="s">
        <v>723</v>
      </c>
      <c r="D305" s="94">
        <v>3.3</v>
      </c>
      <c r="E305" s="148">
        <v>-0.19800000000000001</v>
      </c>
      <c r="F305" s="41" t="s">
        <v>1444</v>
      </c>
      <c r="L305" s="41"/>
      <c r="N305" s="99"/>
      <c r="O305" s="99"/>
      <c r="P305" s="99"/>
    </row>
    <row r="306" spans="1:16">
      <c r="A306" s="160" t="s">
        <v>930</v>
      </c>
      <c r="B306" s="41" t="s">
        <v>1445</v>
      </c>
      <c r="C306" s="41" t="s">
        <v>723</v>
      </c>
      <c r="D306" s="94">
        <v>3.4</v>
      </c>
      <c r="E306" s="148">
        <v>-0.17399999999999999</v>
      </c>
      <c r="F306" s="41" t="s">
        <v>1446</v>
      </c>
      <c r="L306" s="41"/>
      <c r="N306" s="99"/>
      <c r="O306" s="99"/>
      <c r="P306" s="99"/>
    </row>
    <row r="307" spans="1:16">
      <c r="A307" s="160" t="s">
        <v>931</v>
      </c>
      <c r="B307" s="41" t="s">
        <v>1447</v>
      </c>
      <c r="C307" s="41" t="s">
        <v>723</v>
      </c>
      <c r="D307" s="94">
        <v>3.5</v>
      </c>
      <c r="E307" s="148">
        <v>-0.14899999999999999</v>
      </c>
      <c r="F307" s="41" t="s">
        <v>1448</v>
      </c>
      <c r="L307" s="41"/>
      <c r="N307" s="99"/>
      <c r="O307" s="99"/>
      <c r="P307" s="99"/>
    </row>
    <row r="308" spans="1:16">
      <c r="A308" s="160" t="s">
        <v>354</v>
      </c>
      <c r="B308" s="41" t="s">
        <v>612</v>
      </c>
      <c r="C308" s="41" t="s">
        <v>723</v>
      </c>
      <c r="D308" s="94">
        <v>3.6</v>
      </c>
      <c r="E308" s="148">
        <v>-0.125</v>
      </c>
      <c r="F308" s="41" t="s">
        <v>1341</v>
      </c>
      <c r="L308" s="41"/>
      <c r="N308" s="99"/>
      <c r="O308" s="99"/>
      <c r="P308" s="99"/>
    </row>
    <row r="309" spans="1:16">
      <c r="A309" s="160" t="s">
        <v>355</v>
      </c>
      <c r="B309" s="41" t="s">
        <v>613</v>
      </c>
      <c r="C309" s="41" t="s">
        <v>723</v>
      </c>
      <c r="D309" s="94">
        <v>3.7</v>
      </c>
      <c r="E309" s="148">
        <v>-0.10099999999999999</v>
      </c>
      <c r="F309" s="41" t="s">
        <v>1342</v>
      </c>
      <c r="L309" s="41"/>
      <c r="N309" s="99"/>
      <c r="O309" s="99"/>
      <c r="P309" s="99"/>
    </row>
    <row r="310" spans="1:16">
      <c r="A310" s="160" t="s">
        <v>356</v>
      </c>
      <c r="B310" s="41" t="s">
        <v>614</v>
      </c>
      <c r="C310" s="41" t="s">
        <v>723</v>
      </c>
      <c r="D310" s="94">
        <v>3.8</v>
      </c>
      <c r="E310" s="148">
        <v>-7.5999999999999998E-2</v>
      </c>
      <c r="F310" s="41" t="s">
        <v>1343</v>
      </c>
      <c r="L310" s="41"/>
      <c r="N310" s="99"/>
      <c r="O310" s="99"/>
      <c r="P310" s="99"/>
    </row>
    <row r="311" spans="1:16">
      <c r="A311" s="160" t="s">
        <v>357</v>
      </c>
      <c r="B311" s="41" t="s">
        <v>615</v>
      </c>
      <c r="C311" s="41" t="s">
        <v>723</v>
      </c>
      <c r="D311" s="94">
        <v>3.9</v>
      </c>
      <c r="E311" s="148">
        <v>-5.2000000000000005E-2</v>
      </c>
      <c r="F311" s="41" t="s">
        <v>1344</v>
      </c>
      <c r="L311" s="41"/>
      <c r="N311" s="99"/>
      <c r="O311" s="99"/>
      <c r="P311" s="99"/>
    </row>
    <row r="312" spans="1:16">
      <c r="A312" s="160" t="s">
        <v>358</v>
      </c>
      <c r="B312" s="41" t="s">
        <v>616</v>
      </c>
      <c r="C312" s="41" t="s">
        <v>723</v>
      </c>
      <c r="D312" s="94">
        <v>4</v>
      </c>
      <c r="E312" s="148">
        <v>-2.7999999999999997E-2</v>
      </c>
      <c r="F312" s="41" t="s">
        <v>1345</v>
      </c>
      <c r="L312" s="41"/>
      <c r="N312" s="99"/>
      <c r="O312" s="99"/>
      <c r="P312" s="99"/>
    </row>
    <row r="313" spans="1:16">
      <c r="A313" s="160" t="s">
        <v>359</v>
      </c>
      <c r="B313" s="41" t="s">
        <v>617</v>
      </c>
      <c r="C313" s="41" t="s">
        <v>723</v>
      </c>
      <c r="D313" s="94">
        <v>4.0999999999999996</v>
      </c>
      <c r="E313" s="148">
        <v>-3.0000000000000001E-3</v>
      </c>
      <c r="F313" s="41" t="s">
        <v>1346</v>
      </c>
      <c r="L313" s="41"/>
      <c r="N313" s="99"/>
      <c r="O313" s="99"/>
      <c r="P313" s="99"/>
    </row>
    <row r="314" spans="1:16">
      <c r="A314" s="160" t="s">
        <v>360</v>
      </c>
      <c r="B314" s="41" t="s">
        <v>618</v>
      </c>
      <c r="C314" s="41" t="s">
        <v>723</v>
      </c>
      <c r="D314" s="94">
        <v>4.2</v>
      </c>
      <c r="E314" s="148">
        <v>2.1000000000000001E-2</v>
      </c>
      <c r="F314" s="41" t="s">
        <v>1347</v>
      </c>
      <c r="L314" s="41"/>
      <c r="N314" s="99"/>
      <c r="O314" s="99"/>
      <c r="P314" s="99"/>
    </row>
    <row r="315" spans="1:16">
      <c r="A315" s="160" t="s">
        <v>361</v>
      </c>
      <c r="B315" s="41" t="s">
        <v>619</v>
      </c>
      <c r="C315" s="41" t="s">
        <v>723</v>
      </c>
      <c r="D315" s="94">
        <v>4.3</v>
      </c>
      <c r="E315" s="148">
        <v>4.4999999999999998E-2</v>
      </c>
      <c r="F315" s="41" t="s">
        <v>1348</v>
      </c>
      <c r="L315" s="41"/>
      <c r="N315" s="99"/>
      <c r="O315" s="99"/>
      <c r="P315" s="99"/>
    </row>
    <row r="316" spans="1:16">
      <c r="A316" s="160" t="s">
        <v>362</v>
      </c>
      <c r="B316" s="41" t="s">
        <v>620</v>
      </c>
      <c r="C316" s="41" t="s">
        <v>723</v>
      </c>
      <c r="D316" s="94">
        <v>4.4000000000000004</v>
      </c>
      <c r="E316" s="148">
        <v>7.0000000000000007E-2</v>
      </c>
      <c r="F316" s="41" t="s">
        <v>1349</v>
      </c>
      <c r="L316" s="41"/>
      <c r="N316" s="99"/>
      <c r="O316" s="99"/>
      <c r="P316" s="99"/>
    </row>
    <row r="317" spans="1:16">
      <c r="A317" s="160" t="s">
        <v>889</v>
      </c>
      <c r="B317" s="41" t="s">
        <v>1363</v>
      </c>
      <c r="C317" s="41" t="s">
        <v>723</v>
      </c>
      <c r="D317" s="94">
        <v>4.5</v>
      </c>
      <c r="E317" s="148">
        <v>9.4E-2</v>
      </c>
      <c r="F317" s="41" t="s">
        <v>764</v>
      </c>
      <c r="L317" s="41"/>
      <c r="N317" s="99"/>
      <c r="O317" s="99"/>
      <c r="P317" s="99"/>
    </row>
    <row r="318" spans="1:16">
      <c r="A318" s="160" t="s">
        <v>895</v>
      </c>
      <c r="B318" s="41" t="s">
        <v>1373</v>
      </c>
      <c r="C318" s="41" t="s">
        <v>723</v>
      </c>
      <c r="D318" s="94">
        <v>4.5999999999999996</v>
      </c>
      <c r="E318" s="148">
        <v>0.11800000000000001</v>
      </c>
      <c r="F318" s="41" t="s">
        <v>1374</v>
      </c>
      <c r="L318" s="41"/>
      <c r="N318" s="99"/>
      <c r="O318" s="99"/>
      <c r="P318" s="99"/>
    </row>
    <row r="319" spans="1:16">
      <c r="A319" s="160" t="s">
        <v>932</v>
      </c>
      <c r="B319" s="41" t="s">
        <v>1449</v>
      </c>
      <c r="C319" s="41" t="s">
        <v>709</v>
      </c>
      <c r="D319" s="94">
        <v>3.3</v>
      </c>
      <c r="E319" s="148">
        <v>-0.19800000000000001</v>
      </c>
      <c r="F319" s="41" t="s">
        <v>1450</v>
      </c>
      <c r="L319" s="41"/>
      <c r="N319" s="99"/>
      <c r="O319" s="99"/>
      <c r="P319" s="99"/>
    </row>
    <row r="320" spans="1:16">
      <c r="A320" s="160" t="s">
        <v>933</v>
      </c>
      <c r="B320" s="41" t="s">
        <v>1451</v>
      </c>
      <c r="C320" s="41" t="s">
        <v>709</v>
      </c>
      <c r="D320" s="94">
        <v>3.4</v>
      </c>
      <c r="E320" s="148">
        <v>-0.17399999999999999</v>
      </c>
      <c r="F320" s="41" t="s">
        <v>1452</v>
      </c>
      <c r="L320" s="41"/>
      <c r="N320" s="99"/>
      <c r="O320" s="99"/>
      <c r="P320" s="99"/>
    </row>
    <row r="321" spans="1:16">
      <c r="A321" s="160" t="s">
        <v>934</v>
      </c>
      <c r="B321" s="41" t="s">
        <v>1453</v>
      </c>
      <c r="C321" s="41" t="s">
        <v>709</v>
      </c>
      <c r="D321" s="94">
        <v>3.5</v>
      </c>
      <c r="E321" s="148">
        <v>-0.14899999999999999</v>
      </c>
      <c r="F321" s="41" t="s">
        <v>1454</v>
      </c>
      <c r="L321" s="41"/>
      <c r="N321" s="99"/>
      <c r="O321" s="99"/>
      <c r="P321" s="99"/>
    </row>
    <row r="322" spans="1:16">
      <c r="A322" s="160" t="s">
        <v>363</v>
      </c>
      <c r="B322" s="41" t="s">
        <v>621</v>
      </c>
      <c r="C322" s="41" t="s">
        <v>709</v>
      </c>
      <c r="D322" s="94">
        <v>3.6</v>
      </c>
      <c r="E322" s="148">
        <v>-0.125</v>
      </c>
      <c r="F322" s="41" t="s">
        <v>1350</v>
      </c>
      <c r="L322" s="41"/>
      <c r="N322" s="99"/>
      <c r="O322" s="99"/>
      <c r="P322" s="99"/>
    </row>
    <row r="323" spans="1:16">
      <c r="A323" s="160" t="s">
        <v>364</v>
      </c>
      <c r="B323" s="41" t="s">
        <v>622</v>
      </c>
      <c r="C323" s="41" t="s">
        <v>709</v>
      </c>
      <c r="D323" s="94">
        <v>3.7</v>
      </c>
      <c r="E323" s="148">
        <v>-0.10099999999999999</v>
      </c>
      <c r="F323" s="41" t="s">
        <v>1351</v>
      </c>
      <c r="L323" s="41"/>
      <c r="N323" s="99"/>
      <c r="O323" s="99"/>
      <c r="P323" s="99"/>
    </row>
    <row r="324" spans="1:16">
      <c r="A324" s="160" t="s">
        <v>365</v>
      </c>
      <c r="B324" s="41" t="s">
        <v>623</v>
      </c>
      <c r="C324" s="41" t="s">
        <v>709</v>
      </c>
      <c r="D324" s="94">
        <v>3.8</v>
      </c>
      <c r="E324" s="148">
        <v>-7.5999999999999998E-2</v>
      </c>
      <c r="F324" s="41" t="s">
        <v>1352</v>
      </c>
      <c r="L324" s="41"/>
      <c r="N324" s="99"/>
      <c r="O324" s="99"/>
      <c r="P324" s="99"/>
    </row>
    <row r="325" spans="1:16">
      <c r="A325" s="160" t="s">
        <v>366</v>
      </c>
      <c r="B325" s="41" t="s">
        <v>624</v>
      </c>
      <c r="C325" s="41" t="s">
        <v>709</v>
      </c>
      <c r="D325" s="94">
        <v>3.9</v>
      </c>
      <c r="E325" s="148">
        <v>-5.2000000000000005E-2</v>
      </c>
      <c r="F325" s="41" t="s">
        <v>1353</v>
      </c>
      <c r="L325" s="41"/>
      <c r="N325" s="99"/>
      <c r="O325" s="99"/>
      <c r="P325" s="99"/>
    </row>
    <row r="326" spans="1:16">
      <c r="A326" s="160" t="s">
        <v>367</v>
      </c>
      <c r="B326" s="41" t="s">
        <v>625</v>
      </c>
      <c r="C326" s="41" t="s">
        <v>709</v>
      </c>
      <c r="D326" s="94">
        <v>4</v>
      </c>
      <c r="E326" s="148">
        <v>-2.7999999999999997E-2</v>
      </c>
      <c r="F326" s="41" t="s">
        <v>1354</v>
      </c>
      <c r="L326" s="41"/>
      <c r="N326" s="99"/>
      <c r="O326" s="99"/>
      <c r="P326" s="99"/>
    </row>
    <row r="327" spans="1:16">
      <c r="A327" s="160" t="s">
        <v>368</v>
      </c>
      <c r="B327" s="41" t="s">
        <v>626</v>
      </c>
      <c r="C327" s="41" t="s">
        <v>709</v>
      </c>
      <c r="D327" s="94">
        <v>4.0999999999999996</v>
      </c>
      <c r="E327" s="148">
        <v>-3.0000000000000001E-3</v>
      </c>
      <c r="F327" s="41" t="s">
        <v>1355</v>
      </c>
      <c r="L327" s="41"/>
      <c r="N327" s="99"/>
      <c r="O327" s="99"/>
      <c r="P327" s="99"/>
    </row>
    <row r="328" spans="1:16">
      <c r="A328" s="160" t="s">
        <v>369</v>
      </c>
      <c r="B328" s="41" t="s">
        <v>627</v>
      </c>
      <c r="C328" s="41" t="s">
        <v>709</v>
      </c>
      <c r="D328" s="94">
        <v>4.2</v>
      </c>
      <c r="E328" s="148">
        <v>2.1000000000000001E-2</v>
      </c>
      <c r="F328" s="41" t="s">
        <v>1356</v>
      </c>
      <c r="L328" s="41"/>
      <c r="N328" s="99"/>
      <c r="O328" s="99"/>
      <c r="P328" s="99"/>
    </row>
    <row r="329" spans="1:16">
      <c r="A329" s="160" t="s">
        <v>370</v>
      </c>
      <c r="B329" s="41" t="s">
        <v>628</v>
      </c>
      <c r="C329" s="41" t="s">
        <v>709</v>
      </c>
      <c r="D329" s="94">
        <v>4.3</v>
      </c>
      <c r="E329" s="148">
        <v>4.4999999999999998E-2</v>
      </c>
      <c r="F329" s="41" t="s">
        <v>1357</v>
      </c>
      <c r="L329" s="41"/>
      <c r="N329" s="99"/>
      <c r="O329" s="99"/>
      <c r="P329" s="99"/>
    </row>
    <row r="330" spans="1:16">
      <c r="A330" s="160" t="s">
        <v>371</v>
      </c>
      <c r="B330" s="41" t="s">
        <v>629</v>
      </c>
      <c r="C330" s="41" t="s">
        <v>709</v>
      </c>
      <c r="D330" s="94">
        <v>4.4000000000000004</v>
      </c>
      <c r="E330" s="148">
        <v>7.0000000000000007E-2</v>
      </c>
      <c r="F330" s="41" t="s">
        <v>1358</v>
      </c>
      <c r="L330" s="41"/>
      <c r="N330" s="99"/>
      <c r="O330" s="99"/>
      <c r="P330" s="99"/>
    </row>
    <row r="331" spans="1:16">
      <c r="A331" s="160" t="s">
        <v>890</v>
      </c>
      <c r="B331" s="41" t="s">
        <v>1364</v>
      </c>
      <c r="C331" s="41" t="s">
        <v>709</v>
      </c>
      <c r="D331" s="94">
        <v>4.5</v>
      </c>
      <c r="E331" s="148">
        <v>9.4E-2</v>
      </c>
      <c r="F331" s="41" t="s">
        <v>765</v>
      </c>
      <c r="L331" s="41"/>
      <c r="N331" s="99"/>
      <c r="O331" s="99"/>
      <c r="P331" s="99"/>
    </row>
    <row r="332" spans="1:16">
      <c r="A332" s="160" t="s">
        <v>896</v>
      </c>
      <c r="B332" s="41" t="s">
        <v>1375</v>
      </c>
      <c r="C332" s="41" t="s">
        <v>709</v>
      </c>
      <c r="D332" s="94">
        <v>4.5999999999999996</v>
      </c>
      <c r="E332" s="148">
        <v>0.11800000000000001</v>
      </c>
      <c r="F332" s="41" t="s">
        <v>1376</v>
      </c>
      <c r="L332" s="41"/>
      <c r="N332" s="99"/>
      <c r="O332" s="99"/>
      <c r="P332" s="99"/>
    </row>
    <row r="333" spans="1:16">
      <c r="A333" s="160" t="s">
        <v>935</v>
      </c>
      <c r="B333" s="41" t="s">
        <v>1455</v>
      </c>
      <c r="C333" s="41" t="s">
        <v>1378</v>
      </c>
      <c r="D333" s="94">
        <v>3.3</v>
      </c>
      <c r="E333" s="148">
        <v>-0.19800000000000001</v>
      </c>
      <c r="F333" s="41" t="s">
        <v>1456</v>
      </c>
      <c r="L333" s="41"/>
      <c r="N333" s="99"/>
      <c r="O333" s="99"/>
      <c r="P333" s="99"/>
    </row>
    <row r="334" spans="1:16">
      <c r="A334" s="160" t="s">
        <v>936</v>
      </c>
      <c r="B334" s="41" t="s">
        <v>1457</v>
      </c>
      <c r="C334" s="41" t="s">
        <v>1378</v>
      </c>
      <c r="D334" s="94">
        <v>3.4</v>
      </c>
      <c r="E334" s="148">
        <v>-0.17399999999999999</v>
      </c>
      <c r="F334" s="41" t="s">
        <v>1458</v>
      </c>
      <c r="L334" s="41"/>
      <c r="N334" s="99"/>
      <c r="O334" s="99"/>
      <c r="P334" s="99"/>
    </row>
    <row r="335" spans="1:16">
      <c r="A335" s="160" t="s">
        <v>937</v>
      </c>
      <c r="B335" s="41" t="s">
        <v>1459</v>
      </c>
      <c r="C335" s="41" t="s">
        <v>1378</v>
      </c>
      <c r="D335" s="94">
        <v>3.5</v>
      </c>
      <c r="E335" s="148">
        <v>-0.14899999999999999</v>
      </c>
      <c r="F335" s="41" t="s">
        <v>1460</v>
      </c>
      <c r="L335" s="41"/>
      <c r="N335" s="99"/>
      <c r="O335" s="99"/>
      <c r="P335" s="99"/>
    </row>
    <row r="336" spans="1:16">
      <c r="A336" s="160" t="s">
        <v>915</v>
      </c>
      <c r="B336" s="41" t="s">
        <v>1415</v>
      </c>
      <c r="C336" s="41" t="s">
        <v>1378</v>
      </c>
      <c r="D336" s="94">
        <v>3.6</v>
      </c>
      <c r="E336" s="148">
        <v>-0.125</v>
      </c>
      <c r="F336" s="41" t="s">
        <v>1416</v>
      </c>
      <c r="L336" s="41"/>
      <c r="N336" s="99"/>
      <c r="O336" s="99"/>
      <c r="P336" s="99"/>
    </row>
    <row r="337" spans="1:16">
      <c r="A337" s="160" t="s">
        <v>897</v>
      </c>
      <c r="B337" s="41" t="s">
        <v>1377</v>
      </c>
      <c r="C337" s="41" t="s">
        <v>1378</v>
      </c>
      <c r="D337" s="94">
        <v>3.7</v>
      </c>
      <c r="E337" s="148">
        <v>-0.10099999999999999</v>
      </c>
      <c r="F337" s="41" t="s">
        <v>1379</v>
      </c>
      <c r="L337" s="41"/>
      <c r="N337" s="99"/>
      <c r="O337" s="99"/>
      <c r="P337" s="99"/>
    </row>
    <row r="338" spans="1:16">
      <c r="A338" s="160" t="s">
        <v>898</v>
      </c>
      <c r="B338" s="41" t="s">
        <v>1380</v>
      </c>
      <c r="C338" s="41" t="s">
        <v>1378</v>
      </c>
      <c r="D338" s="94">
        <v>3.8</v>
      </c>
      <c r="E338" s="148">
        <v>-7.5999999999999998E-2</v>
      </c>
      <c r="F338" s="41" t="s">
        <v>1381</v>
      </c>
      <c r="L338" s="41"/>
      <c r="N338" s="99"/>
      <c r="O338" s="99"/>
      <c r="P338" s="99"/>
    </row>
    <row r="339" spans="1:16">
      <c r="A339" s="160" t="s">
        <v>899</v>
      </c>
      <c r="B339" s="41" t="s">
        <v>1382</v>
      </c>
      <c r="C339" s="41" t="s">
        <v>1378</v>
      </c>
      <c r="D339" s="94">
        <v>3.9</v>
      </c>
      <c r="E339" s="148">
        <v>-5.2000000000000005E-2</v>
      </c>
      <c r="F339" s="41" t="s">
        <v>1383</v>
      </c>
      <c r="L339" s="41"/>
      <c r="N339" s="99"/>
      <c r="O339" s="99"/>
      <c r="P339" s="99"/>
    </row>
    <row r="340" spans="1:16">
      <c r="A340" s="160" t="s">
        <v>900</v>
      </c>
      <c r="B340" s="41" t="s">
        <v>1384</v>
      </c>
      <c r="C340" s="41" t="s">
        <v>1378</v>
      </c>
      <c r="D340" s="94">
        <v>4</v>
      </c>
      <c r="E340" s="148">
        <v>-2.7999999999999997E-2</v>
      </c>
      <c r="F340" s="41" t="s">
        <v>1385</v>
      </c>
      <c r="L340" s="41"/>
      <c r="N340" s="99"/>
      <c r="O340" s="99"/>
      <c r="P340" s="99"/>
    </row>
    <row r="341" spans="1:16">
      <c r="A341" s="160" t="s">
        <v>901</v>
      </c>
      <c r="B341" s="41" t="s">
        <v>1386</v>
      </c>
      <c r="C341" s="41" t="s">
        <v>1378</v>
      </c>
      <c r="D341" s="94">
        <v>4.0999999999999996</v>
      </c>
      <c r="E341" s="148">
        <v>-3.0000000000000001E-3</v>
      </c>
      <c r="F341" s="41" t="s">
        <v>1387</v>
      </c>
      <c r="L341" s="41"/>
      <c r="N341" s="99"/>
      <c r="O341" s="99"/>
      <c r="P341" s="99"/>
    </row>
    <row r="342" spans="1:16">
      <c r="A342" s="160" t="s">
        <v>902</v>
      </c>
      <c r="B342" s="41" t="s">
        <v>1388</v>
      </c>
      <c r="C342" s="41" t="s">
        <v>1378</v>
      </c>
      <c r="D342" s="94">
        <v>4.2</v>
      </c>
      <c r="E342" s="148">
        <v>2.1000000000000001E-2</v>
      </c>
      <c r="F342" s="41" t="s">
        <v>1389</v>
      </c>
      <c r="L342" s="41"/>
      <c r="N342" s="99"/>
      <c r="O342" s="99"/>
      <c r="P342" s="99"/>
    </row>
    <row r="343" spans="1:16">
      <c r="A343" s="160" t="s">
        <v>903</v>
      </c>
      <c r="B343" s="41" t="s">
        <v>1390</v>
      </c>
      <c r="C343" s="41" t="s">
        <v>1378</v>
      </c>
      <c r="D343" s="94">
        <v>4.3</v>
      </c>
      <c r="E343" s="148">
        <v>4.4999999999999998E-2</v>
      </c>
      <c r="F343" s="41" t="s">
        <v>1391</v>
      </c>
      <c r="L343" s="41"/>
      <c r="N343" s="99"/>
      <c r="O343" s="99"/>
      <c r="P343" s="99"/>
    </row>
    <row r="344" spans="1:16">
      <c r="A344" s="160" t="s">
        <v>904</v>
      </c>
      <c r="B344" s="41" t="s">
        <v>1392</v>
      </c>
      <c r="C344" s="41" t="s">
        <v>1378</v>
      </c>
      <c r="D344" s="94">
        <v>4.4000000000000004</v>
      </c>
      <c r="E344" s="148">
        <v>7.0000000000000007E-2</v>
      </c>
      <c r="F344" s="41" t="s">
        <v>1393</v>
      </c>
      <c r="L344" s="41"/>
      <c r="N344" s="99"/>
      <c r="O344" s="99"/>
      <c r="P344" s="99"/>
    </row>
    <row r="345" spans="1:16">
      <c r="A345" s="160" t="s">
        <v>905</v>
      </c>
      <c r="B345" s="41" t="s">
        <v>1394</v>
      </c>
      <c r="C345" s="41" t="s">
        <v>1378</v>
      </c>
      <c r="D345" s="94">
        <v>4.5</v>
      </c>
      <c r="E345" s="148">
        <v>9.4E-2</v>
      </c>
      <c r="F345" s="41" t="s">
        <v>1395</v>
      </c>
      <c r="L345" s="41"/>
      <c r="N345" s="99"/>
      <c r="O345" s="99"/>
      <c r="P345" s="99"/>
    </row>
    <row r="346" spans="1:16">
      <c r="A346" s="160" t="s">
        <v>938</v>
      </c>
      <c r="B346" s="41" t="s">
        <v>1461</v>
      </c>
      <c r="C346" s="41" t="s">
        <v>1397</v>
      </c>
      <c r="D346" s="94">
        <v>3.3</v>
      </c>
      <c r="E346" s="148">
        <v>-0.19800000000000001</v>
      </c>
      <c r="F346" s="41" t="s">
        <v>1462</v>
      </c>
      <c r="L346" s="41"/>
      <c r="N346" s="99"/>
      <c r="O346" s="99"/>
      <c r="P346" s="99"/>
    </row>
    <row r="347" spans="1:16">
      <c r="A347" s="160" t="s">
        <v>939</v>
      </c>
      <c r="B347" s="41" t="s">
        <v>1463</v>
      </c>
      <c r="C347" s="41" t="s">
        <v>1397</v>
      </c>
      <c r="D347" s="94">
        <v>3.4</v>
      </c>
      <c r="E347" s="148">
        <v>-0.17399999999999999</v>
      </c>
      <c r="F347" s="41" t="s">
        <v>1464</v>
      </c>
      <c r="L347" s="41"/>
      <c r="N347" s="99"/>
      <c r="O347" s="99"/>
      <c r="P347" s="99"/>
    </row>
    <row r="348" spans="1:16">
      <c r="A348" s="160" t="s">
        <v>940</v>
      </c>
      <c r="B348" s="41" t="s">
        <v>1465</v>
      </c>
      <c r="C348" s="41" t="s">
        <v>1397</v>
      </c>
      <c r="D348" s="94">
        <v>3.5</v>
      </c>
      <c r="E348" s="148">
        <v>-0.14899999999999999</v>
      </c>
      <c r="F348" s="41" t="s">
        <v>1466</v>
      </c>
      <c r="L348" s="41"/>
      <c r="N348" s="99"/>
      <c r="O348" s="99"/>
      <c r="P348" s="99"/>
    </row>
    <row r="349" spans="1:16">
      <c r="A349" s="160" t="s">
        <v>916</v>
      </c>
      <c r="B349" s="41" t="s">
        <v>1417</v>
      </c>
      <c r="C349" s="41" t="s">
        <v>1397</v>
      </c>
      <c r="D349" s="94">
        <v>3.6</v>
      </c>
      <c r="E349" s="148">
        <v>-0.125</v>
      </c>
      <c r="F349" s="41" t="s">
        <v>1418</v>
      </c>
      <c r="L349" s="41"/>
      <c r="N349" s="99"/>
      <c r="O349" s="99"/>
      <c r="P349" s="99"/>
    </row>
    <row r="350" spans="1:16">
      <c r="A350" s="160" t="s">
        <v>906</v>
      </c>
      <c r="B350" s="41" t="s">
        <v>1396</v>
      </c>
      <c r="C350" s="41" t="s">
        <v>1397</v>
      </c>
      <c r="D350" s="94">
        <v>3.7</v>
      </c>
      <c r="E350" s="148">
        <v>-0.10099999999999999</v>
      </c>
      <c r="F350" s="41" t="s">
        <v>1398</v>
      </c>
      <c r="L350" s="41"/>
      <c r="N350" s="99"/>
      <c r="O350" s="99"/>
      <c r="P350" s="99"/>
    </row>
    <row r="351" spans="1:16">
      <c r="A351" s="160" t="s">
        <v>907</v>
      </c>
      <c r="B351" s="41" t="s">
        <v>1399</v>
      </c>
      <c r="C351" s="41" t="s">
        <v>1397</v>
      </c>
      <c r="D351" s="94">
        <v>3.8</v>
      </c>
      <c r="E351" s="148">
        <v>-7.5999999999999998E-2</v>
      </c>
      <c r="F351" s="41" t="s">
        <v>1400</v>
      </c>
      <c r="L351" s="41"/>
      <c r="N351" s="99"/>
      <c r="O351" s="99"/>
      <c r="P351" s="99"/>
    </row>
    <row r="352" spans="1:16">
      <c r="A352" s="160" t="s">
        <v>908</v>
      </c>
      <c r="B352" s="41" t="s">
        <v>1401</v>
      </c>
      <c r="C352" s="41" t="s">
        <v>1397</v>
      </c>
      <c r="D352" s="94">
        <v>3.9</v>
      </c>
      <c r="E352" s="148">
        <v>-5.2000000000000005E-2</v>
      </c>
      <c r="F352" s="41" t="s">
        <v>1402</v>
      </c>
      <c r="L352" s="41"/>
      <c r="N352" s="99"/>
      <c r="O352" s="99"/>
      <c r="P352" s="99"/>
    </row>
    <row r="353" spans="1:16">
      <c r="A353" s="160" t="s">
        <v>909</v>
      </c>
      <c r="B353" s="41" t="s">
        <v>1403</v>
      </c>
      <c r="C353" s="41" t="s">
        <v>1397</v>
      </c>
      <c r="D353" s="94">
        <v>4</v>
      </c>
      <c r="E353" s="148">
        <v>-2.7999999999999997E-2</v>
      </c>
      <c r="F353" s="41" t="s">
        <v>1404</v>
      </c>
      <c r="L353" s="41"/>
      <c r="N353" s="99"/>
      <c r="O353" s="99"/>
      <c r="P353" s="99"/>
    </row>
    <row r="354" spans="1:16">
      <c r="A354" s="160" t="s">
        <v>910</v>
      </c>
      <c r="B354" s="41" t="s">
        <v>1405</v>
      </c>
      <c r="C354" s="41" t="s">
        <v>1397</v>
      </c>
      <c r="D354" s="94">
        <v>4.0999999999999996</v>
      </c>
      <c r="E354" s="148">
        <v>-3.0000000000000001E-3</v>
      </c>
      <c r="F354" s="41" t="s">
        <v>1406</v>
      </c>
      <c r="L354" s="41"/>
      <c r="N354" s="99"/>
      <c r="O354" s="99"/>
      <c r="P354" s="99"/>
    </row>
    <row r="355" spans="1:16">
      <c r="A355" s="160" t="s">
        <v>911</v>
      </c>
      <c r="B355" s="41" t="s">
        <v>1407</v>
      </c>
      <c r="C355" s="41" t="s">
        <v>1397</v>
      </c>
      <c r="D355" s="94">
        <v>4.2</v>
      </c>
      <c r="E355" s="148">
        <v>2.1000000000000001E-2</v>
      </c>
      <c r="F355" s="41" t="s">
        <v>1408</v>
      </c>
      <c r="L355" s="41"/>
      <c r="N355" s="99"/>
      <c r="O355" s="99"/>
      <c r="P355" s="99"/>
    </row>
    <row r="356" spans="1:16">
      <c r="A356" s="160" t="s">
        <v>912</v>
      </c>
      <c r="B356" s="41" t="s">
        <v>1409</v>
      </c>
      <c r="C356" s="41" t="s">
        <v>1397</v>
      </c>
      <c r="D356" s="94">
        <v>4.3</v>
      </c>
      <c r="E356" s="148">
        <v>4.4999999999999998E-2</v>
      </c>
      <c r="F356" s="41" t="s">
        <v>1410</v>
      </c>
      <c r="L356" s="41"/>
      <c r="N356" s="99"/>
      <c r="O356" s="99"/>
      <c r="P356" s="99"/>
    </row>
    <row r="357" spans="1:16">
      <c r="A357" s="160" t="s">
        <v>913</v>
      </c>
      <c r="B357" s="41" t="s">
        <v>1411</v>
      </c>
      <c r="C357" s="41" t="s">
        <v>1397</v>
      </c>
      <c r="D357" s="94">
        <v>4.4000000000000004</v>
      </c>
      <c r="E357" s="148">
        <v>7.0000000000000007E-2</v>
      </c>
      <c r="F357" s="41" t="s">
        <v>1412</v>
      </c>
      <c r="L357" s="41"/>
      <c r="N357" s="99"/>
      <c r="O357" s="99"/>
      <c r="P357" s="99"/>
    </row>
    <row r="358" spans="1:16">
      <c r="A358" s="160" t="s">
        <v>914</v>
      </c>
      <c r="B358" s="41" t="s">
        <v>1413</v>
      </c>
      <c r="C358" s="41" t="s">
        <v>1397</v>
      </c>
      <c r="D358" s="94">
        <v>4.5</v>
      </c>
      <c r="E358" s="148">
        <v>9.4E-2</v>
      </c>
      <c r="F358" s="41" t="s">
        <v>1414</v>
      </c>
      <c r="L358" s="41"/>
      <c r="N358" s="99"/>
      <c r="O358" s="99"/>
      <c r="P358" s="99"/>
    </row>
    <row r="359" spans="1:16">
      <c r="A359" s="160" t="s">
        <v>973</v>
      </c>
      <c r="B359" s="41" t="s">
        <v>1581</v>
      </c>
      <c r="C359" s="41" t="s">
        <v>718</v>
      </c>
      <c r="D359" s="94">
        <v>3.3</v>
      </c>
      <c r="E359" s="148">
        <v>-0.21100000000000002</v>
      </c>
      <c r="F359" s="41" t="s">
        <v>1582</v>
      </c>
      <c r="L359" s="41"/>
      <c r="N359" s="99"/>
      <c r="O359" s="99"/>
      <c r="P359" s="99"/>
    </row>
    <row r="360" spans="1:16">
      <c r="A360" s="160" t="s">
        <v>974</v>
      </c>
      <c r="B360" s="41" t="s">
        <v>1583</v>
      </c>
      <c r="C360" s="41" t="s">
        <v>718</v>
      </c>
      <c r="D360" s="94">
        <v>3.4</v>
      </c>
      <c r="E360" s="148">
        <v>-0.187</v>
      </c>
      <c r="F360" s="41" t="s">
        <v>1584</v>
      </c>
      <c r="L360" s="41"/>
      <c r="N360" s="99"/>
      <c r="O360" s="99"/>
      <c r="P360" s="99"/>
    </row>
    <row r="361" spans="1:16">
      <c r="A361" s="160" t="s">
        <v>975</v>
      </c>
      <c r="B361" s="41" t="s">
        <v>1585</v>
      </c>
      <c r="C361" s="41" t="s">
        <v>718</v>
      </c>
      <c r="D361" s="94">
        <v>3.5</v>
      </c>
      <c r="E361" s="148">
        <v>-0.16300000000000001</v>
      </c>
      <c r="F361" s="41" t="s">
        <v>1586</v>
      </c>
      <c r="L361" s="41"/>
      <c r="N361" s="99"/>
      <c r="O361" s="99"/>
      <c r="P361" s="99"/>
    </row>
    <row r="362" spans="1:16">
      <c r="A362" s="160" t="s">
        <v>400</v>
      </c>
      <c r="B362" s="41" t="s">
        <v>657</v>
      </c>
      <c r="C362" s="41" t="s">
        <v>718</v>
      </c>
      <c r="D362" s="94">
        <v>3.6</v>
      </c>
      <c r="E362" s="148">
        <v>-0.13900000000000001</v>
      </c>
      <c r="F362" s="41" t="s">
        <v>1515</v>
      </c>
      <c r="L362" s="41"/>
      <c r="N362" s="99"/>
      <c r="O362" s="99"/>
      <c r="P362" s="99"/>
    </row>
    <row r="363" spans="1:16">
      <c r="A363" s="160" t="s">
        <v>373</v>
      </c>
      <c r="B363" s="41" t="s">
        <v>630</v>
      </c>
      <c r="C363" s="41" t="s">
        <v>718</v>
      </c>
      <c r="D363" s="94">
        <v>3.7</v>
      </c>
      <c r="E363" s="148">
        <v>-0.115</v>
      </c>
      <c r="F363" s="41" t="s">
        <v>1467</v>
      </c>
      <c r="L363" s="41"/>
      <c r="N363" s="99"/>
      <c r="O363" s="99"/>
      <c r="P363" s="99"/>
    </row>
    <row r="364" spans="1:16">
      <c r="A364" s="160" t="s">
        <v>374</v>
      </c>
      <c r="B364" s="41" t="s">
        <v>631</v>
      </c>
      <c r="C364" s="41" t="s">
        <v>718</v>
      </c>
      <c r="D364" s="94">
        <v>3.8</v>
      </c>
      <c r="E364" s="148">
        <v>-9.1999999999999998E-2</v>
      </c>
      <c r="F364" s="41" t="s">
        <v>1468</v>
      </c>
      <c r="L364" s="41"/>
      <c r="N364" s="99"/>
      <c r="O364" s="99"/>
      <c r="P364" s="99"/>
    </row>
    <row r="365" spans="1:16">
      <c r="A365" s="160" t="s">
        <v>375</v>
      </c>
      <c r="B365" s="41" t="s">
        <v>632</v>
      </c>
      <c r="C365" s="41" t="s">
        <v>718</v>
      </c>
      <c r="D365" s="94">
        <v>3.9</v>
      </c>
      <c r="E365" s="148">
        <v>-6.8000000000000005E-2</v>
      </c>
      <c r="F365" s="41" t="s">
        <v>1469</v>
      </c>
      <c r="L365" s="41"/>
      <c r="N365" s="99"/>
      <c r="O365" s="99"/>
      <c r="P365" s="99"/>
    </row>
    <row r="366" spans="1:16">
      <c r="A366" s="160" t="s">
        <v>376</v>
      </c>
      <c r="B366" s="41" t="s">
        <v>633</v>
      </c>
      <c r="C366" s="41" t="s">
        <v>718</v>
      </c>
      <c r="D366" s="94">
        <v>4</v>
      </c>
      <c r="E366" s="148">
        <v>-4.4000000000000004E-2</v>
      </c>
      <c r="F366" s="41" t="s">
        <v>1470</v>
      </c>
      <c r="L366" s="41"/>
      <c r="N366" s="99"/>
      <c r="O366" s="99"/>
      <c r="P366" s="99"/>
    </row>
    <row r="367" spans="1:16">
      <c r="A367" s="160" t="s">
        <v>377</v>
      </c>
      <c r="B367" s="41" t="s">
        <v>634</v>
      </c>
      <c r="C367" s="41" t="s">
        <v>718</v>
      </c>
      <c r="D367" s="94">
        <v>4.0999999999999996</v>
      </c>
      <c r="E367" s="148">
        <v>-0.02</v>
      </c>
      <c r="F367" s="41" t="s">
        <v>1471</v>
      </c>
      <c r="L367" s="41"/>
      <c r="N367" s="99"/>
      <c r="O367" s="99"/>
      <c r="P367" s="99"/>
    </row>
    <row r="368" spans="1:16">
      <c r="A368" s="160" t="s">
        <v>378</v>
      </c>
      <c r="B368" s="41" t="s">
        <v>635</v>
      </c>
      <c r="C368" s="41" t="s">
        <v>718</v>
      </c>
      <c r="D368" s="94">
        <v>4.2</v>
      </c>
      <c r="E368" s="148">
        <v>4.0000000000000001E-3</v>
      </c>
      <c r="F368" s="41" t="s">
        <v>1472</v>
      </c>
      <c r="L368" s="41"/>
      <c r="N368" s="99"/>
      <c r="O368" s="99"/>
      <c r="P368" s="99"/>
    </row>
    <row r="369" spans="1:16">
      <c r="A369" s="160" t="s">
        <v>379</v>
      </c>
      <c r="B369" s="41" t="s">
        <v>636</v>
      </c>
      <c r="C369" s="41" t="s">
        <v>718</v>
      </c>
      <c r="D369" s="94">
        <v>4.3</v>
      </c>
      <c r="E369" s="148">
        <v>2.7999999999999997E-2</v>
      </c>
      <c r="F369" s="41" t="s">
        <v>1473</v>
      </c>
      <c r="L369" s="41"/>
      <c r="N369" s="99"/>
      <c r="O369" s="99"/>
      <c r="P369" s="99"/>
    </row>
    <row r="370" spans="1:16">
      <c r="A370" s="160" t="s">
        <v>380</v>
      </c>
      <c r="B370" s="41" t="s">
        <v>637</v>
      </c>
      <c r="C370" s="41" t="s">
        <v>718</v>
      </c>
      <c r="D370" s="94">
        <v>4.4000000000000004</v>
      </c>
      <c r="E370" s="148">
        <v>5.2000000000000005E-2</v>
      </c>
      <c r="F370" s="41" t="s">
        <v>1474</v>
      </c>
      <c r="L370" s="41"/>
      <c r="N370" s="99"/>
      <c r="O370" s="99"/>
      <c r="P370" s="99"/>
    </row>
    <row r="371" spans="1:16">
      <c r="A371" s="160" t="s">
        <v>381</v>
      </c>
      <c r="B371" s="41" t="s">
        <v>638</v>
      </c>
      <c r="C371" s="41" t="s">
        <v>718</v>
      </c>
      <c r="D371" s="94">
        <v>4.5</v>
      </c>
      <c r="E371" s="148">
        <v>7.5999999999999998E-2</v>
      </c>
      <c r="F371" s="41" t="s">
        <v>766</v>
      </c>
      <c r="L371" s="41"/>
      <c r="N371" s="99"/>
      <c r="O371" s="99"/>
      <c r="P371" s="99"/>
    </row>
    <row r="372" spans="1:16">
      <c r="A372" s="160" t="s">
        <v>941</v>
      </c>
      <c r="B372" s="41" t="s">
        <v>1521</v>
      </c>
      <c r="C372" s="41" t="s">
        <v>718</v>
      </c>
      <c r="D372" s="94">
        <v>4.5999999999999996</v>
      </c>
      <c r="E372" s="148">
        <v>0.1</v>
      </c>
      <c r="F372" s="41" t="s">
        <v>767</v>
      </c>
      <c r="L372" s="41"/>
      <c r="N372" s="99"/>
      <c r="O372" s="99"/>
      <c r="P372" s="99"/>
    </row>
    <row r="373" spans="1:16">
      <c r="A373" s="160" t="s">
        <v>947</v>
      </c>
      <c r="B373" s="41" t="s">
        <v>1527</v>
      </c>
      <c r="C373" s="41" t="s">
        <v>718</v>
      </c>
      <c r="D373" s="94">
        <v>4.7</v>
      </c>
      <c r="E373" s="148">
        <v>0.124</v>
      </c>
      <c r="F373" s="41" t="s">
        <v>1528</v>
      </c>
      <c r="L373" s="41"/>
      <c r="N373" s="99"/>
      <c r="O373" s="99"/>
      <c r="P373" s="99"/>
    </row>
    <row r="374" spans="1:16">
      <c r="A374" s="160" t="s">
        <v>976</v>
      </c>
      <c r="B374" s="41" t="s">
        <v>1587</v>
      </c>
      <c r="C374" s="41" t="s">
        <v>704</v>
      </c>
      <c r="D374" s="94">
        <v>3.3</v>
      </c>
      <c r="E374" s="148">
        <v>-0.21100000000000002</v>
      </c>
      <c r="F374" s="41" t="s">
        <v>1588</v>
      </c>
      <c r="L374" s="41"/>
      <c r="N374" s="99"/>
      <c r="O374" s="99"/>
      <c r="P374" s="99"/>
    </row>
    <row r="375" spans="1:16">
      <c r="A375" s="160" t="s">
        <v>977</v>
      </c>
      <c r="B375" s="41" t="s">
        <v>1589</v>
      </c>
      <c r="C375" s="41" t="s">
        <v>704</v>
      </c>
      <c r="D375" s="94">
        <v>3.4</v>
      </c>
      <c r="E375" s="148">
        <v>-0.187</v>
      </c>
      <c r="F375" s="41" t="s">
        <v>1590</v>
      </c>
      <c r="L375" s="41"/>
      <c r="N375" s="99"/>
      <c r="O375" s="99"/>
      <c r="P375" s="99"/>
    </row>
    <row r="376" spans="1:16">
      <c r="A376" s="160" t="s">
        <v>978</v>
      </c>
      <c r="B376" s="41" t="s">
        <v>1591</v>
      </c>
      <c r="C376" s="41" t="s">
        <v>704</v>
      </c>
      <c r="D376" s="94">
        <v>3.5</v>
      </c>
      <c r="E376" s="148">
        <v>-0.16300000000000001</v>
      </c>
      <c r="F376" s="41" t="s">
        <v>1592</v>
      </c>
      <c r="L376" s="41"/>
      <c r="N376" s="99"/>
      <c r="O376" s="99"/>
      <c r="P376" s="99"/>
    </row>
    <row r="377" spans="1:16">
      <c r="A377" s="160" t="s">
        <v>430</v>
      </c>
      <c r="B377" s="41" t="s">
        <v>687</v>
      </c>
      <c r="C377" s="41" t="s">
        <v>704</v>
      </c>
      <c r="D377" s="94">
        <v>3.6</v>
      </c>
      <c r="E377" s="148">
        <v>-0.13900000000000001</v>
      </c>
      <c r="F377" s="41" t="s">
        <v>1516</v>
      </c>
      <c r="L377" s="41"/>
      <c r="N377" s="99"/>
      <c r="O377" s="99"/>
      <c r="P377" s="99"/>
    </row>
    <row r="378" spans="1:16">
      <c r="A378" s="160" t="s">
        <v>403</v>
      </c>
      <c r="B378" s="41" t="s">
        <v>660</v>
      </c>
      <c r="C378" s="41" t="s">
        <v>704</v>
      </c>
      <c r="D378" s="94">
        <v>3.7</v>
      </c>
      <c r="E378" s="148">
        <v>-0.115</v>
      </c>
      <c r="F378" s="41" t="s">
        <v>1475</v>
      </c>
      <c r="L378" s="41"/>
      <c r="N378" s="99"/>
      <c r="O378" s="99"/>
      <c r="P378" s="99"/>
    </row>
    <row r="379" spans="1:16">
      <c r="A379" s="160" t="s">
        <v>404</v>
      </c>
      <c r="B379" s="41" t="s">
        <v>661</v>
      </c>
      <c r="C379" s="41" t="s">
        <v>704</v>
      </c>
      <c r="D379" s="94">
        <v>3.8</v>
      </c>
      <c r="E379" s="148">
        <v>-9.1999999999999998E-2</v>
      </c>
      <c r="F379" s="41" t="s">
        <v>1476</v>
      </c>
      <c r="L379" s="41"/>
      <c r="N379" s="99"/>
      <c r="O379" s="99"/>
      <c r="P379" s="99"/>
    </row>
    <row r="380" spans="1:16">
      <c r="A380" s="160" t="s">
        <v>405</v>
      </c>
      <c r="B380" s="41" t="s">
        <v>662</v>
      </c>
      <c r="C380" s="41" t="s">
        <v>704</v>
      </c>
      <c r="D380" s="94">
        <v>3.9</v>
      </c>
      <c r="E380" s="148">
        <v>-6.8000000000000005E-2</v>
      </c>
      <c r="F380" s="41" t="s">
        <v>1477</v>
      </c>
      <c r="L380" s="41"/>
      <c r="N380" s="99"/>
      <c r="O380" s="99"/>
      <c r="P380" s="99"/>
    </row>
    <row r="381" spans="1:16">
      <c r="A381" s="160" t="s">
        <v>406</v>
      </c>
      <c r="B381" s="41" t="s">
        <v>663</v>
      </c>
      <c r="C381" s="41" t="s">
        <v>704</v>
      </c>
      <c r="D381" s="94">
        <v>4</v>
      </c>
      <c r="E381" s="148">
        <v>-4.4000000000000004E-2</v>
      </c>
      <c r="F381" s="41" t="s">
        <v>1478</v>
      </c>
      <c r="L381" s="41"/>
      <c r="N381" s="99"/>
      <c r="O381" s="99"/>
      <c r="P381" s="99"/>
    </row>
    <row r="382" spans="1:16">
      <c r="A382" s="160" t="s">
        <v>407</v>
      </c>
      <c r="B382" s="41" t="s">
        <v>664</v>
      </c>
      <c r="C382" s="41" t="s">
        <v>704</v>
      </c>
      <c r="D382" s="94">
        <v>4.0999999999999996</v>
      </c>
      <c r="E382" s="148">
        <v>-0.02</v>
      </c>
      <c r="F382" s="41" t="s">
        <v>1479</v>
      </c>
      <c r="L382" s="41"/>
      <c r="N382" s="99"/>
      <c r="O382" s="99"/>
      <c r="P382" s="99"/>
    </row>
    <row r="383" spans="1:16">
      <c r="A383" s="160" t="s">
        <v>408</v>
      </c>
      <c r="B383" s="41" t="s">
        <v>665</v>
      </c>
      <c r="C383" s="41" t="s">
        <v>704</v>
      </c>
      <c r="D383" s="94">
        <v>4.2</v>
      </c>
      <c r="E383" s="148">
        <v>4.0000000000000001E-3</v>
      </c>
      <c r="F383" s="41" t="s">
        <v>1480</v>
      </c>
      <c r="L383" s="41"/>
      <c r="N383" s="99"/>
      <c r="O383" s="99"/>
      <c r="P383" s="99"/>
    </row>
    <row r="384" spans="1:16">
      <c r="A384" s="160" t="s">
        <v>409</v>
      </c>
      <c r="B384" s="41" t="s">
        <v>666</v>
      </c>
      <c r="C384" s="41" t="s">
        <v>704</v>
      </c>
      <c r="D384" s="94">
        <v>4.3</v>
      </c>
      <c r="E384" s="148">
        <v>2.7999999999999997E-2</v>
      </c>
      <c r="F384" s="41" t="s">
        <v>1481</v>
      </c>
      <c r="L384" s="41"/>
      <c r="N384" s="99"/>
      <c r="O384" s="99"/>
      <c r="P384" s="99"/>
    </row>
    <row r="385" spans="1:16">
      <c r="A385" s="160" t="s">
        <v>410</v>
      </c>
      <c r="B385" s="41" t="s">
        <v>667</v>
      </c>
      <c r="C385" s="41" t="s">
        <v>704</v>
      </c>
      <c r="D385" s="94">
        <v>4.4000000000000004</v>
      </c>
      <c r="E385" s="148">
        <v>5.2000000000000005E-2</v>
      </c>
      <c r="F385" s="41" t="s">
        <v>1482</v>
      </c>
      <c r="L385" s="41"/>
      <c r="N385" s="99"/>
      <c r="O385" s="99"/>
      <c r="P385" s="99"/>
    </row>
    <row r="386" spans="1:16">
      <c r="A386" s="160" t="s">
        <v>411</v>
      </c>
      <c r="B386" s="41" t="s">
        <v>668</v>
      </c>
      <c r="C386" s="41" t="s">
        <v>704</v>
      </c>
      <c r="D386" s="94">
        <v>4.5</v>
      </c>
      <c r="E386" s="148">
        <v>7.5999999999999998E-2</v>
      </c>
      <c r="F386" s="41" t="s">
        <v>772</v>
      </c>
      <c r="L386" s="41"/>
      <c r="N386" s="99"/>
      <c r="O386" s="99"/>
      <c r="P386" s="99"/>
    </row>
    <row r="387" spans="1:16">
      <c r="A387" s="160" t="s">
        <v>942</v>
      </c>
      <c r="B387" s="41" t="s">
        <v>1522</v>
      </c>
      <c r="C387" s="41" t="s">
        <v>704</v>
      </c>
      <c r="D387" s="94">
        <v>4.5999999999999996</v>
      </c>
      <c r="E387" s="148">
        <v>0.1</v>
      </c>
      <c r="F387" s="41" t="s">
        <v>773</v>
      </c>
      <c r="L387" s="41"/>
      <c r="N387" s="99"/>
      <c r="O387" s="99"/>
      <c r="P387" s="99"/>
    </row>
    <row r="388" spans="1:16">
      <c r="A388" s="160" t="s">
        <v>948</v>
      </c>
      <c r="B388" s="41" t="s">
        <v>1529</v>
      </c>
      <c r="C388" s="41" t="s">
        <v>704</v>
      </c>
      <c r="D388" s="94">
        <v>4.7</v>
      </c>
      <c r="E388" s="148">
        <v>0.124</v>
      </c>
      <c r="F388" s="41" t="s">
        <v>1530</v>
      </c>
      <c r="L388" s="41"/>
      <c r="N388" s="99"/>
      <c r="O388" s="99"/>
      <c r="P388" s="99"/>
    </row>
    <row r="389" spans="1:16">
      <c r="A389" s="160" t="s">
        <v>979</v>
      </c>
      <c r="B389" s="41" t="s">
        <v>1593</v>
      </c>
      <c r="C389" s="41" t="s">
        <v>722</v>
      </c>
      <c r="D389" s="94">
        <v>3.3</v>
      </c>
      <c r="E389" s="148">
        <v>-0.21100000000000002</v>
      </c>
      <c r="F389" s="41" t="s">
        <v>1594</v>
      </c>
      <c r="L389" s="41"/>
      <c r="N389" s="99"/>
      <c r="O389" s="99"/>
      <c r="P389" s="99"/>
    </row>
    <row r="390" spans="1:16">
      <c r="A390" s="160" t="s">
        <v>980</v>
      </c>
      <c r="B390" s="41" t="s">
        <v>1595</v>
      </c>
      <c r="C390" s="41" t="s">
        <v>722</v>
      </c>
      <c r="D390" s="94">
        <v>3.4</v>
      </c>
      <c r="E390" s="148">
        <v>-0.187</v>
      </c>
      <c r="F390" s="41" t="s">
        <v>1596</v>
      </c>
      <c r="L390" s="41"/>
      <c r="N390" s="99"/>
      <c r="O390" s="99"/>
      <c r="P390" s="99"/>
    </row>
    <row r="391" spans="1:16">
      <c r="A391" s="160" t="s">
        <v>981</v>
      </c>
      <c r="B391" s="41" t="s">
        <v>1597</v>
      </c>
      <c r="C391" s="41" t="s">
        <v>722</v>
      </c>
      <c r="D391" s="94">
        <v>3.5</v>
      </c>
      <c r="E391" s="148">
        <v>-0.16300000000000001</v>
      </c>
      <c r="F391" s="41" t="s">
        <v>1598</v>
      </c>
      <c r="L391" s="41"/>
      <c r="N391" s="99"/>
      <c r="O391" s="99"/>
      <c r="P391" s="99"/>
    </row>
    <row r="392" spans="1:16">
      <c r="A392" s="160" t="s">
        <v>401</v>
      </c>
      <c r="B392" s="41" t="s">
        <v>658</v>
      </c>
      <c r="C392" s="41" t="s">
        <v>722</v>
      </c>
      <c r="D392" s="94">
        <v>3.6</v>
      </c>
      <c r="E392" s="148">
        <v>-0.13900000000000001</v>
      </c>
      <c r="F392" s="41" t="s">
        <v>1517</v>
      </c>
      <c r="L392" s="41"/>
      <c r="N392" s="99"/>
      <c r="O392" s="99"/>
      <c r="P392" s="99"/>
    </row>
    <row r="393" spans="1:16">
      <c r="A393" s="160" t="s">
        <v>382</v>
      </c>
      <c r="B393" s="41" t="s">
        <v>639</v>
      </c>
      <c r="C393" s="41" t="s">
        <v>722</v>
      </c>
      <c r="D393" s="94">
        <v>3.7</v>
      </c>
      <c r="E393" s="148">
        <v>-0.115</v>
      </c>
      <c r="F393" s="41" t="s">
        <v>1483</v>
      </c>
      <c r="L393" s="41"/>
      <c r="N393" s="99"/>
      <c r="O393" s="99"/>
      <c r="P393" s="99"/>
    </row>
    <row r="394" spans="1:16">
      <c r="A394" s="160" t="s">
        <v>383</v>
      </c>
      <c r="B394" s="41" t="s">
        <v>640</v>
      </c>
      <c r="C394" s="41" t="s">
        <v>722</v>
      </c>
      <c r="D394" s="94">
        <v>3.8</v>
      </c>
      <c r="E394" s="148">
        <v>-9.1999999999999998E-2</v>
      </c>
      <c r="F394" s="41" t="s">
        <v>1484</v>
      </c>
      <c r="L394" s="41"/>
      <c r="N394" s="99"/>
      <c r="O394" s="99"/>
      <c r="P394" s="99"/>
    </row>
    <row r="395" spans="1:16">
      <c r="A395" s="160" t="s">
        <v>384</v>
      </c>
      <c r="B395" s="41" t="s">
        <v>641</v>
      </c>
      <c r="C395" s="41" t="s">
        <v>722</v>
      </c>
      <c r="D395" s="94">
        <v>3.9</v>
      </c>
      <c r="E395" s="148">
        <v>-6.8000000000000005E-2</v>
      </c>
      <c r="F395" s="41" t="s">
        <v>1485</v>
      </c>
      <c r="L395" s="41"/>
      <c r="N395" s="99"/>
      <c r="O395" s="99"/>
      <c r="P395" s="99"/>
    </row>
    <row r="396" spans="1:16">
      <c r="A396" s="160" t="s">
        <v>385</v>
      </c>
      <c r="B396" s="41" t="s">
        <v>642</v>
      </c>
      <c r="C396" s="41" t="s">
        <v>722</v>
      </c>
      <c r="D396" s="94">
        <v>4</v>
      </c>
      <c r="E396" s="148">
        <v>-4.4000000000000004E-2</v>
      </c>
      <c r="F396" s="41" t="s">
        <v>1486</v>
      </c>
      <c r="L396" s="41"/>
      <c r="N396" s="99"/>
      <c r="O396" s="99"/>
      <c r="P396" s="99"/>
    </row>
    <row r="397" spans="1:16">
      <c r="A397" s="160" t="s">
        <v>386</v>
      </c>
      <c r="B397" s="41" t="s">
        <v>643</v>
      </c>
      <c r="C397" s="41" t="s">
        <v>722</v>
      </c>
      <c r="D397" s="94">
        <v>4.0999999999999996</v>
      </c>
      <c r="E397" s="148">
        <v>-0.02</v>
      </c>
      <c r="F397" s="41" t="s">
        <v>1487</v>
      </c>
      <c r="L397" s="41"/>
      <c r="N397" s="99"/>
      <c r="O397" s="99"/>
      <c r="P397" s="99"/>
    </row>
    <row r="398" spans="1:16">
      <c r="A398" s="160" t="s">
        <v>387</v>
      </c>
      <c r="B398" s="41" t="s">
        <v>644</v>
      </c>
      <c r="C398" s="41" t="s">
        <v>722</v>
      </c>
      <c r="D398" s="94">
        <v>4.2</v>
      </c>
      <c r="E398" s="148">
        <v>4.0000000000000001E-3</v>
      </c>
      <c r="F398" s="41" t="s">
        <v>1488</v>
      </c>
      <c r="L398" s="41"/>
      <c r="N398" s="99"/>
      <c r="O398" s="99"/>
      <c r="P398" s="99"/>
    </row>
    <row r="399" spans="1:16">
      <c r="A399" s="160" t="s">
        <v>388</v>
      </c>
      <c r="B399" s="41" t="s">
        <v>645</v>
      </c>
      <c r="C399" s="41" t="s">
        <v>722</v>
      </c>
      <c r="D399" s="94">
        <v>4.3</v>
      </c>
      <c r="E399" s="148">
        <v>2.7999999999999997E-2</v>
      </c>
      <c r="F399" s="41" t="s">
        <v>1489</v>
      </c>
      <c r="L399" s="41"/>
      <c r="N399" s="99"/>
      <c r="O399" s="99"/>
      <c r="P399" s="99"/>
    </row>
    <row r="400" spans="1:16">
      <c r="A400" s="160" t="s">
        <v>389</v>
      </c>
      <c r="B400" s="41" t="s">
        <v>646</v>
      </c>
      <c r="C400" s="41" t="s">
        <v>722</v>
      </c>
      <c r="D400" s="94">
        <v>4.4000000000000004</v>
      </c>
      <c r="E400" s="148">
        <v>5.2000000000000005E-2</v>
      </c>
      <c r="F400" s="41" t="s">
        <v>1490</v>
      </c>
      <c r="L400" s="41"/>
      <c r="N400" s="99"/>
      <c r="O400" s="99"/>
      <c r="P400" s="99"/>
    </row>
    <row r="401" spans="1:16">
      <c r="A401" s="160" t="s">
        <v>390</v>
      </c>
      <c r="B401" s="41" t="s">
        <v>647</v>
      </c>
      <c r="C401" s="41" t="s">
        <v>722</v>
      </c>
      <c r="D401" s="94">
        <v>4.5</v>
      </c>
      <c r="E401" s="148">
        <v>7.5999999999999998E-2</v>
      </c>
      <c r="F401" s="41" t="s">
        <v>768</v>
      </c>
      <c r="L401" s="41"/>
      <c r="N401" s="99"/>
      <c r="O401" s="99"/>
      <c r="P401" s="99"/>
    </row>
    <row r="402" spans="1:16">
      <c r="A402" s="160" t="s">
        <v>943</v>
      </c>
      <c r="B402" s="41" t="s">
        <v>1523</v>
      </c>
      <c r="C402" s="41" t="s">
        <v>722</v>
      </c>
      <c r="D402" s="94">
        <v>4.5999999999999996</v>
      </c>
      <c r="E402" s="148">
        <v>0.1</v>
      </c>
      <c r="F402" s="41" t="s">
        <v>769</v>
      </c>
      <c r="L402" s="41"/>
      <c r="N402" s="99"/>
      <c r="O402" s="99"/>
      <c r="P402" s="99"/>
    </row>
    <row r="403" spans="1:16">
      <c r="A403" s="160" t="s">
        <v>949</v>
      </c>
      <c r="B403" s="41" t="s">
        <v>1531</v>
      </c>
      <c r="C403" s="41" t="s">
        <v>722</v>
      </c>
      <c r="D403" s="94">
        <v>4.7</v>
      </c>
      <c r="E403" s="148">
        <v>0.124</v>
      </c>
      <c r="F403" s="41" t="s">
        <v>1532</v>
      </c>
      <c r="L403" s="41"/>
      <c r="N403" s="99"/>
      <c r="O403" s="99"/>
      <c r="P403" s="99"/>
    </row>
    <row r="404" spans="1:16">
      <c r="A404" s="160" t="s">
        <v>982</v>
      </c>
      <c r="B404" s="41" t="s">
        <v>1599</v>
      </c>
      <c r="C404" s="41" t="s">
        <v>708</v>
      </c>
      <c r="D404" s="94">
        <v>3.3</v>
      </c>
      <c r="E404" s="148">
        <v>-0.21100000000000002</v>
      </c>
      <c r="F404" s="41" t="s">
        <v>1600</v>
      </c>
      <c r="L404" s="41"/>
      <c r="N404" s="99"/>
      <c r="O404" s="99"/>
      <c r="P404" s="99"/>
    </row>
    <row r="405" spans="1:16">
      <c r="A405" s="160" t="s">
        <v>983</v>
      </c>
      <c r="B405" s="41" t="s">
        <v>1601</v>
      </c>
      <c r="C405" s="41" t="s">
        <v>708</v>
      </c>
      <c r="D405" s="94">
        <v>3.4</v>
      </c>
      <c r="E405" s="148">
        <v>-0.187</v>
      </c>
      <c r="F405" s="41" t="s">
        <v>1602</v>
      </c>
      <c r="L405" s="41"/>
      <c r="N405" s="99"/>
      <c r="O405" s="99"/>
      <c r="P405" s="99"/>
    </row>
    <row r="406" spans="1:16">
      <c r="A406" s="160" t="s">
        <v>984</v>
      </c>
      <c r="B406" s="41" t="s">
        <v>1603</v>
      </c>
      <c r="C406" s="41" t="s">
        <v>708</v>
      </c>
      <c r="D406" s="94">
        <v>3.5</v>
      </c>
      <c r="E406" s="148">
        <v>-0.16300000000000001</v>
      </c>
      <c r="F406" s="41" t="s">
        <v>1604</v>
      </c>
      <c r="L406" s="41"/>
      <c r="N406" s="99"/>
      <c r="O406" s="99"/>
      <c r="P406" s="99"/>
    </row>
    <row r="407" spans="1:16">
      <c r="A407" s="160" t="s">
        <v>431</v>
      </c>
      <c r="B407" s="41" t="s">
        <v>688</v>
      </c>
      <c r="C407" s="41" t="s">
        <v>708</v>
      </c>
      <c r="D407" s="94">
        <v>3.6</v>
      </c>
      <c r="E407" s="148">
        <v>-0.13900000000000001</v>
      </c>
      <c r="F407" s="41" t="s">
        <v>1518</v>
      </c>
      <c r="L407" s="41"/>
      <c r="N407" s="99"/>
      <c r="O407" s="99"/>
      <c r="P407" s="99"/>
    </row>
    <row r="408" spans="1:16">
      <c r="A408" s="160" t="s">
        <v>412</v>
      </c>
      <c r="B408" s="41" t="s">
        <v>669</v>
      </c>
      <c r="C408" s="41" t="s">
        <v>708</v>
      </c>
      <c r="D408" s="94">
        <v>3.7</v>
      </c>
      <c r="E408" s="148">
        <v>-0.115</v>
      </c>
      <c r="F408" s="41" t="s">
        <v>1491</v>
      </c>
      <c r="L408" s="41"/>
      <c r="N408" s="99"/>
      <c r="O408" s="99"/>
      <c r="P408" s="99"/>
    </row>
    <row r="409" spans="1:16">
      <c r="A409" s="160" t="s">
        <v>413</v>
      </c>
      <c r="B409" s="41" t="s">
        <v>670</v>
      </c>
      <c r="C409" s="41" t="s">
        <v>708</v>
      </c>
      <c r="D409" s="94">
        <v>3.8</v>
      </c>
      <c r="E409" s="148">
        <v>-9.1999999999999998E-2</v>
      </c>
      <c r="F409" s="41" t="s">
        <v>1492</v>
      </c>
      <c r="L409" s="41"/>
      <c r="N409" s="99"/>
      <c r="O409" s="99"/>
      <c r="P409" s="99"/>
    </row>
    <row r="410" spans="1:16">
      <c r="A410" s="160" t="s">
        <v>414</v>
      </c>
      <c r="B410" s="41" t="s">
        <v>671</v>
      </c>
      <c r="C410" s="41" t="s">
        <v>708</v>
      </c>
      <c r="D410" s="94">
        <v>3.9</v>
      </c>
      <c r="E410" s="148">
        <v>-6.8000000000000005E-2</v>
      </c>
      <c r="F410" s="41" t="s">
        <v>1493</v>
      </c>
      <c r="L410" s="41"/>
      <c r="N410" s="99"/>
      <c r="O410" s="99"/>
      <c r="P410" s="99"/>
    </row>
    <row r="411" spans="1:16">
      <c r="A411" s="160" t="s">
        <v>415</v>
      </c>
      <c r="B411" s="41" t="s">
        <v>672</v>
      </c>
      <c r="C411" s="41" t="s">
        <v>708</v>
      </c>
      <c r="D411" s="94">
        <v>4</v>
      </c>
      <c r="E411" s="148">
        <v>-4.4000000000000004E-2</v>
      </c>
      <c r="F411" s="41" t="s">
        <v>1494</v>
      </c>
      <c r="L411" s="41"/>
      <c r="N411" s="99"/>
      <c r="O411" s="99"/>
      <c r="P411" s="99"/>
    </row>
    <row r="412" spans="1:16">
      <c r="A412" s="160" t="s">
        <v>416</v>
      </c>
      <c r="B412" s="41" t="s">
        <v>673</v>
      </c>
      <c r="C412" s="41" t="s">
        <v>708</v>
      </c>
      <c r="D412" s="94">
        <v>4.0999999999999996</v>
      </c>
      <c r="E412" s="148">
        <v>-0.02</v>
      </c>
      <c r="F412" s="41" t="s">
        <v>1495</v>
      </c>
      <c r="L412" s="41"/>
      <c r="N412" s="99"/>
      <c r="O412" s="99"/>
      <c r="P412" s="99"/>
    </row>
    <row r="413" spans="1:16">
      <c r="A413" s="160" t="s">
        <v>417</v>
      </c>
      <c r="B413" s="41" t="s">
        <v>674</v>
      </c>
      <c r="C413" s="41" t="s">
        <v>708</v>
      </c>
      <c r="D413" s="94">
        <v>4.2</v>
      </c>
      <c r="E413" s="148">
        <v>4.0000000000000001E-3</v>
      </c>
      <c r="F413" s="41" t="s">
        <v>1496</v>
      </c>
      <c r="L413" s="41"/>
      <c r="N413" s="99"/>
      <c r="O413" s="99"/>
      <c r="P413" s="99"/>
    </row>
    <row r="414" spans="1:16">
      <c r="A414" s="160" t="s">
        <v>418</v>
      </c>
      <c r="B414" s="41" t="s">
        <v>675</v>
      </c>
      <c r="C414" s="41" t="s">
        <v>708</v>
      </c>
      <c r="D414" s="94">
        <v>4.3</v>
      </c>
      <c r="E414" s="148">
        <v>2.7999999999999997E-2</v>
      </c>
      <c r="F414" s="41" t="s">
        <v>1497</v>
      </c>
      <c r="L414" s="41"/>
      <c r="N414" s="99"/>
      <c r="O414" s="99"/>
      <c r="P414" s="99"/>
    </row>
    <row r="415" spans="1:16">
      <c r="A415" s="160" t="s">
        <v>419</v>
      </c>
      <c r="B415" s="41" t="s">
        <v>676</v>
      </c>
      <c r="C415" s="41" t="s">
        <v>708</v>
      </c>
      <c r="D415" s="94">
        <v>4.4000000000000004</v>
      </c>
      <c r="E415" s="148">
        <v>5.2000000000000005E-2</v>
      </c>
      <c r="F415" s="41" t="s">
        <v>1498</v>
      </c>
      <c r="L415" s="41"/>
      <c r="N415" s="99"/>
      <c r="O415" s="99"/>
      <c r="P415" s="99"/>
    </row>
    <row r="416" spans="1:16">
      <c r="A416" s="160" t="s">
        <v>420</v>
      </c>
      <c r="B416" s="41" t="s">
        <v>677</v>
      </c>
      <c r="C416" s="41" t="s">
        <v>708</v>
      </c>
      <c r="D416" s="94">
        <v>4.5</v>
      </c>
      <c r="E416" s="148">
        <v>7.5999999999999998E-2</v>
      </c>
      <c r="F416" s="41" t="s">
        <v>774</v>
      </c>
      <c r="L416" s="41"/>
      <c r="N416" s="99"/>
      <c r="O416" s="99"/>
      <c r="P416" s="99"/>
    </row>
    <row r="417" spans="1:16">
      <c r="A417" s="160" t="s">
        <v>944</v>
      </c>
      <c r="B417" s="41" t="s">
        <v>1524</v>
      </c>
      <c r="C417" s="41" t="s">
        <v>708</v>
      </c>
      <c r="D417" s="94">
        <v>4.5999999999999996</v>
      </c>
      <c r="E417" s="148">
        <v>0.1</v>
      </c>
      <c r="F417" s="41" t="s">
        <v>775</v>
      </c>
      <c r="L417" s="41"/>
      <c r="N417" s="99"/>
      <c r="O417" s="99"/>
      <c r="P417" s="99"/>
    </row>
    <row r="418" spans="1:16">
      <c r="A418" s="160" t="s">
        <v>950</v>
      </c>
      <c r="B418" s="41" t="s">
        <v>1533</v>
      </c>
      <c r="C418" s="41" t="s">
        <v>708</v>
      </c>
      <c r="D418" s="94">
        <v>4.7</v>
      </c>
      <c r="E418" s="148">
        <v>0.124</v>
      </c>
      <c r="F418" s="41" t="s">
        <v>1534</v>
      </c>
      <c r="L418" s="41"/>
      <c r="N418" s="99"/>
      <c r="O418" s="99"/>
      <c r="P418" s="99"/>
    </row>
    <row r="419" spans="1:16">
      <c r="A419" s="160" t="s">
        <v>985</v>
      </c>
      <c r="B419" s="41" t="s">
        <v>1605</v>
      </c>
      <c r="C419" s="41" t="s">
        <v>724</v>
      </c>
      <c r="D419" s="94">
        <v>3.3</v>
      </c>
      <c r="E419" s="148">
        <v>-0.21100000000000002</v>
      </c>
      <c r="F419" s="41" t="s">
        <v>1606</v>
      </c>
      <c r="L419" s="41"/>
      <c r="N419" s="99"/>
      <c r="O419" s="99"/>
      <c r="P419" s="99"/>
    </row>
    <row r="420" spans="1:16">
      <c r="A420" s="160" t="s">
        <v>986</v>
      </c>
      <c r="B420" s="41" t="s">
        <v>1607</v>
      </c>
      <c r="C420" s="41" t="s">
        <v>724</v>
      </c>
      <c r="D420" s="94">
        <v>3.4</v>
      </c>
      <c r="E420" s="148">
        <v>-0.187</v>
      </c>
      <c r="F420" s="41" t="s">
        <v>1608</v>
      </c>
      <c r="L420" s="41"/>
      <c r="N420" s="99"/>
      <c r="O420" s="99"/>
      <c r="P420" s="99"/>
    </row>
    <row r="421" spans="1:16">
      <c r="A421" s="160" t="s">
        <v>987</v>
      </c>
      <c r="B421" s="41" t="s">
        <v>1609</v>
      </c>
      <c r="C421" s="41" t="s">
        <v>724</v>
      </c>
      <c r="D421" s="94">
        <v>3.5</v>
      </c>
      <c r="E421" s="148">
        <v>-0.16300000000000001</v>
      </c>
      <c r="F421" s="41" t="s">
        <v>1610</v>
      </c>
      <c r="L421" s="41"/>
      <c r="N421" s="99"/>
      <c r="O421" s="99"/>
      <c r="P421" s="99"/>
    </row>
    <row r="422" spans="1:16">
      <c r="A422" s="160" t="s">
        <v>402</v>
      </c>
      <c r="B422" s="41" t="s">
        <v>659</v>
      </c>
      <c r="C422" s="41" t="s">
        <v>724</v>
      </c>
      <c r="D422" s="94">
        <v>3.6</v>
      </c>
      <c r="E422" s="148">
        <v>-0.13900000000000001</v>
      </c>
      <c r="F422" s="41" t="s">
        <v>1519</v>
      </c>
      <c r="L422" s="41"/>
      <c r="N422" s="99"/>
      <c r="O422" s="99"/>
      <c r="P422" s="99"/>
    </row>
    <row r="423" spans="1:16">
      <c r="A423" s="160" t="s">
        <v>391</v>
      </c>
      <c r="B423" s="41" t="s">
        <v>648</v>
      </c>
      <c r="C423" s="41" t="s">
        <v>724</v>
      </c>
      <c r="D423" s="94">
        <v>3.7</v>
      </c>
      <c r="E423" s="148">
        <v>-0.115</v>
      </c>
      <c r="F423" s="41" t="s">
        <v>1499</v>
      </c>
      <c r="L423" s="41"/>
      <c r="N423" s="99"/>
      <c r="O423" s="99"/>
      <c r="P423" s="99"/>
    </row>
    <row r="424" spans="1:16">
      <c r="A424" s="160" t="s">
        <v>392</v>
      </c>
      <c r="B424" s="41" t="s">
        <v>649</v>
      </c>
      <c r="C424" s="41" t="s">
        <v>724</v>
      </c>
      <c r="D424" s="94">
        <v>3.8</v>
      </c>
      <c r="E424" s="148">
        <v>-9.1999999999999998E-2</v>
      </c>
      <c r="F424" s="41" t="s">
        <v>1500</v>
      </c>
      <c r="L424" s="41"/>
      <c r="N424" s="99"/>
      <c r="O424" s="99"/>
      <c r="P424" s="99"/>
    </row>
    <row r="425" spans="1:16">
      <c r="A425" s="160" t="s">
        <v>393</v>
      </c>
      <c r="B425" s="41" t="s">
        <v>650</v>
      </c>
      <c r="C425" s="41" t="s">
        <v>724</v>
      </c>
      <c r="D425" s="94">
        <v>3.9</v>
      </c>
      <c r="E425" s="148">
        <v>-6.8000000000000005E-2</v>
      </c>
      <c r="F425" s="41" t="s">
        <v>1501</v>
      </c>
      <c r="L425" s="41"/>
      <c r="N425" s="99"/>
      <c r="O425" s="99"/>
      <c r="P425" s="99"/>
    </row>
    <row r="426" spans="1:16">
      <c r="A426" s="160" t="s">
        <v>394</v>
      </c>
      <c r="B426" s="41" t="s">
        <v>651</v>
      </c>
      <c r="C426" s="41" t="s">
        <v>724</v>
      </c>
      <c r="D426" s="94">
        <v>4</v>
      </c>
      <c r="E426" s="148">
        <v>-4.4000000000000004E-2</v>
      </c>
      <c r="F426" s="41" t="s">
        <v>1502</v>
      </c>
      <c r="L426" s="41"/>
      <c r="N426" s="99"/>
      <c r="O426" s="99"/>
      <c r="P426" s="99"/>
    </row>
    <row r="427" spans="1:16">
      <c r="A427" s="160" t="s">
        <v>395</v>
      </c>
      <c r="B427" s="41" t="s">
        <v>652</v>
      </c>
      <c r="C427" s="41" t="s">
        <v>724</v>
      </c>
      <c r="D427" s="94">
        <v>4.0999999999999996</v>
      </c>
      <c r="E427" s="148">
        <v>-0.02</v>
      </c>
      <c r="F427" s="41" t="s">
        <v>1503</v>
      </c>
      <c r="L427" s="41"/>
      <c r="N427" s="99"/>
      <c r="O427" s="99"/>
      <c r="P427" s="99"/>
    </row>
    <row r="428" spans="1:16">
      <c r="A428" s="160" t="s">
        <v>396</v>
      </c>
      <c r="B428" s="41" t="s">
        <v>653</v>
      </c>
      <c r="C428" s="41" t="s">
        <v>724</v>
      </c>
      <c r="D428" s="94">
        <v>4.2</v>
      </c>
      <c r="E428" s="148">
        <v>4.0000000000000001E-3</v>
      </c>
      <c r="F428" s="41" t="s">
        <v>1504</v>
      </c>
      <c r="L428" s="41"/>
      <c r="N428" s="99"/>
      <c r="O428" s="99"/>
      <c r="P428" s="99"/>
    </row>
    <row r="429" spans="1:16">
      <c r="A429" s="160" t="s">
        <v>397</v>
      </c>
      <c r="B429" s="41" t="s">
        <v>654</v>
      </c>
      <c r="C429" s="41" t="s">
        <v>724</v>
      </c>
      <c r="D429" s="94">
        <v>4.3</v>
      </c>
      <c r="E429" s="148">
        <v>2.7999999999999997E-2</v>
      </c>
      <c r="F429" s="41" t="s">
        <v>1505</v>
      </c>
      <c r="L429" s="41"/>
      <c r="N429" s="99"/>
      <c r="O429" s="99"/>
      <c r="P429" s="99"/>
    </row>
    <row r="430" spans="1:16">
      <c r="A430" s="160" t="s">
        <v>398</v>
      </c>
      <c r="B430" s="41" t="s">
        <v>655</v>
      </c>
      <c r="C430" s="41" t="s">
        <v>724</v>
      </c>
      <c r="D430" s="94">
        <v>4.4000000000000004</v>
      </c>
      <c r="E430" s="148">
        <v>5.2000000000000005E-2</v>
      </c>
      <c r="F430" s="41" t="s">
        <v>1506</v>
      </c>
      <c r="L430" s="41"/>
      <c r="N430" s="99"/>
      <c r="O430" s="99"/>
      <c r="P430" s="99"/>
    </row>
    <row r="431" spans="1:16">
      <c r="A431" s="160" t="s">
        <v>399</v>
      </c>
      <c r="B431" s="41" t="s">
        <v>656</v>
      </c>
      <c r="C431" s="41" t="s">
        <v>724</v>
      </c>
      <c r="D431" s="94">
        <v>4.5</v>
      </c>
      <c r="E431" s="148">
        <v>7.5999999999999998E-2</v>
      </c>
      <c r="F431" s="41" t="s">
        <v>770</v>
      </c>
      <c r="L431" s="41"/>
      <c r="N431" s="99"/>
      <c r="O431" s="99"/>
      <c r="P431" s="99"/>
    </row>
    <row r="432" spans="1:16">
      <c r="A432" s="160" t="s">
        <v>945</v>
      </c>
      <c r="B432" s="41" t="s">
        <v>1525</v>
      </c>
      <c r="C432" s="41" t="s">
        <v>724</v>
      </c>
      <c r="D432" s="94">
        <v>4.5999999999999996</v>
      </c>
      <c r="E432" s="148">
        <v>0.1</v>
      </c>
      <c r="F432" s="41" t="s">
        <v>771</v>
      </c>
      <c r="L432" s="41"/>
      <c r="N432" s="99"/>
      <c r="O432" s="99"/>
      <c r="P432" s="99"/>
    </row>
    <row r="433" spans="1:16">
      <c r="A433" s="160" t="s">
        <v>951</v>
      </c>
      <c r="B433" s="41" t="s">
        <v>1535</v>
      </c>
      <c r="C433" s="41" t="s">
        <v>724</v>
      </c>
      <c r="D433" s="94">
        <v>4.7</v>
      </c>
      <c r="E433" s="148">
        <v>0.124</v>
      </c>
      <c r="F433" s="41" t="s">
        <v>1536</v>
      </c>
      <c r="L433" s="41"/>
      <c r="N433" s="99"/>
      <c r="O433" s="99"/>
      <c r="P433" s="99"/>
    </row>
    <row r="434" spans="1:16">
      <c r="A434" s="160" t="s">
        <v>988</v>
      </c>
      <c r="B434" s="41" t="s">
        <v>1611</v>
      </c>
      <c r="C434" s="41" t="s">
        <v>710</v>
      </c>
      <c r="D434" s="94">
        <v>3.3</v>
      </c>
      <c r="E434" s="148">
        <v>-0.21100000000000002</v>
      </c>
      <c r="F434" s="41" t="s">
        <v>1612</v>
      </c>
      <c r="L434" s="41"/>
      <c r="N434" s="99"/>
      <c r="O434" s="99"/>
      <c r="P434" s="99"/>
    </row>
    <row r="435" spans="1:16">
      <c r="A435" s="160" t="s">
        <v>989</v>
      </c>
      <c r="B435" s="41" t="s">
        <v>1613</v>
      </c>
      <c r="C435" s="41" t="s">
        <v>710</v>
      </c>
      <c r="D435" s="94">
        <v>3.4</v>
      </c>
      <c r="E435" s="148">
        <v>-0.187</v>
      </c>
      <c r="F435" s="41" t="s">
        <v>1614</v>
      </c>
      <c r="L435" s="41"/>
      <c r="N435" s="99"/>
      <c r="O435" s="99"/>
      <c r="P435" s="99"/>
    </row>
    <row r="436" spans="1:16">
      <c r="A436" s="160" t="s">
        <v>990</v>
      </c>
      <c r="B436" s="41" t="s">
        <v>1615</v>
      </c>
      <c r="C436" s="41" t="s">
        <v>710</v>
      </c>
      <c r="D436" s="94">
        <v>3.5</v>
      </c>
      <c r="E436" s="148">
        <v>-0.16300000000000001</v>
      </c>
      <c r="F436" s="41" t="s">
        <v>1616</v>
      </c>
      <c r="L436" s="41"/>
      <c r="N436" s="99"/>
      <c r="O436" s="99"/>
      <c r="P436" s="99"/>
    </row>
    <row r="437" spans="1:16">
      <c r="A437" s="160" t="s">
        <v>432</v>
      </c>
      <c r="B437" s="41" t="s">
        <v>689</v>
      </c>
      <c r="C437" s="41" t="s">
        <v>710</v>
      </c>
      <c r="D437" s="94">
        <v>3.6</v>
      </c>
      <c r="E437" s="148">
        <v>-0.13900000000000001</v>
      </c>
      <c r="F437" s="41" t="s">
        <v>1520</v>
      </c>
      <c r="L437" s="41"/>
      <c r="N437" s="99"/>
      <c r="O437" s="99"/>
      <c r="P437" s="99"/>
    </row>
    <row r="438" spans="1:16">
      <c r="A438" s="160" t="s">
        <v>421</v>
      </c>
      <c r="B438" s="41" t="s">
        <v>678</v>
      </c>
      <c r="C438" s="41" t="s">
        <v>710</v>
      </c>
      <c r="D438" s="94">
        <v>3.7</v>
      </c>
      <c r="E438" s="148">
        <v>-0.115</v>
      </c>
      <c r="F438" s="41" t="s">
        <v>1507</v>
      </c>
      <c r="L438" s="41"/>
      <c r="N438" s="99"/>
      <c r="O438" s="99"/>
      <c r="P438" s="99"/>
    </row>
    <row r="439" spans="1:16">
      <c r="A439" s="160" t="s">
        <v>422</v>
      </c>
      <c r="B439" s="41" t="s">
        <v>679</v>
      </c>
      <c r="C439" s="41" t="s">
        <v>710</v>
      </c>
      <c r="D439" s="94">
        <v>3.8</v>
      </c>
      <c r="E439" s="148">
        <v>-9.1999999999999998E-2</v>
      </c>
      <c r="F439" s="41" t="s">
        <v>1508</v>
      </c>
      <c r="L439" s="41"/>
      <c r="N439" s="99"/>
      <c r="O439" s="99"/>
      <c r="P439" s="99"/>
    </row>
    <row r="440" spans="1:16">
      <c r="A440" s="160" t="s">
        <v>423</v>
      </c>
      <c r="B440" s="41" t="s">
        <v>680</v>
      </c>
      <c r="C440" s="41" t="s">
        <v>710</v>
      </c>
      <c r="D440" s="94">
        <v>3.9</v>
      </c>
      <c r="E440" s="148">
        <v>-6.8000000000000005E-2</v>
      </c>
      <c r="F440" s="41" t="s">
        <v>1509</v>
      </c>
      <c r="L440" s="41"/>
      <c r="N440" s="99"/>
      <c r="O440" s="99"/>
      <c r="P440" s="99"/>
    </row>
    <row r="441" spans="1:16">
      <c r="A441" s="160" t="s">
        <v>424</v>
      </c>
      <c r="B441" s="41" t="s">
        <v>681</v>
      </c>
      <c r="C441" s="41" t="s">
        <v>710</v>
      </c>
      <c r="D441" s="94">
        <v>4</v>
      </c>
      <c r="E441" s="148">
        <v>-4.4000000000000004E-2</v>
      </c>
      <c r="F441" s="41" t="s">
        <v>1510</v>
      </c>
      <c r="L441" s="41"/>
      <c r="N441" s="99"/>
      <c r="O441" s="99"/>
      <c r="P441" s="99"/>
    </row>
    <row r="442" spans="1:16">
      <c r="A442" s="160" t="s">
        <v>425</v>
      </c>
      <c r="B442" s="41" t="s">
        <v>682</v>
      </c>
      <c r="C442" s="41" t="s">
        <v>710</v>
      </c>
      <c r="D442" s="94">
        <v>4.0999999999999996</v>
      </c>
      <c r="E442" s="148">
        <v>-0.02</v>
      </c>
      <c r="F442" s="41" t="s">
        <v>1511</v>
      </c>
      <c r="L442" s="41"/>
      <c r="N442" s="99"/>
      <c r="O442" s="99"/>
      <c r="P442" s="99"/>
    </row>
    <row r="443" spans="1:16">
      <c r="A443" s="160" t="s">
        <v>426</v>
      </c>
      <c r="B443" s="41" t="s">
        <v>683</v>
      </c>
      <c r="C443" s="41" t="s">
        <v>710</v>
      </c>
      <c r="D443" s="94">
        <v>4.2</v>
      </c>
      <c r="E443" s="148">
        <v>4.0000000000000001E-3</v>
      </c>
      <c r="F443" s="41" t="s">
        <v>1512</v>
      </c>
      <c r="L443" s="41"/>
      <c r="N443" s="99"/>
      <c r="O443" s="99"/>
      <c r="P443" s="99"/>
    </row>
    <row r="444" spans="1:16">
      <c r="A444" s="160" t="s">
        <v>427</v>
      </c>
      <c r="B444" s="41" t="s">
        <v>684</v>
      </c>
      <c r="C444" s="41" t="s">
        <v>710</v>
      </c>
      <c r="D444" s="94">
        <v>4.3</v>
      </c>
      <c r="E444" s="148">
        <v>2.7999999999999997E-2</v>
      </c>
      <c r="F444" s="41" t="s">
        <v>1513</v>
      </c>
      <c r="L444" s="41"/>
      <c r="N444" s="99"/>
      <c r="O444" s="99"/>
      <c r="P444" s="99"/>
    </row>
    <row r="445" spans="1:16">
      <c r="A445" s="160" t="s">
        <v>428</v>
      </c>
      <c r="B445" s="41" t="s">
        <v>685</v>
      </c>
      <c r="C445" s="41" t="s">
        <v>710</v>
      </c>
      <c r="D445" s="94">
        <v>4.4000000000000004</v>
      </c>
      <c r="E445" s="148">
        <v>5.2000000000000005E-2</v>
      </c>
      <c r="F445" s="41" t="s">
        <v>1514</v>
      </c>
      <c r="L445" s="41"/>
      <c r="N445" s="99"/>
      <c r="O445" s="99"/>
      <c r="P445" s="99"/>
    </row>
    <row r="446" spans="1:16">
      <c r="A446" s="160" t="s">
        <v>429</v>
      </c>
      <c r="B446" s="41" t="s">
        <v>686</v>
      </c>
      <c r="C446" s="41" t="s">
        <v>710</v>
      </c>
      <c r="D446" s="94">
        <v>4.5</v>
      </c>
      <c r="E446" s="148">
        <v>7.5999999999999998E-2</v>
      </c>
      <c r="F446" s="41" t="s">
        <v>776</v>
      </c>
      <c r="L446" s="41"/>
      <c r="N446" s="99"/>
      <c r="O446" s="99"/>
      <c r="P446" s="99"/>
    </row>
    <row r="447" spans="1:16">
      <c r="A447" s="160" t="s">
        <v>946</v>
      </c>
      <c r="B447" s="41" t="s">
        <v>1526</v>
      </c>
      <c r="C447" s="41" t="s">
        <v>710</v>
      </c>
      <c r="D447" s="94">
        <v>4.5999999999999996</v>
      </c>
      <c r="E447" s="148">
        <v>0.1</v>
      </c>
      <c r="F447" s="41" t="s">
        <v>777</v>
      </c>
      <c r="L447" s="41"/>
      <c r="N447" s="99"/>
      <c r="O447" s="99"/>
      <c r="P447" s="99"/>
    </row>
    <row r="448" spans="1:16">
      <c r="A448" s="160" t="s">
        <v>952</v>
      </c>
      <c r="B448" s="41" t="s">
        <v>1537</v>
      </c>
      <c r="C448" s="41" t="s">
        <v>710</v>
      </c>
      <c r="D448" s="94">
        <v>4.7</v>
      </c>
      <c r="E448" s="148">
        <v>0.124</v>
      </c>
      <c r="F448" s="41" t="s">
        <v>1538</v>
      </c>
      <c r="L448" s="41"/>
      <c r="N448" s="99"/>
      <c r="O448" s="99"/>
      <c r="P448" s="99"/>
    </row>
    <row r="449" spans="1:16">
      <c r="A449" s="160" t="s">
        <v>991</v>
      </c>
      <c r="B449" s="41" t="s">
        <v>1617</v>
      </c>
      <c r="C449" s="41" t="s">
        <v>1540</v>
      </c>
      <c r="D449" s="94">
        <v>3.3</v>
      </c>
      <c r="E449" s="148">
        <v>-0.21100000000000002</v>
      </c>
      <c r="F449" s="41" t="s">
        <v>1618</v>
      </c>
      <c r="L449" s="41"/>
      <c r="N449" s="99"/>
      <c r="O449" s="99"/>
      <c r="P449" s="99"/>
    </row>
    <row r="450" spans="1:16">
      <c r="A450" s="160" t="s">
        <v>992</v>
      </c>
      <c r="B450" s="41" t="s">
        <v>1619</v>
      </c>
      <c r="C450" s="41" t="s">
        <v>1540</v>
      </c>
      <c r="D450" s="94">
        <v>3.4</v>
      </c>
      <c r="E450" s="148">
        <v>-0.187</v>
      </c>
      <c r="F450" s="41" t="s">
        <v>1620</v>
      </c>
      <c r="L450" s="41"/>
      <c r="N450" s="99"/>
      <c r="O450" s="99"/>
      <c r="P450" s="99"/>
    </row>
    <row r="451" spans="1:16">
      <c r="A451" s="160" t="s">
        <v>993</v>
      </c>
      <c r="B451" s="41" t="s">
        <v>1621</v>
      </c>
      <c r="C451" s="41" t="s">
        <v>1540</v>
      </c>
      <c r="D451" s="94">
        <v>3.5</v>
      </c>
      <c r="E451" s="148">
        <v>-0.16300000000000001</v>
      </c>
      <c r="F451" s="41" t="s">
        <v>1622</v>
      </c>
      <c r="L451" s="41"/>
      <c r="N451" s="99"/>
      <c r="O451" s="99"/>
      <c r="P451" s="99"/>
    </row>
    <row r="452" spans="1:16">
      <c r="A452" s="160" t="s">
        <v>994</v>
      </c>
      <c r="B452" s="41" t="s">
        <v>1623</v>
      </c>
      <c r="C452" s="41" t="s">
        <v>1540</v>
      </c>
      <c r="D452" s="94">
        <v>3.6</v>
      </c>
      <c r="E452" s="148">
        <v>-0.13900000000000001</v>
      </c>
      <c r="F452" s="41" t="s">
        <v>1624</v>
      </c>
      <c r="L452" s="41"/>
      <c r="N452" s="99"/>
      <c r="O452" s="99"/>
      <c r="P452" s="99"/>
    </row>
    <row r="453" spans="1:16">
      <c r="A453" s="160" t="s">
        <v>971</v>
      </c>
      <c r="B453" s="41" t="s">
        <v>1577</v>
      </c>
      <c r="C453" s="41" t="s">
        <v>1540</v>
      </c>
      <c r="D453" s="94">
        <v>3.7</v>
      </c>
      <c r="E453" s="148">
        <v>-0.115</v>
      </c>
      <c r="F453" s="41" t="s">
        <v>1578</v>
      </c>
      <c r="L453" s="41"/>
      <c r="N453" s="99"/>
      <c r="O453" s="99"/>
      <c r="P453" s="99"/>
    </row>
    <row r="454" spans="1:16">
      <c r="A454" s="160" t="s">
        <v>953</v>
      </c>
      <c r="B454" s="41" t="s">
        <v>1539</v>
      </c>
      <c r="C454" s="41" t="s">
        <v>1540</v>
      </c>
      <c r="D454" s="94">
        <v>3.8</v>
      </c>
      <c r="E454" s="148">
        <v>-9.1999999999999998E-2</v>
      </c>
      <c r="F454" s="41" t="s">
        <v>1541</v>
      </c>
      <c r="L454" s="41"/>
      <c r="N454" s="99"/>
      <c r="O454" s="99"/>
      <c r="P454" s="99"/>
    </row>
    <row r="455" spans="1:16">
      <c r="A455" s="160" t="s">
        <v>954</v>
      </c>
      <c r="B455" s="41" t="s">
        <v>1542</v>
      </c>
      <c r="C455" s="41" t="s">
        <v>1540</v>
      </c>
      <c r="D455" s="94">
        <v>3.9</v>
      </c>
      <c r="E455" s="148">
        <v>-6.8000000000000005E-2</v>
      </c>
      <c r="F455" s="41" t="s">
        <v>1543</v>
      </c>
      <c r="L455" s="41"/>
      <c r="N455" s="99"/>
      <c r="O455" s="99"/>
      <c r="P455" s="99"/>
    </row>
    <row r="456" spans="1:16">
      <c r="A456" s="160" t="s">
        <v>955</v>
      </c>
      <c r="B456" s="41" t="s">
        <v>1544</v>
      </c>
      <c r="C456" s="41" t="s">
        <v>1540</v>
      </c>
      <c r="D456" s="94">
        <v>4</v>
      </c>
      <c r="E456" s="148">
        <v>-4.4000000000000004E-2</v>
      </c>
      <c r="F456" s="41" t="s">
        <v>1545</v>
      </c>
      <c r="L456" s="41"/>
      <c r="N456" s="99"/>
      <c r="O456" s="99"/>
      <c r="P456" s="99"/>
    </row>
    <row r="457" spans="1:16">
      <c r="A457" s="160" t="s">
        <v>956</v>
      </c>
      <c r="B457" s="41" t="s">
        <v>1546</v>
      </c>
      <c r="C457" s="41" t="s">
        <v>1540</v>
      </c>
      <c r="D457" s="94">
        <v>4.0999999999999996</v>
      </c>
      <c r="E457" s="148">
        <v>-0.02</v>
      </c>
      <c r="F457" s="41" t="s">
        <v>1547</v>
      </c>
      <c r="L457" s="41"/>
      <c r="N457" s="99"/>
      <c r="O457" s="99"/>
      <c r="P457" s="99"/>
    </row>
    <row r="458" spans="1:16">
      <c r="A458" s="160" t="s">
        <v>957</v>
      </c>
      <c r="B458" s="41" t="s">
        <v>1548</v>
      </c>
      <c r="C458" s="41" t="s">
        <v>1540</v>
      </c>
      <c r="D458" s="94">
        <v>4.2</v>
      </c>
      <c r="E458" s="148">
        <v>4.0000000000000001E-3</v>
      </c>
      <c r="F458" s="41" t="s">
        <v>1549</v>
      </c>
      <c r="L458" s="41"/>
      <c r="N458" s="99"/>
      <c r="O458" s="99"/>
      <c r="P458" s="99"/>
    </row>
    <row r="459" spans="1:16">
      <c r="A459" s="160" t="s">
        <v>958</v>
      </c>
      <c r="B459" s="41" t="s">
        <v>1550</v>
      </c>
      <c r="C459" s="41" t="s">
        <v>1540</v>
      </c>
      <c r="D459" s="94">
        <v>4.3</v>
      </c>
      <c r="E459" s="148">
        <v>2.7999999999999997E-2</v>
      </c>
      <c r="F459" s="41" t="s">
        <v>1551</v>
      </c>
      <c r="L459" s="41"/>
      <c r="N459" s="99"/>
      <c r="O459" s="99"/>
      <c r="P459" s="99"/>
    </row>
    <row r="460" spans="1:16">
      <c r="A460" s="160" t="s">
        <v>959</v>
      </c>
      <c r="B460" s="41" t="s">
        <v>1552</v>
      </c>
      <c r="C460" s="41" t="s">
        <v>1540</v>
      </c>
      <c r="D460" s="94">
        <v>4.4000000000000004</v>
      </c>
      <c r="E460" s="148">
        <v>5.2000000000000005E-2</v>
      </c>
      <c r="F460" s="41" t="s">
        <v>1553</v>
      </c>
      <c r="L460" s="41"/>
      <c r="N460" s="99"/>
      <c r="O460" s="99"/>
      <c r="P460" s="99"/>
    </row>
    <row r="461" spans="1:16">
      <c r="A461" s="160" t="s">
        <v>960</v>
      </c>
      <c r="B461" s="41" t="s">
        <v>1554</v>
      </c>
      <c r="C461" s="41" t="s">
        <v>1540</v>
      </c>
      <c r="D461" s="94">
        <v>4.5</v>
      </c>
      <c r="E461" s="148">
        <v>7.5999999999999998E-2</v>
      </c>
      <c r="F461" s="41" t="s">
        <v>1555</v>
      </c>
      <c r="L461" s="41"/>
      <c r="N461" s="99"/>
      <c r="O461" s="99"/>
      <c r="P461" s="99"/>
    </row>
    <row r="462" spans="1:16">
      <c r="A462" s="160" t="s">
        <v>961</v>
      </c>
      <c r="B462" s="41" t="s">
        <v>1556</v>
      </c>
      <c r="C462" s="41" t="s">
        <v>1540</v>
      </c>
      <c r="D462" s="94">
        <v>4.5999999999999996</v>
      </c>
      <c r="E462" s="148">
        <v>0.1</v>
      </c>
      <c r="F462" s="41" t="s">
        <v>1557</v>
      </c>
      <c r="L462" s="41"/>
      <c r="N462" s="99"/>
      <c r="O462" s="99"/>
      <c r="P462" s="99"/>
    </row>
    <row r="463" spans="1:16">
      <c r="A463" s="160" t="s">
        <v>995</v>
      </c>
      <c r="B463" s="41" t="s">
        <v>1625</v>
      </c>
      <c r="C463" s="41" t="s">
        <v>1559</v>
      </c>
      <c r="D463" s="94">
        <v>3.3</v>
      </c>
      <c r="E463" s="148">
        <v>-0.21100000000000002</v>
      </c>
      <c r="F463" s="41" t="s">
        <v>1626</v>
      </c>
      <c r="L463" s="41"/>
      <c r="N463" s="99"/>
      <c r="O463" s="99"/>
      <c r="P463" s="99"/>
    </row>
    <row r="464" spans="1:16">
      <c r="A464" s="160" t="s">
        <v>996</v>
      </c>
      <c r="B464" s="41" t="s">
        <v>1627</v>
      </c>
      <c r="C464" s="41" t="s">
        <v>1559</v>
      </c>
      <c r="D464" s="94">
        <v>3.4</v>
      </c>
      <c r="E464" s="148">
        <v>-0.187</v>
      </c>
      <c r="F464" s="41" t="s">
        <v>1628</v>
      </c>
      <c r="L464" s="41"/>
      <c r="N464" s="99"/>
      <c r="O464" s="99"/>
      <c r="P464" s="99"/>
    </row>
    <row r="465" spans="1:16">
      <c r="A465" s="160" t="s">
        <v>997</v>
      </c>
      <c r="B465" s="41" t="s">
        <v>1629</v>
      </c>
      <c r="C465" s="41" t="s">
        <v>1559</v>
      </c>
      <c r="D465" s="94">
        <v>3.5</v>
      </c>
      <c r="E465" s="148">
        <v>-0.16300000000000001</v>
      </c>
      <c r="F465" s="41" t="s">
        <v>1630</v>
      </c>
      <c r="L465" s="41"/>
      <c r="N465" s="99"/>
      <c r="O465" s="99"/>
      <c r="P465" s="99"/>
    </row>
    <row r="466" spans="1:16">
      <c r="A466" s="160" t="s">
        <v>998</v>
      </c>
      <c r="B466" s="41" t="s">
        <v>1631</v>
      </c>
      <c r="C466" s="41" t="s">
        <v>1559</v>
      </c>
      <c r="D466" s="94">
        <v>3.6</v>
      </c>
      <c r="E466" s="148">
        <v>-0.13900000000000001</v>
      </c>
      <c r="F466" s="41" t="s">
        <v>1632</v>
      </c>
      <c r="L466" s="41"/>
      <c r="N466" s="99"/>
      <c r="O466" s="99"/>
      <c r="P466" s="99"/>
    </row>
    <row r="467" spans="1:16">
      <c r="A467" s="160" t="s">
        <v>972</v>
      </c>
      <c r="B467" s="41" t="s">
        <v>1579</v>
      </c>
      <c r="C467" s="41" t="s">
        <v>1559</v>
      </c>
      <c r="D467" s="94">
        <v>3.7</v>
      </c>
      <c r="E467" s="148">
        <v>-0.115</v>
      </c>
      <c r="F467" s="41" t="s">
        <v>1580</v>
      </c>
      <c r="L467" s="41"/>
      <c r="N467" s="99"/>
      <c r="O467" s="99"/>
      <c r="P467" s="99"/>
    </row>
    <row r="468" spans="1:16">
      <c r="A468" s="160" t="s">
        <v>962</v>
      </c>
      <c r="B468" s="41" t="s">
        <v>1558</v>
      </c>
      <c r="C468" s="41" t="s">
        <v>1559</v>
      </c>
      <c r="D468" s="94">
        <v>3.8</v>
      </c>
      <c r="E468" s="148">
        <v>-9.1999999999999998E-2</v>
      </c>
      <c r="F468" s="41" t="s">
        <v>1560</v>
      </c>
      <c r="L468" s="41"/>
      <c r="N468" s="99"/>
      <c r="O468" s="99"/>
      <c r="P468" s="99"/>
    </row>
    <row r="469" spans="1:16">
      <c r="A469" s="160" t="s">
        <v>963</v>
      </c>
      <c r="B469" s="41" t="s">
        <v>1561</v>
      </c>
      <c r="C469" s="41" t="s">
        <v>1559</v>
      </c>
      <c r="D469" s="94">
        <v>3.9</v>
      </c>
      <c r="E469" s="148">
        <v>-6.8000000000000005E-2</v>
      </c>
      <c r="F469" s="41" t="s">
        <v>1562</v>
      </c>
      <c r="L469" s="41"/>
      <c r="N469" s="99"/>
      <c r="O469" s="99"/>
      <c r="P469" s="99"/>
    </row>
    <row r="470" spans="1:16">
      <c r="A470" s="160" t="s">
        <v>964</v>
      </c>
      <c r="B470" s="41" t="s">
        <v>1563</v>
      </c>
      <c r="C470" s="41" t="s">
        <v>1559</v>
      </c>
      <c r="D470" s="94">
        <v>4</v>
      </c>
      <c r="E470" s="148">
        <v>-4.4000000000000004E-2</v>
      </c>
      <c r="F470" s="41" t="s">
        <v>1564</v>
      </c>
      <c r="L470" s="41"/>
      <c r="N470" s="99"/>
      <c r="O470" s="99"/>
      <c r="P470" s="99"/>
    </row>
    <row r="471" spans="1:16">
      <c r="A471" s="160" t="s">
        <v>965</v>
      </c>
      <c r="B471" s="41" t="s">
        <v>1565</v>
      </c>
      <c r="C471" s="41" t="s">
        <v>1559</v>
      </c>
      <c r="D471" s="94">
        <v>4.0999999999999996</v>
      </c>
      <c r="E471" s="148">
        <v>-0.02</v>
      </c>
      <c r="F471" s="41" t="s">
        <v>1566</v>
      </c>
      <c r="L471" s="41"/>
      <c r="N471" s="99"/>
      <c r="O471" s="99"/>
      <c r="P471" s="99"/>
    </row>
    <row r="472" spans="1:16">
      <c r="A472" s="160" t="s">
        <v>966</v>
      </c>
      <c r="B472" s="41" t="s">
        <v>1567</v>
      </c>
      <c r="C472" s="41" t="s">
        <v>1559</v>
      </c>
      <c r="D472" s="94">
        <v>4.2</v>
      </c>
      <c r="E472" s="148">
        <v>4.0000000000000001E-3</v>
      </c>
      <c r="F472" s="41" t="s">
        <v>1568</v>
      </c>
      <c r="L472" s="41"/>
      <c r="N472" s="99"/>
      <c r="O472" s="99"/>
      <c r="P472" s="99"/>
    </row>
    <row r="473" spans="1:16">
      <c r="A473" s="160" t="s">
        <v>967</v>
      </c>
      <c r="B473" s="41" t="s">
        <v>1569</v>
      </c>
      <c r="C473" s="41" t="s">
        <v>1559</v>
      </c>
      <c r="D473" s="94">
        <v>4.3</v>
      </c>
      <c r="E473" s="148">
        <v>2.7999999999999997E-2</v>
      </c>
      <c r="F473" s="41" t="s">
        <v>1570</v>
      </c>
      <c r="L473" s="41"/>
      <c r="N473" s="99"/>
      <c r="O473" s="99"/>
      <c r="P473" s="99"/>
    </row>
    <row r="474" spans="1:16">
      <c r="A474" s="160" t="s">
        <v>968</v>
      </c>
      <c r="B474" s="41" t="s">
        <v>1571</v>
      </c>
      <c r="C474" s="41" t="s">
        <v>1559</v>
      </c>
      <c r="D474" s="94">
        <v>4.4000000000000004</v>
      </c>
      <c r="E474" s="148">
        <v>5.2000000000000005E-2</v>
      </c>
      <c r="F474" s="41" t="s">
        <v>1572</v>
      </c>
      <c r="L474" s="41"/>
      <c r="N474" s="99"/>
      <c r="O474" s="99"/>
      <c r="P474" s="99"/>
    </row>
    <row r="475" spans="1:16">
      <c r="A475" s="160" t="s">
        <v>969</v>
      </c>
      <c r="B475" s="41" t="s">
        <v>1573</v>
      </c>
      <c r="C475" s="41" t="s">
        <v>1559</v>
      </c>
      <c r="D475" s="94">
        <v>4.5</v>
      </c>
      <c r="E475" s="148">
        <v>7.5999999999999998E-2</v>
      </c>
      <c r="F475" s="41" t="s">
        <v>1574</v>
      </c>
      <c r="L475" s="41"/>
      <c r="N475" s="99"/>
      <c r="O475" s="99"/>
      <c r="P475" s="99"/>
    </row>
    <row r="476" spans="1:16">
      <c r="A476" s="160" t="s">
        <v>970</v>
      </c>
      <c r="B476" s="41" t="s">
        <v>1575</v>
      </c>
      <c r="C476" s="41" t="s">
        <v>1559</v>
      </c>
      <c r="D476" s="94">
        <v>4.5999999999999996</v>
      </c>
      <c r="E476" s="148">
        <v>0.1</v>
      </c>
      <c r="F476" s="41" t="s">
        <v>1576</v>
      </c>
      <c r="L476" s="41"/>
      <c r="N476" s="99"/>
      <c r="O476" s="99"/>
      <c r="P476" s="99"/>
    </row>
  </sheetData>
  <sortState ref="A9:F476">
    <sortCondition ref="C9:C476"/>
    <sortCondition ref="D9:D476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</vt:lpstr>
      <vt:lpstr>SWHY</vt:lpstr>
      <vt:lpstr>Size</vt:lpstr>
      <vt:lpstr>Option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张峰</dc:creator>
  <cp:lastModifiedBy>pinfuLG</cp:lastModifiedBy>
  <dcterms:created xsi:type="dcterms:W3CDTF">2014-12-09T07:08:57Z</dcterms:created>
  <dcterms:modified xsi:type="dcterms:W3CDTF">2020-04-03T14:15:59Z</dcterms:modified>
</cp:coreProperties>
</file>