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codeName="ThisWorkbook" defaultThemeVersion="124226"/>
  <bookViews>
    <workbookView xWindow="24" yWindow="7860" windowWidth="30648" windowHeight="7860"/>
  </bookViews>
  <sheets>
    <sheet name="SSE" sheetId="1" r:id="rId1"/>
    <sheet name="CFE" sheetId="3" r:id="rId2"/>
    <sheet name="Sheet2" sheetId="2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C2" i="1" l="1"/>
  <c r="AG2" i="1"/>
  <c r="AF48" i="3"/>
  <c r="H71" i="3"/>
  <c r="AJ70" i="3"/>
  <c r="AH125" i="3"/>
  <c r="AF49" i="3"/>
  <c r="G79" i="3"/>
  <c r="AH12" i="3"/>
  <c r="I128" i="3"/>
  <c r="AF54" i="3"/>
  <c r="AI115" i="3"/>
  <c r="G90" i="3"/>
  <c r="AJ95" i="3"/>
  <c r="AI93" i="3"/>
  <c r="AF37" i="3"/>
  <c r="AI92" i="3"/>
  <c r="AG120" i="3"/>
  <c r="AH83" i="3"/>
  <c r="H128" i="3"/>
  <c r="AK84" i="3"/>
  <c r="H79" i="3"/>
  <c r="AJ28" i="3"/>
  <c r="AJ46" i="3"/>
  <c r="AJ17" i="3"/>
  <c r="K122" i="3"/>
  <c r="AG64" i="3"/>
  <c r="H95" i="3"/>
  <c r="AK123" i="3"/>
  <c r="J93" i="3"/>
  <c r="AK47" i="3"/>
  <c r="AI68" i="3"/>
  <c r="I114" i="3"/>
  <c r="G72" i="3"/>
  <c r="AH85" i="3"/>
  <c r="AG103" i="3"/>
  <c r="AK9" i="3"/>
  <c r="AJ91" i="3"/>
  <c r="AK12" i="3"/>
  <c r="AI47" i="3"/>
  <c r="AH24" i="3"/>
  <c r="K107" i="3"/>
  <c r="AF29" i="3"/>
  <c r="H117" i="3"/>
  <c r="AK50" i="3"/>
  <c r="AK33" i="3"/>
  <c r="J97" i="3"/>
  <c r="AI63" i="3"/>
  <c r="AH33" i="3"/>
  <c r="K85" i="3"/>
  <c r="AI123" i="3"/>
  <c r="J129" i="3"/>
  <c r="AH27" i="3"/>
  <c r="AI33" i="3"/>
  <c r="AF95" i="3"/>
  <c r="J111" i="3"/>
  <c r="G120" i="3"/>
  <c r="AK120" i="3"/>
  <c r="I76" i="3"/>
  <c r="AF103" i="3"/>
  <c r="AI15" i="3"/>
  <c r="K68" i="3"/>
  <c r="J125" i="3"/>
  <c r="I109" i="3"/>
  <c r="AH70" i="3"/>
  <c r="AH44" i="3"/>
  <c r="AK43" i="3"/>
  <c r="AI9" i="3"/>
  <c r="AG98" i="3"/>
  <c r="AJ82" i="3"/>
  <c r="AI79" i="3"/>
  <c r="AH78" i="3"/>
  <c r="AH25" i="3"/>
  <c r="AG11" i="3"/>
  <c r="AH53" i="3"/>
  <c r="AF72" i="3"/>
  <c r="H94" i="3"/>
  <c r="AJ106" i="3"/>
  <c r="H115" i="3"/>
  <c r="AJ75" i="3"/>
  <c r="AH75" i="3"/>
  <c r="AF118" i="3"/>
  <c r="G128" i="3"/>
  <c r="AI126" i="3"/>
  <c r="AI109" i="3"/>
  <c r="G74" i="3"/>
  <c r="H127" i="3"/>
  <c r="AK57" i="3"/>
  <c r="AI111" i="3"/>
  <c r="AH131" i="3"/>
  <c r="AG124" i="3"/>
  <c r="AK69" i="3"/>
  <c r="AJ42" i="3"/>
  <c r="AH88" i="3"/>
  <c r="G86" i="3"/>
  <c r="AI45" i="3"/>
  <c r="AG29" i="3"/>
  <c r="H130" i="3"/>
  <c r="AH50" i="3"/>
  <c r="H119" i="3"/>
  <c r="J76" i="3"/>
  <c r="J117" i="3"/>
  <c r="G111" i="3"/>
  <c r="AK10" i="3"/>
  <c r="G121" i="3"/>
  <c r="J118" i="3"/>
  <c r="I71" i="3"/>
  <c r="H122" i="3"/>
  <c r="AK110" i="3"/>
  <c r="AK59" i="3"/>
  <c r="H76" i="3"/>
  <c r="AJ97" i="3"/>
  <c r="G71" i="3"/>
  <c r="K93" i="3"/>
  <c r="AK81" i="3"/>
  <c r="AJ102" i="3"/>
  <c r="AI99" i="3"/>
  <c r="AF113" i="3"/>
  <c r="J85" i="3"/>
  <c r="I119" i="3"/>
  <c r="AK91" i="3"/>
  <c r="I118" i="3"/>
  <c r="I130" i="3"/>
  <c r="AH108" i="3"/>
  <c r="AF117" i="3"/>
  <c r="AH7" i="3"/>
  <c r="AK48" i="3"/>
  <c r="AH84" i="3"/>
  <c r="K86" i="3"/>
  <c r="G125" i="3"/>
  <c r="AF57" i="3"/>
  <c r="AJ20" i="3"/>
  <c r="AG122" i="3"/>
  <c r="H116" i="3"/>
  <c r="AF84" i="3"/>
  <c r="AF9" i="3"/>
  <c r="G95" i="3"/>
  <c r="AF112" i="3"/>
  <c r="K73" i="3"/>
  <c r="H85" i="3"/>
  <c r="AJ31" i="3"/>
  <c r="AH113" i="3"/>
  <c r="AH123" i="3"/>
  <c r="AG50" i="3"/>
  <c r="AG117" i="3"/>
  <c r="J100" i="3"/>
  <c r="I69" i="3"/>
  <c r="AI53" i="3"/>
  <c r="J82" i="3"/>
  <c r="AG68" i="3"/>
  <c r="K127" i="3"/>
  <c r="I88" i="3"/>
  <c r="I117" i="3"/>
  <c r="AF67" i="3"/>
  <c r="AK15" i="3"/>
  <c r="I115" i="3"/>
  <c r="AH103" i="3"/>
  <c r="AH41" i="3"/>
  <c r="AJ101" i="3"/>
  <c r="H100" i="3"/>
  <c r="K88" i="3"/>
  <c r="J87" i="3"/>
  <c r="K74" i="3"/>
  <c r="AK129" i="3"/>
  <c r="AI21" i="3"/>
  <c r="AH101" i="3"/>
  <c r="AK115" i="3"/>
  <c r="AG25" i="3"/>
  <c r="AF60" i="3"/>
  <c r="AH122" i="3"/>
  <c r="AI62" i="3"/>
  <c r="AK111" i="3"/>
  <c r="AG18" i="3"/>
  <c r="AG94" i="3"/>
  <c r="G96" i="3"/>
  <c r="AI122" i="3"/>
  <c r="K132" i="3"/>
  <c r="AH15" i="3"/>
  <c r="J112" i="3"/>
  <c r="AI41" i="3"/>
  <c r="I89" i="3"/>
  <c r="AH132" i="3"/>
  <c r="AG109" i="3"/>
  <c r="AF19" i="3"/>
  <c r="AI24" i="3"/>
  <c r="AG82" i="3"/>
  <c r="AI94" i="3"/>
  <c r="AI60" i="3"/>
  <c r="AJ12" i="3"/>
  <c r="AK41" i="3"/>
  <c r="AF68" i="3"/>
  <c r="AH96" i="3"/>
  <c r="AK38" i="3"/>
  <c r="AJ50" i="3"/>
  <c r="G109" i="3"/>
  <c r="H129" i="3"/>
  <c r="J132" i="3"/>
  <c r="AK100" i="3"/>
  <c r="AI107" i="3"/>
  <c r="AG104" i="3"/>
  <c r="AF52" i="3"/>
  <c r="AH68" i="3"/>
  <c r="AI58" i="3"/>
  <c r="AF44" i="3"/>
  <c r="AI76" i="3"/>
  <c r="K80" i="3"/>
  <c r="AK46" i="3"/>
  <c r="AK23" i="3"/>
  <c r="AI74" i="3"/>
  <c r="AI114" i="3"/>
  <c r="AH74" i="3"/>
  <c r="I84" i="3"/>
  <c r="K66" i="3"/>
  <c r="AI35" i="3"/>
  <c r="AK63" i="3"/>
  <c r="AH77" i="3"/>
  <c r="G116" i="3"/>
  <c r="AK103" i="3"/>
  <c r="G97" i="3"/>
  <c r="AJ116" i="3"/>
  <c r="AK104" i="3"/>
  <c r="AF101" i="3"/>
  <c r="AK102" i="3"/>
  <c r="AG87" i="3"/>
  <c r="AI52" i="3"/>
  <c r="AH110" i="3"/>
  <c r="AJ13" i="3"/>
  <c r="AG41" i="3"/>
  <c r="AJ130" i="3"/>
  <c r="AH90" i="3"/>
  <c r="H132" i="3"/>
  <c r="K101" i="3"/>
  <c r="G68" i="3"/>
  <c r="AH23" i="3"/>
  <c r="AH119" i="3"/>
  <c r="AF92" i="3"/>
  <c r="I124" i="3"/>
  <c r="K65" i="3"/>
  <c r="I112" i="3"/>
  <c r="G91" i="3"/>
  <c r="AJ108" i="3"/>
  <c r="AI34" i="3"/>
  <c r="AK18" i="3"/>
  <c r="AG76" i="3"/>
  <c r="AF56" i="3"/>
  <c r="AK114" i="3"/>
  <c r="AF11" i="3"/>
  <c r="AG113" i="3"/>
  <c r="I66" i="3"/>
  <c r="I65" i="3"/>
  <c r="AH26" i="3"/>
  <c r="AG40" i="3"/>
  <c r="AG49" i="3"/>
  <c r="AF35" i="3"/>
  <c r="AF80" i="3"/>
  <c r="J119" i="3"/>
  <c r="AG119" i="3"/>
  <c r="I113" i="3"/>
  <c r="AJ7" i="3"/>
  <c r="I90" i="3"/>
  <c r="I97" i="3"/>
  <c r="AG132" i="3"/>
  <c r="AH67" i="3"/>
  <c r="AI31" i="3"/>
  <c r="AJ107" i="3"/>
  <c r="AK95" i="3"/>
  <c r="AK70" i="3"/>
  <c r="AK124" i="3"/>
  <c r="AI51" i="3"/>
  <c r="AJ22" i="3"/>
  <c r="AJ90" i="3"/>
  <c r="AK21" i="3"/>
  <c r="AF12" i="3"/>
  <c r="AH19" i="3"/>
  <c r="J116" i="3"/>
  <c r="AJ74" i="3"/>
  <c r="AH8" i="3"/>
  <c r="AJ59" i="3"/>
  <c r="AF46" i="3"/>
  <c r="H106" i="3"/>
  <c r="AG102" i="3"/>
  <c r="AJ119" i="3"/>
  <c r="AJ44" i="3"/>
  <c r="AH31" i="3"/>
  <c r="AK112" i="3"/>
  <c r="AK56" i="3"/>
  <c r="G123" i="3"/>
  <c r="AF129" i="3"/>
  <c r="I108" i="3"/>
  <c r="AF38" i="3"/>
  <c r="AJ69" i="3"/>
  <c r="AJ11" i="3"/>
  <c r="AK17" i="3"/>
  <c r="H81" i="3"/>
  <c r="G89" i="3"/>
  <c r="AG112" i="3"/>
  <c r="AI78" i="3"/>
  <c r="G94" i="3"/>
  <c r="AI98" i="3"/>
  <c r="AF131" i="3"/>
  <c r="H131" i="3"/>
  <c r="AJ68" i="3"/>
  <c r="AG46" i="3"/>
  <c r="I91" i="3"/>
  <c r="AH102" i="3"/>
  <c r="AJ62" i="3"/>
  <c r="H101" i="3"/>
  <c r="AJ37" i="3"/>
  <c r="K120" i="3"/>
  <c r="I116" i="3"/>
  <c r="AG30" i="3"/>
  <c r="J68" i="3"/>
  <c r="AI103" i="3"/>
  <c r="AF41" i="3"/>
  <c r="AG56" i="3"/>
  <c r="H67" i="3"/>
  <c r="G77" i="3"/>
  <c r="AI18" i="3"/>
  <c r="AJ9" i="3"/>
  <c r="AJ84" i="3"/>
  <c r="AI132" i="3"/>
  <c r="AK127" i="3"/>
  <c r="G102" i="3"/>
  <c r="H68" i="3"/>
  <c r="AF87" i="3"/>
  <c r="AF64" i="3"/>
  <c r="AG33" i="3"/>
  <c r="AG15" i="3"/>
  <c r="AH114" i="3"/>
  <c r="AK11" i="3"/>
  <c r="AG31" i="3"/>
  <c r="AH14" i="3"/>
  <c r="AJ129" i="3"/>
  <c r="K97" i="3"/>
  <c r="AH91" i="3"/>
  <c r="AI102" i="3"/>
  <c r="AF124" i="3"/>
  <c r="AH57" i="3"/>
  <c r="AG35" i="3"/>
  <c r="AH112" i="3"/>
  <c r="AF8" i="3"/>
  <c r="K114" i="3"/>
  <c r="AG79" i="3"/>
  <c r="AI95" i="3"/>
  <c r="AK20" i="3"/>
  <c r="AI55" i="3"/>
  <c r="AI50" i="3"/>
  <c r="I68" i="3"/>
  <c r="G83" i="3"/>
  <c r="J131" i="3"/>
  <c r="AH37" i="3"/>
  <c r="AK83" i="3"/>
  <c r="G131" i="3"/>
  <c r="I93" i="3"/>
  <c r="AF43" i="3"/>
  <c r="AF15" i="3"/>
  <c r="J75" i="3"/>
  <c r="AI71" i="3"/>
  <c r="K84" i="3"/>
  <c r="AI124" i="3"/>
  <c r="G84" i="3"/>
  <c r="AJ24" i="3"/>
  <c r="AF10" i="3"/>
  <c r="AG114" i="3"/>
  <c r="AK78" i="3"/>
  <c r="H110" i="3"/>
  <c r="AF98" i="3"/>
  <c r="AG116" i="3"/>
  <c r="AI23" i="3"/>
  <c r="AI19" i="3"/>
  <c r="AK27" i="3"/>
  <c r="AG42" i="3"/>
  <c r="AF122" i="3"/>
  <c r="AF70" i="3"/>
  <c r="H118" i="3"/>
  <c r="K100" i="3"/>
  <c r="G70" i="3"/>
  <c r="AI69" i="3"/>
  <c r="I101" i="3"/>
  <c r="AK14" i="3"/>
  <c r="AF110" i="3"/>
  <c r="J73" i="3"/>
  <c r="AG130" i="3"/>
  <c r="AJ8" i="3"/>
  <c r="AK36" i="3"/>
  <c r="AJ117" i="3"/>
  <c r="K96" i="3"/>
  <c r="AJ92" i="3"/>
  <c r="AK130" i="3"/>
  <c r="AK39" i="3"/>
  <c r="AF36" i="3"/>
  <c r="AJ120" i="3"/>
  <c r="AK125" i="3"/>
  <c r="AK75" i="3"/>
  <c r="G93" i="3"/>
  <c r="J66" i="3"/>
  <c r="AI54" i="3"/>
  <c r="AH56" i="3"/>
  <c r="I125" i="3"/>
  <c r="AJ40" i="3"/>
  <c r="I104" i="3"/>
  <c r="AI110" i="3"/>
  <c r="AF77" i="3"/>
  <c r="AH20" i="3"/>
  <c r="AF75" i="3"/>
  <c r="AJ29" i="3"/>
  <c r="G110" i="3"/>
  <c r="AK66" i="3"/>
  <c r="AJ66" i="3"/>
  <c r="AI11" i="3"/>
  <c r="AI8" i="3"/>
  <c r="G85" i="3"/>
  <c r="AG123" i="3"/>
  <c r="AF21" i="3"/>
  <c r="AG101" i="3"/>
  <c r="I110" i="3"/>
  <c r="AJ56" i="3"/>
  <c r="AH73" i="3"/>
  <c r="K118" i="3"/>
  <c r="AG71" i="3"/>
  <c r="G118" i="3"/>
  <c r="AI129" i="3"/>
  <c r="AG16" i="3"/>
  <c r="AF114" i="3"/>
  <c r="J71" i="3"/>
  <c r="AI119" i="3"/>
  <c r="J104" i="3"/>
  <c r="K117" i="3"/>
  <c r="AK32" i="3"/>
  <c r="AH95" i="3"/>
  <c r="H120" i="3"/>
  <c r="AJ103" i="3"/>
  <c r="AI10" i="3"/>
  <c r="AK94" i="3"/>
  <c r="AK107" i="3"/>
  <c r="AG129" i="3"/>
  <c r="AH71" i="3"/>
  <c r="AF62" i="3"/>
  <c r="H96" i="3"/>
  <c r="AI118" i="3"/>
  <c r="AF65" i="3"/>
  <c r="AI128" i="3"/>
  <c r="AG69" i="3"/>
  <c r="AK29" i="3"/>
  <c r="AJ51" i="3"/>
  <c r="AG86" i="3"/>
  <c r="AG92" i="3"/>
  <c r="AK79" i="3"/>
  <c r="AH111" i="3"/>
  <c r="AK28" i="3"/>
  <c r="AF88" i="3"/>
  <c r="AK13" i="3"/>
  <c r="AI56" i="3"/>
  <c r="J122" i="3"/>
  <c r="AJ19" i="3"/>
  <c r="AI91" i="3"/>
  <c r="AI131" i="3"/>
  <c r="AJ38" i="3"/>
  <c r="J74" i="3"/>
  <c r="AF96" i="3"/>
  <c r="AH22" i="3"/>
  <c r="I100" i="3"/>
  <c r="AF99" i="3"/>
  <c r="AF66" i="3"/>
  <c r="AK44" i="3"/>
  <c r="AG27" i="3"/>
  <c r="AJ14" i="3"/>
  <c r="AJ63" i="3"/>
  <c r="AJ73" i="3"/>
  <c r="G132" i="3"/>
  <c r="J77" i="3"/>
  <c r="AK26" i="3"/>
  <c r="AK64" i="3"/>
  <c r="I80" i="3"/>
  <c r="AH117" i="3"/>
  <c r="AJ98" i="3"/>
  <c r="K130" i="3"/>
  <c r="I123" i="3"/>
  <c r="AI44" i="3"/>
  <c r="AK67" i="3"/>
  <c r="AF71" i="3"/>
  <c r="H97" i="3"/>
  <c r="AJ27" i="3"/>
  <c r="AJ96" i="3"/>
  <c r="AI106" i="3"/>
  <c r="AG28" i="3"/>
  <c r="I78" i="3"/>
  <c r="AH128" i="3"/>
  <c r="AK52" i="3"/>
  <c r="AK34" i="3"/>
  <c r="AF16" i="3"/>
  <c r="K116" i="3"/>
  <c r="J106" i="3"/>
  <c r="J107" i="3"/>
  <c r="K72" i="3"/>
  <c r="I73" i="3"/>
  <c r="AK8" i="3"/>
  <c r="AF39" i="3"/>
  <c r="AK92" i="3"/>
  <c r="AF79" i="3"/>
  <c r="AJ122" i="3"/>
  <c r="K110" i="3"/>
  <c r="AG19" i="3"/>
  <c r="AI28" i="3"/>
  <c r="AI38" i="3"/>
  <c r="AF30" i="3"/>
  <c r="G113" i="3"/>
  <c r="AJ99" i="3"/>
  <c r="H75" i="3"/>
  <c r="AH80" i="3"/>
  <c r="AF51" i="3"/>
  <c r="AJ45" i="3"/>
  <c r="G82" i="3"/>
  <c r="AG52" i="3"/>
  <c r="AI104" i="3"/>
  <c r="AJ124" i="3"/>
  <c r="AG57" i="3"/>
  <c r="AG106" i="3"/>
  <c r="I103" i="3"/>
  <c r="AG48" i="3"/>
  <c r="H88" i="3"/>
  <c r="AH34" i="3"/>
  <c r="AH46" i="3"/>
  <c r="AJ67" i="3"/>
  <c r="K124" i="3"/>
  <c r="AF81" i="3"/>
  <c r="AI72" i="3"/>
  <c r="AK73" i="3"/>
  <c r="K112" i="3"/>
  <c r="AI80" i="3"/>
  <c r="H125" i="3"/>
  <c r="AH107" i="3"/>
  <c r="AH115" i="3"/>
  <c r="AH16" i="3"/>
  <c r="I111" i="3"/>
  <c r="G130" i="3"/>
  <c r="AH55" i="3"/>
  <c r="G75" i="3"/>
  <c r="AI65" i="3"/>
  <c r="AH36" i="3"/>
  <c r="AH64" i="3"/>
  <c r="AH121" i="3"/>
  <c r="AI113" i="3"/>
  <c r="H66" i="3"/>
  <c r="AH66" i="3"/>
  <c r="J94" i="3"/>
  <c r="AI90" i="3"/>
  <c r="AG121" i="3"/>
  <c r="AI36" i="3"/>
  <c r="AH65" i="3"/>
  <c r="H123" i="3"/>
  <c r="AI17" i="3"/>
  <c r="J124" i="3"/>
  <c r="AI81" i="3"/>
  <c r="AF90" i="3"/>
  <c r="AJ127" i="3"/>
  <c r="AH58" i="3"/>
  <c r="H86" i="3"/>
  <c r="AK58" i="3"/>
  <c r="AF128" i="3"/>
  <c r="AK65" i="3"/>
  <c r="AH124" i="3"/>
  <c r="J90" i="3"/>
  <c r="AJ15" i="3"/>
  <c r="K71" i="3"/>
  <c r="AF53" i="3"/>
  <c r="AK119" i="3"/>
  <c r="AJ87" i="3"/>
  <c r="K87" i="3"/>
  <c r="K125" i="3"/>
  <c r="AJ109" i="3"/>
  <c r="K111" i="3"/>
  <c r="AG17" i="3"/>
  <c r="AK24" i="3"/>
  <c r="AJ53" i="3"/>
  <c r="AG7" i="3"/>
  <c r="K115" i="3"/>
  <c r="J83" i="3"/>
  <c r="AG12" i="3"/>
  <c r="AI37" i="3"/>
  <c r="AG62" i="3"/>
  <c r="AF45" i="3"/>
  <c r="AH9" i="3"/>
  <c r="AJ94" i="3"/>
  <c r="K113" i="3"/>
  <c r="AJ36" i="3"/>
  <c r="I87" i="3"/>
  <c r="AH93" i="3"/>
  <c r="AG126" i="3"/>
  <c r="AG26" i="3"/>
  <c r="AH11" i="3"/>
  <c r="J67" i="3"/>
  <c r="H98" i="3"/>
  <c r="AH72" i="3"/>
  <c r="AK71" i="3"/>
  <c r="J102" i="3"/>
  <c r="AJ43" i="3"/>
  <c r="G114" i="3"/>
  <c r="AH29" i="3"/>
  <c r="AK35" i="3"/>
  <c r="G129" i="3"/>
  <c r="AJ88" i="3"/>
  <c r="K102" i="3"/>
  <c r="AI59" i="3"/>
  <c r="H112" i="3"/>
  <c r="AH86" i="3"/>
  <c r="AJ81" i="3"/>
  <c r="AH38" i="3"/>
  <c r="AF61" i="3"/>
  <c r="H74" i="3"/>
  <c r="AJ76" i="3"/>
  <c r="AK118" i="3"/>
  <c r="AI48" i="3"/>
  <c r="AJ41" i="3"/>
  <c r="AK72" i="3"/>
  <c r="AI40" i="3"/>
  <c r="AK101" i="3"/>
  <c r="AG43" i="3"/>
  <c r="AH87" i="3"/>
  <c r="G108" i="3"/>
  <c r="J89" i="3"/>
  <c r="AJ25" i="3"/>
  <c r="AG97" i="3"/>
  <c r="AK109" i="3"/>
  <c r="AI39" i="3"/>
  <c r="AG39" i="3"/>
  <c r="G106" i="3"/>
  <c r="J130" i="3"/>
  <c r="AF63" i="3"/>
  <c r="AF123" i="3"/>
  <c r="I127" i="3"/>
  <c r="AK45" i="3"/>
  <c r="AI30" i="3"/>
  <c r="AJ131" i="3"/>
  <c r="I92" i="3"/>
  <c r="AI108" i="3"/>
  <c r="K69" i="3"/>
  <c r="H83" i="3"/>
  <c r="J101" i="3"/>
  <c r="AJ121" i="3"/>
  <c r="AK117" i="3"/>
  <c r="AJ47" i="3"/>
  <c r="AG83" i="3"/>
  <c r="AK76" i="3"/>
  <c r="AF126" i="3"/>
  <c r="AF59" i="3"/>
  <c r="AG105" i="3"/>
  <c r="AG99" i="3"/>
  <c r="AK49" i="3"/>
  <c r="AK82" i="3"/>
  <c r="AH13" i="3"/>
  <c r="AJ114" i="3"/>
  <c r="H80" i="3"/>
  <c r="AH62" i="3"/>
  <c r="H73" i="3"/>
  <c r="AG14" i="3"/>
  <c r="AG100" i="3"/>
  <c r="J113" i="3"/>
  <c r="AF14" i="3"/>
  <c r="AK106" i="3"/>
  <c r="G76" i="3"/>
  <c r="G101" i="3"/>
  <c r="AI27" i="3"/>
  <c r="AJ58" i="3"/>
  <c r="AG80" i="3"/>
  <c r="AH43" i="3"/>
  <c r="K70" i="3"/>
  <c r="AG59" i="3"/>
  <c r="AF111" i="3"/>
  <c r="AF18" i="3"/>
  <c r="AI82" i="3"/>
  <c r="K77" i="3"/>
  <c r="AJ64" i="3"/>
  <c r="AF83" i="3"/>
  <c r="AI127" i="3"/>
  <c r="AK108" i="3"/>
  <c r="AF13" i="3"/>
  <c r="AF115" i="3"/>
  <c r="AG115" i="3"/>
  <c r="AG23" i="3"/>
  <c r="I106" i="3"/>
  <c r="AG32" i="3"/>
  <c r="AJ85" i="3"/>
  <c r="AJ123" i="3"/>
  <c r="AJ112" i="3"/>
  <c r="AJ78" i="3"/>
  <c r="I126" i="3"/>
  <c r="H72" i="3"/>
  <c r="AJ34" i="3"/>
  <c r="AK121" i="3"/>
  <c r="AG91" i="3"/>
  <c r="AG73" i="3"/>
  <c r="J98" i="3"/>
  <c r="H78" i="3"/>
  <c r="AI42" i="3"/>
  <c r="AK131" i="3"/>
  <c r="AG44" i="3"/>
  <c r="I79" i="3"/>
  <c r="AK74" i="3"/>
  <c r="H103" i="3"/>
  <c r="K89" i="3"/>
  <c r="AF93" i="3"/>
  <c r="AI64" i="3"/>
  <c r="AF40" i="3"/>
  <c r="AG13" i="3"/>
  <c r="AJ32" i="3"/>
  <c r="G99" i="3"/>
  <c r="AF22" i="3"/>
  <c r="J88" i="3"/>
  <c r="AG55" i="3"/>
  <c r="AI120" i="3"/>
  <c r="K98" i="3"/>
  <c r="I72" i="3"/>
  <c r="G107" i="3"/>
  <c r="J126" i="3"/>
  <c r="I83" i="3"/>
  <c r="AK90" i="3"/>
  <c r="AK16" i="3"/>
  <c r="J99" i="3"/>
  <c r="J70" i="3"/>
  <c r="AK60" i="3"/>
  <c r="AK40" i="3"/>
  <c r="AG89" i="3"/>
  <c r="J120" i="3"/>
  <c r="AF107" i="3"/>
  <c r="H65" i="3"/>
  <c r="AF130" i="3"/>
  <c r="AJ80" i="3"/>
  <c r="K104" i="3"/>
  <c r="AJ23" i="3"/>
  <c r="AH100" i="3"/>
  <c r="AI70" i="3"/>
  <c r="AF85" i="3"/>
  <c r="I102" i="3"/>
  <c r="K95" i="3"/>
  <c r="H93" i="3"/>
  <c r="AH32" i="3"/>
  <c r="AG36" i="3"/>
  <c r="J78" i="3"/>
  <c r="AH42" i="3"/>
  <c r="AG37" i="3"/>
  <c r="I120" i="3"/>
  <c r="AK87" i="3"/>
  <c r="G115" i="3"/>
  <c r="J79" i="3"/>
  <c r="K81" i="3"/>
  <c r="AI73" i="3"/>
  <c r="H114" i="3"/>
  <c r="AK77" i="3"/>
  <c r="AK37" i="3"/>
  <c r="AG127" i="3"/>
  <c r="AI83" i="3"/>
  <c r="AH129" i="3"/>
  <c r="AJ118" i="3"/>
  <c r="AG78" i="3"/>
  <c r="AH63" i="3"/>
  <c r="AH69" i="3"/>
  <c r="G119" i="3"/>
  <c r="AG22" i="3"/>
  <c r="AH54" i="3"/>
  <c r="AH98" i="3"/>
  <c r="I98" i="3"/>
  <c r="AI57" i="3"/>
  <c r="AH28" i="3"/>
  <c r="AK99" i="3"/>
  <c r="AI13" i="3"/>
  <c r="AH60" i="3"/>
  <c r="AK88" i="3"/>
  <c r="AH126" i="3"/>
  <c r="AH45" i="3"/>
  <c r="G73" i="3"/>
  <c r="I96" i="3"/>
  <c r="AI100" i="3"/>
  <c r="AK93" i="3"/>
  <c r="I74" i="3"/>
  <c r="AK30" i="3"/>
  <c r="AH130" i="3"/>
  <c r="H107" i="3"/>
  <c r="AI29" i="3"/>
  <c r="AF23" i="3"/>
  <c r="I107" i="3"/>
  <c r="AI12" i="3"/>
  <c r="H89" i="3"/>
  <c r="AI61" i="3"/>
  <c r="K109" i="3"/>
  <c r="AF32" i="3"/>
  <c r="AH10" i="3"/>
  <c r="AF104" i="3"/>
  <c r="AI66" i="3"/>
  <c r="AI116" i="3"/>
  <c r="AG95" i="3"/>
  <c r="AK113" i="3"/>
  <c r="AJ49" i="3"/>
  <c r="AJ16" i="3"/>
  <c r="AH109" i="3"/>
  <c r="AK62" i="3"/>
  <c r="AK68" i="3"/>
  <c r="AG72" i="3"/>
  <c r="J95" i="3"/>
  <c r="J84" i="3"/>
  <c r="AK42" i="3"/>
  <c r="AI16" i="3"/>
  <c r="H105" i="3"/>
  <c r="AF55" i="3"/>
  <c r="AJ83" i="3"/>
  <c r="I77" i="3"/>
  <c r="AF86" i="3"/>
  <c r="AF74" i="3"/>
  <c r="AG77" i="3"/>
  <c r="J110" i="3"/>
  <c r="AF106" i="3"/>
  <c r="AI88" i="3"/>
  <c r="AG81" i="3"/>
  <c r="AJ77" i="3"/>
  <c r="G104" i="3"/>
  <c r="AI22" i="3"/>
  <c r="AI89" i="3"/>
  <c r="J103" i="3"/>
  <c r="AG10" i="3"/>
  <c r="AK96" i="3"/>
  <c r="AF47" i="3"/>
  <c r="AF31" i="3"/>
  <c r="H108" i="3"/>
  <c r="K94" i="3"/>
  <c r="J65" i="3"/>
  <c r="G122" i="3"/>
  <c r="AF109" i="3"/>
  <c r="AJ48" i="3"/>
  <c r="H104" i="3"/>
  <c r="K126" i="3"/>
  <c r="I70" i="3"/>
  <c r="AF97" i="3"/>
  <c r="J69" i="3"/>
  <c r="I82" i="3"/>
  <c r="AG74" i="3"/>
  <c r="AI112" i="3"/>
  <c r="G78" i="3"/>
  <c r="AI26" i="3"/>
  <c r="AG85" i="3"/>
  <c r="J80" i="3"/>
  <c r="J81" i="3"/>
  <c r="J115" i="3"/>
  <c r="AF78" i="3"/>
  <c r="AG54" i="3"/>
  <c r="AF100" i="3"/>
  <c r="AF102" i="3"/>
  <c r="AH48" i="3"/>
  <c r="G81" i="3"/>
  <c r="AF89" i="3"/>
  <c r="AF127" i="3"/>
  <c r="AG53" i="3"/>
  <c r="AG34" i="3"/>
  <c r="AJ86" i="3"/>
  <c r="I99" i="3"/>
  <c r="AK25" i="3"/>
  <c r="AG75" i="3"/>
  <c r="AH52" i="3"/>
  <c r="AF58" i="3"/>
  <c r="AH51" i="3"/>
  <c r="AG128" i="3"/>
  <c r="J114" i="3"/>
  <c r="K91" i="3"/>
  <c r="G69" i="3"/>
  <c r="AI130" i="3"/>
  <c r="AG24" i="3"/>
  <c r="AH40" i="3"/>
  <c r="I86" i="3"/>
  <c r="K123" i="3"/>
  <c r="AG118" i="3"/>
  <c r="AH59" i="3"/>
  <c r="H121" i="3"/>
  <c r="G88" i="3"/>
  <c r="AJ110" i="3"/>
  <c r="AK85" i="3"/>
  <c r="AH99" i="3"/>
  <c r="AG70" i="3"/>
  <c r="AI32" i="3"/>
  <c r="AF50" i="3"/>
  <c r="AG20" i="3"/>
  <c r="AI43" i="3"/>
  <c r="AF132" i="3"/>
  <c r="AG66" i="3"/>
  <c r="AK61" i="3"/>
  <c r="AG60" i="3"/>
  <c r="AH118" i="3"/>
  <c r="I121" i="3"/>
  <c r="AJ21" i="3"/>
  <c r="K79" i="3"/>
  <c r="AI125" i="3"/>
  <c r="K78" i="3"/>
  <c r="AJ104" i="3"/>
  <c r="AK116" i="3"/>
  <c r="AI105" i="3"/>
  <c r="AG47" i="3"/>
  <c r="AF91" i="3"/>
  <c r="G67" i="3"/>
  <c r="AJ60" i="3"/>
  <c r="AI84" i="3"/>
  <c r="AG125" i="3"/>
  <c r="AF7" i="3"/>
  <c r="AJ52" i="3"/>
  <c r="AJ30" i="3"/>
  <c r="G124" i="3"/>
  <c r="G103" i="3"/>
  <c r="AI14" i="3"/>
  <c r="AK128" i="3"/>
  <c r="K82" i="3"/>
  <c r="AG131" i="3"/>
  <c r="AF25" i="3"/>
  <c r="AI20" i="3"/>
  <c r="AI86" i="3"/>
  <c r="AH18" i="3"/>
  <c r="AG45" i="3"/>
  <c r="K105" i="3"/>
  <c r="H126" i="3"/>
  <c r="AG63" i="3"/>
  <c r="AK89" i="3"/>
  <c r="H90" i="3"/>
  <c r="AF116" i="3"/>
  <c r="AJ18" i="3"/>
  <c r="AJ115" i="3"/>
  <c r="J128" i="3"/>
  <c r="H99" i="3"/>
  <c r="AH76" i="3"/>
  <c r="AH30" i="3"/>
  <c r="AH82" i="3"/>
  <c r="AF125" i="3"/>
  <c r="K99" i="3"/>
  <c r="AH104" i="3"/>
  <c r="AK105" i="3"/>
  <c r="K106" i="3"/>
  <c r="AF73" i="3"/>
  <c r="AK122" i="3"/>
  <c r="AK80" i="3"/>
  <c r="AJ33" i="3"/>
  <c r="H92" i="3"/>
  <c r="AI46" i="3"/>
  <c r="I132" i="3"/>
  <c r="H69" i="3"/>
  <c r="AK19" i="3"/>
  <c r="AG90" i="3"/>
  <c r="G98" i="3"/>
  <c r="AJ125" i="3"/>
  <c r="AH105" i="3"/>
  <c r="AJ39" i="3"/>
  <c r="AH120" i="3"/>
  <c r="K83" i="3"/>
  <c r="AI49" i="3"/>
  <c r="K90" i="3"/>
  <c r="G65" i="3"/>
  <c r="J108" i="3"/>
  <c r="K128" i="3"/>
  <c r="AK54" i="3"/>
  <c r="J127" i="3"/>
  <c r="AK55" i="3"/>
  <c r="H109" i="3"/>
  <c r="J92" i="3"/>
  <c r="G112" i="3"/>
  <c r="AH127" i="3"/>
  <c r="AG67" i="3"/>
  <c r="AH79" i="3"/>
  <c r="H70" i="3"/>
  <c r="AF120" i="3"/>
  <c r="AK22" i="3"/>
  <c r="AF82" i="3"/>
  <c r="K131" i="3"/>
  <c r="AI96" i="3"/>
  <c r="AI85" i="3"/>
  <c r="H84" i="3"/>
  <c r="AH61" i="3"/>
  <c r="AJ105" i="3"/>
  <c r="I75" i="3"/>
  <c r="K121" i="3"/>
  <c r="AH81" i="3"/>
  <c r="G126" i="3"/>
  <c r="I122" i="3"/>
  <c r="J123" i="3"/>
  <c r="H77" i="3"/>
  <c r="AJ89" i="3"/>
  <c r="J105" i="3"/>
  <c r="AK97" i="3"/>
  <c r="AI75" i="3"/>
  <c r="I67" i="3"/>
  <c r="AG107" i="3"/>
  <c r="AJ93" i="3"/>
  <c r="AJ111" i="3"/>
  <c r="H87" i="3"/>
  <c r="AJ128" i="3"/>
  <c r="I81" i="3"/>
  <c r="I85" i="3"/>
  <c r="G80" i="3"/>
  <c r="AI101" i="3"/>
  <c r="AG110" i="3"/>
  <c r="AG96" i="3"/>
  <c r="AH47" i="3"/>
  <c r="AG84" i="3"/>
  <c r="AG111" i="3"/>
  <c r="K75" i="3"/>
  <c r="J86" i="3"/>
  <c r="AI117" i="3"/>
  <c r="AF24" i="3"/>
  <c r="AK53" i="3"/>
  <c r="K103" i="3"/>
  <c r="G105" i="3"/>
  <c r="AG61" i="3"/>
  <c r="K67" i="3"/>
  <c r="H102" i="3"/>
  <c r="AG88" i="3"/>
  <c r="AI87" i="3"/>
  <c r="G117" i="3"/>
  <c r="K119" i="3"/>
  <c r="AF34" i="3"/>
  <c r="AF42" i="3"/>
  <c r="H113" i="3"/>
  <c r="AG51" i="3"/>
  <c r="AK98" i="3"/>
  <c r="I129" i="3"/>
  <c r="AF28" i="3"/>
  <c r="AH106" i="3"/>
  <c r="AI7" i="3"/>
  <c r="AH94" i="3"/>
  <c r="AH49" i="3"/>
  <c r="AI77" i="3"/>
  <c r="AJ71" i="3"/>
  <c r="AH21" i="3"/>
  <c r="AF121" i="3"/>
  <c r="AJ54" i="3"/>
  <c r="AH39" i="3"/>
  <c r="AJ72" i="3"/>
  <c r="AF76" i="3"/>
  <c r="I131" i="3"/>
  <c r="H82" i="3"/>
  <c r="AH92" i="3"/>
  <c r="AJ65" i="3"/>
  <c r="AF27" i="3"/>
  <c r="AG38" i="3"/>
  <c r="AK51" i="3"/>
  <c r="AG93" i="3"/>
  <c r="AF108" i="3"/>
  <c r="AH116" i="3"/>
  <c r="AI67" i="3"/>
  <c r="J109" i="3"/>
  <c r="K129" i="3"/>
  <c r="J121" i="3"/>
  <c r="K92" i="3"/>
  <c r="AJ55" i="3"/>
  <c r="AJ100" i="3"/>
  <c r="AK132" i="3"/>
  <c r="AG8" i="3"/>
  <c r="AJ26" i="3"/>
  <c r="K76" i="3"/>
  <c r="J96" i="3"/>
  <c r="J72" i="3"/>
  <c r="AF33" i="3"/>
  <c r="AJ57" i="3"/>
  <c r="AF94" i="3"/>
  <c r="AJ132" i="3"/>
  <c r="AH97" i="3"/>
  <c r="AF105" i="3"/>
  <c r="H124" i="3"/>
  <c r="AG9" i="3"/>
  <c r="H91" i="3"/>
  <c r="AF69" i="3"/>
  <c r="I94" i="3"/>
  <c r="AJ35" i="3"/>
  <c r="AF119" i="3"/>
  <c r="J91" i="3"/>
  <c r="AH35" i="3"/>
  <c r="G100" i="3"/>
  <c r="H111" i="3"/>
  <c r="AI121" i="3"/>
  <c r="G92" i="3"/>
  <c r="AI97" i="3"/>
  <c r="AG108" i="3"/>
  <c r="AH17" i="3"/>
  <c r="AG21" i="3"/>
  <c r="AI25" i="3"/>
  <c r="AJ79" i="3"/>
  <c r="G87" i="3"/>
  <c r="AK126" i="3"/>
  <c r="AF17" i="3"/>
  <c r="AK31" i="3"/>
  <c r="AF26" i="3"/>
  <c r="AJ113" i="3"/>
  <c r="I95" i="3"/>
  <c r="I105" i="3"/>
  <c r="AK7" i="3"/>
  <c r="AJ10" i="3"/>
  <c r="AJ126" i="3"/>
  <c r="G127" i="3"/>
  <c r="AF20" i="3"/>
  <c r="AG65" i="3"/>
  <c r="AH89" i="3"/>
  <c r="AK86" i="3"/>
  <c r="AJ61" i="3"/>
  <c r="K108" i="3"/>
  <c r="AG58" i="3"/>
  <c r="G66" i="3"/>
  <c r="C81" i="3"/>
  <c r="AE129" i="3"/>
  <c r="E99" i="3"/>
  <c r="CK63" i="1"/>
  <c r="C112" i="3"/>
  <c r="L103" i="3"/>
  <c r="AE114" i="3"/>
  <c r="AL28" i="3"/>
  <c r="AL11" i="3"/>
  <c r="E81" i="3"/>
  <c r="AL105" i="3"/>
  <c r="D93" i="3"/>
  <c r="L111" i="3"/>
  <c r="D95" i="3"/>
  <c r="AD68" i="3"/>
  <c r="L79" i="3"/>
  <c r="AE132" i="3"/>
  <c r="AD106" i="3"/>
  <c r="AE116" i="3"/>
  <c r="L105" i="3"/>
  <c r="C113" i="3"/>
  <c r="D98" i="3"/>
  <c r="AL43" i="3"/>
  <c r="L95" i="3"/>
  <c r="AC70" i="3"/>
  <c r="AC87" i="3"/>
  <c r="AL93" i="3"/>
  <c r="L72" i="3"/>
  <c r="AC109" i="3"/>
  <c r="AE88" i="3"/>
  <c r="D84" i="3"/>
  <c r="C106" i="3"/>
  <c r="E102" i="3"/>
  <c r="AE105" i="3"/>
  <c r="AE82" i="3"/>
  <c r="AE108" i="3"/>
  <c r="C114" i="3"/>
  <c r="AE86" i="3"/>
  <c r="AL66" i="3"/>
  <c r="L128" i="3"/>
  <c r="AE126" i="3"/>
  <c r="AC85" i="3"/>
  <c r="AC71" i="3"/>
  <c r="AC117" i="3"/>
  <c r="AD130" i="3"/>
  <c r="AL69" i="3"/>
  <c r="AD77" i="3"/>
  <c r="AD115" i="3"/>
  <c r="D111" i="3"/>
  <c r="AD101" i="3"/>
  <c r="AE104" i="3"/>
  <c r="D126" i="3"/>
  <c r="AL22" i="3"/>
  <c r="CK48" i="1"/>
  <c r="C98" i="3"/>
  <c r="D109" i="3"/>
  <c r="CI73" i="1"/>
  <c r="AC106" i="3"/>
  <c r="L125" i="3"/>
  <c r="AD90" i="3"/>
  <c r="AE125" i="3"/>
  <c r="AE123" i="3"/>
  <c r="AC66" i="3"/>
  <c r="AD81" i="3"/>
  <c r="AL109" i="3"/>
  <c r="E65" i="3"/>
  <c r="AC80" i="3"/>
  <c r="AL89" i="3"/>
  <c r="AL122" i="3"/>
  <c r="CI89" i="1"/>
  <c r="E103" i="3"/>
  <c r="L131" i="3"/>
  <c r="AL77" i="3"/>
  <c r="AD125" i="3"/>
  <c r="AD122" i="3"/>
  <c r="C103" i="3"/>
  <c r="D79" i="3"/>
  <c r="C73" i="3"/>
  <c r="E66" i="3"/>
  <c r="AD113" i="3"/>
  <c r="C119" i="3"/>
  <c r="C76" i="3"/>
  <c r="AL24" i="3"/>
  <c r="C92" i="3"/>
  <c r="E87" i="3"/>
  <c r="AL25" i="3"/>
  <c r="AD75" i="3"/>
  <c r="C107" i="3"/>
  <c r="AD100" i="3"/>
  <c r="AE113" i="3"/>
  <c r="AE84" i="3"/>
  <c r="AE83" i="3"/>
  <c r="AL110" i="3"/>
  <c r="AL126" i="3"/>
  <c r="AC128" i="3"/>
  <c r="AD93" i="3"/>
  <c r="E110" i="3"/>
  <c r="L81" i="3"/>
  <c r="AD67" i="3"/>
  <c r="L75" i="3"/>
  <c r="AE91" i="3"/>
  <c r="AD78" i="3"/>
  <c r="E115" i="3"/>
  <c r="D69" i="3"/>
  <c r="E82" i="3"/>
  <c r="AL74" i="3"/>
  <c r="CI31" i="1"/>
  <c r="AL106" i="3"/>
  <c r="L123" i="3"/>
  <c r="AD72" i="3"/>
  <c r="AL44" i="3"/>
  <c r="D108" i="3"/>
  <c r="AC93" i="3"/>
  <c r="AL13" i="3"/>
  <c r="E126" i="3"/>
  <c r="L107" i="3"/>
  <c r="CJ47" i="1"/>
  <c r="AC121" i="3"/>
  <c r="CK47" i="1"/>
  <c r="AC65" i="3"/>
  <c r="E72" i="3"/>
  <c r="AD126" i="3"/>
  <c r="L94" i="3"/>
  <c r="AE111" i="3"/>
  <c r="AL64" i="3"/>
  <c r="AD83" i="3"/>
  <c r="AL39" i="3"/>
  <c r="AL36" i="3"/>
  <c r="AE99" i="3"/>
  <c r="C96" i="3"/>
  <c r="AL124" i="3"/>
  <c r="D125" i="3"/>
  <c r="AL33" i="3"/>
  <c r="AL65" i="3"/>
  <c r="C110" i="3"/>
  <c r="AE93" i="3"/>
  <c r="AC77" i="3"/>
  <c r="L126" i="3"/>
  <c r="AD110" i="3"/>
  <c r="C85" i="3"/>
  <c r="E76" i="3"/>
  <c r="AC130" i="3"/>
  <c r="C78" i="3"/>
  <c r="D101" i="3"/>
  <c r="E89" i="3"/>
  <c r="E86" i="3"/>
  <c r="AC97" i="3"/>
  <c r="C94" i="3"/>
  <c r="AC90" i="3"/>
  <c r="C68" i="3"/>
  <c r="E93" i="3"/>
  <c r="L122" i="3"/>
  <c r="AD94" i="3"/>
  <c r="AL92" i="3"/>
  <c r="D121" i="3"/>
  <c r="AE80" i="3"/>
  <c r="AE102" i="3"/>
  <c r="AE73" i="3"/>
  <c r="AL55" i="3"/>
  <c r="AE127" i="3"/>
  <c r="AL2" i="1"/>
  <c r="AC124" i="3"/>
  <c r="AG2" i="3"/>
  <c r="E95" i="3"/>
  <c r="L78" i="3"/>
  <c r="AL111" i="3"/>
  <c r="AE115" i="3"/>
  <c r="AL47" i="3"/>
  <c r="AE98" i="3"/>
  <c r="AE66" i="3"/>
  <c r="AC113" i="3"/>
  <c r="C118" i="3"/>
  <c r="AE119" i="3"/>
  <c r="C67" i="3"/>
  <c r="L127" i="3"/>
  <c r="AL130" i="3"/>
  <c r="AE81" i="3"/>
  <c r="AD103" i="3"/>
  <c r="AE97" i="3"/>
  <c r="C66" i="3"/>
  <c r="L82" i="3"/>
  <c r="D74" i="3"/>
  <c r="L120" i="3"/>
  <c r="L115" i="3"/>
  <c r="E128" i="3"/>
  <c r="L77" i="3"/>
  <c r="AC123" i="3"/>
  <c r="AC115" i="3"/>
  <c r="AD71" i="3"/>
  <c r="AE69" i="3"/>
  <c r="CK104" i="1"/>
  <c r="C115" i="3"/>
  <c r="C97" i="3"/>
  <c r="AD98" i="3"/>
  <c r="AD87" i="3"/>
  <c r="E123" i="3"/>
  <c r="C129" i="3"/>
  <c r="AL101" i="3"/>
  <c r="AL52" i="3"/>
  <c r="AD76" i="3"/>
  <c r="L87" i="3"/>
  <c r="E90" i="3"/>
  <c r="CI72" i="1"/>
  <c r="L110" i="3"/>
  <c r="AL58" i="3"/>
  <c r="D124" i="3"/>
  <c r="E69" i="3"/>
  <c r="AE76" i="3"/>
  <c r="C128" i="3"/>
  <c r="CJ104" i="1"/>
  <c r="AL102" i="3"/>
  <c r="CI75" i="1"/>
  <c r="AD86" i="3"/>
  <c r="AE124" i="3"/>
  <c r="AC116" i="3"/>
  <c r="CJ6" i="1"/>
  <c r="AC83" i="3"/>
  <c r="AD105" i="3"/>
  <c r="AL119" i="3"/>
  <c r="L102" i="3"/>
  <c r="D110" i="3"/>
  <c r="L96" i="3"/>
  <c r="AE65" i="3"/>
  <c r="L71" i="3"/>
  <c r="C87" i="3"/>
  <c r="L93" i="3"/>
  <c r="C101" i="3"/>
  <c r="D75" i="3"/>
  <c r="D128" i="3"/>
  <c r="AL82" i="3"/>
  <c r="E74" i="3"/>
  <c r="AL132" i="3"/>
  <c r="AE112" i="3"/>
  <c r="AD112" i="3"/>
  <c r="E91" i="3"/>
  <c r="AL107" i="3"/>
  <c r="D77" i="3"/>
  <c r="D103" i="3"/>
  <c r="AD96" i="3"/>
  <c r="D72" i="3"/>
  <c r="D107" i="3"/>
  <c r="AL117" i="3"/>
  <c r="AE92" i="3"/>
  <c r="AE70" i="3"/>
  <c r="E122" i="3"/>
  <c r="AL46" i="3"/>
  <c r="AL128" i="3"/>
  <c r="D96" i="3"/>
  <c r="AL42" i="3"/>
  <c r="C69" i="3"/>
  <c r="C109" i="3"/>
  <c r="E96" i="3"/>
  <c r="CI47" i="1"/>
  <c r="AC69" i="3"/>
  <c r="AD102" i="3"/>
  <c r="AC107" i="3"/>
  <c r="CI48" i="1"/>
  <c r="AL87" i="3"/>
  <c r="AL15" i="3"/>
  <c r="AC67" i="3"/>
  <c r="D127" i="3"/>
  <c r="L118" i="3"/>
  <c r="C122" i="3"/>
  <c r="AD82" i="3"/>
  <c r="AC78" i="3"/>
  <c r="E106" i="3"/>
  <c r="AE118" i="3"/>
  <c r="AE77" i="3"/>
  <c r="D97" i="3"/>
  <c r="AL29" i="3"/>
  <c r="C102" i="3"/>
  <c r="AL94" i="3"/>
  <c r="AC68" i="3"/>
  <c r="AD95" i="3"/>
  <c r="L132" i="3"/>
  <c r="C90" i="3"/>
  <c r="AD69" i="3"/>
  <c r="AE89" i="3"/>
  <c r="D106" i="3"/>
  <c r="D70" i="3"/>
  <c r="AL7" i="3"/>
  <c r="L92" i="3"/>
  <c r="L114" i="3"/>
  <c r="AC110" i="3"/>
  <c r="AL41" i="3"/>
  <c r="AC100" i="3"/>
  <c r="E121" i="3"/>
  <c r="C120" i="3"/>
  <c r="AL48" i="3"/>
  <c r="AD108" i="3"/>
  <c r="E108" i="3"/>
  <c r="L104" i="3"/>
  <c r="C86" i="3"/>
  <c r="AL68" i="3"/>
  <c r="D113" i="3"/>
  <c r="D81" i="3"/>
  <c r="D91" i="3"/>
  <c r="E120" i="3"/>
  <c r="AL86" i="3"/>
  <c r="E109" i="3"/>
  <c r="AC89" i="3"/>
  <c r="C108" i="3"/>
  <c r="E80" i="3"/>
  <c r="AL18" i="3"/>
  <c r="AC125" i="3"/>
  <c r="CK6" i="1"/>
  <c r="L119" i="3"/>
  <c r="AD91" i="3"/>
  <c r="E78" i="3"/>
  <c r="AL103" i="3"/>
  <c r="AL49" i="3"/>
  <c r="AL40" i="3"/>
  <c r="AC95" i="3"/>
  <c r="AL115" i="3"/>
  <c r="CI63" i="1"/>
  <c r="D83" i="3"/>
  <c r="L83" i="3"/>
  <c r="L73" i="3"/>
  <c r="E67" i="3"/>
  <c r="D76" i="3"/>
  <c r="C132" i="3"/>
  <c r="AL116" i="3"/>
  <c r="AE72" i="3"/>
  <c r="D78" i="3"/>
  <c r="AL99" i="3"/>
  <c r="AE101" i="3"/>
  <c r="AD111" i="3"/>
  <c r="E131" i="3"/>
  <c r="AL72" i="3"/>
  <c r="L2" i="1"/>
  <c r="C111" i="3"/>
  <c r="AD99" i="3"/>
  <c r="AL81" i="3"/>
  <c r="AL84" i="3"/>
  <c r="AL80" i="3"/>
  <c r="D67" i="3"/>
  <c r="D73" i="3"/>
  <c r="E85" i="3"/>
  <c r="AD65" i="3"/>
  <c r="D120" i="3"/>
  <c r="L91" i="3"/>
  <c r="E84" i="3"/>
  <c r="AD118" i="3"/>
  <c r="AL37" i="3"/>
  <c r="D82" i="3"/>
  <c r="D102" i="3"/>
  <c r="AL127" i="3"/>
  <c r="L67" i="3"/>
  <c r="E97" i="3"/>
  <c r="AC127" i="3"/>
  <c r="L124" i="3"/>
  <c r="D90" i="3"/>
  <c r="AL59" i="3"/>
  <c r="AL32" i="3"/>
  <c r="AL67" i="3"/>
  <c r="AL96" i="3"/>
  <c r="E117" i="3"/>
  <c r="AC118" i="3"/>
  <c r="AD121" i="3"/>
  <c r="E119" i="3"/>
  <c r="AD85" i="3"/>
  <c r="D130" i="3"/>
  <c r="L100" i="3"/>
  <c r="L86" i="3"/>
  <c r="AL57" i="3"/>
  <c r="AC132" i="3"/>
  <c r="CJ89" i="1"/>
  <c r="AL83" i="3"/>
  <c r="C77" i="3"/>
  <c r="AL8" i="3"/>
  <c r="L74" i="3"/>
  <c r="AE78" i="3"/>
  <c r="AC98" i="3"/>
  <c r="AE109" i="3"/>
  <c r="AL121" i="3"/>
  <c r="AD132" i="3"/>
  <c r="E127" i="3"/>
  <c r="CI105" i="1"/>
  <c r="C74" i="3"/>
  <c r="CJ31" i="1"/>
  <c r="AC81" i="3"/>
  <c r="E111" i="3"/>
  <c r="AD104" i="3"/>
  <c r="AL27" i="3"/>
  <c r="AE87" i="3"/>
  <c r="AE90" i="3"/>
  <c r="AL73" i="3"/>
  <c r="AL34" i="3"/>
  <c r="C82" i="3"/>
  <c r="E113" i="3"/>
  <c r="D104" i="3"/>
  <c r="E112" i="3"/>
  <c r="AL70" i="3"/>
  <c r="E77" i="3"/>
  <c r="AL50" i="3"/>
  <c r="CI6" i="1"/>
  <c r="AC79" i="3"/>
  <c r="E75" i="3"/>
  <c r="D129" i="3"/>
  <c r="C84" i="3"/>
  <c r="AC74" i="3"/>
  <c r="C100" i="3"/>
  <c r="C65" i="3"/>
  <c r="AL113" i="3"/>
  <c r="AL21" i="3"/>
  <c r="AL51" i="3"/>
  <c r="L80" i="3"/>
  <c r="AL123" i="3"/>
  <c r="AE130" i="3"/>
  <c r="L113" i="3"/>
  <c r="AL88" i="3"/>
  <c r="AC84" i="3"/>
  <c r="AE117" i="3"/>
  <c r="AL76" i="3"/>
  <c r="AL129" i="3"/>
  <c r="AC131" i="3"/>
  <c r="D105" i="3"/>
  <c r="C99" i="3"/>
  <c r="E118" i="3"/>
  <c r="E107" i="3"/>
  <c r="AL19" i="3"/>
  <c r="AE96" i="3"/>
  <c r="AD116" i="3"/>
  <c r="D86" i="3"/>
  <c r="AD107" i="3"/>
  <c r="AL114" i="3"/>
  <c r="E94" i="3"/>
  <c r="C88" i="3"/>
  <c r="AL35" i="3"/>
  <c r="AL112" i="3"/>
  <c r="AL30" i="3"/>
  <c r="AC103" i="3"/>
  <c r="AL120" i="3"/>
  <c r="L98" i="3"/>
  <c r="AL16" i="3"/>
  <c r="AE67" i="3"/>
  <c r="AF2" i="1"/>
  <c r="C126" i="3"/>
  <c r="L97" i="3"/>
  <c r="AD97" i="3"/>
  <c r="L109" i="3"/>
  <c r="C95" i="3"/>
  <c r="E116" i="3"/>
  <c r="AL125" i="3"/>
  <c r="AL90" i="3"/>
  <c r="AD79" i="3"/>
  <c r="AL75" i="3"/>
  <c r="AD123" i="3"/>
  <c r="L69" i="3"/>
  <c r="AL78" i="3"/>
  <c r="D85" i="3"/>
  <c r="AD129" i="3"/>
  <c r="E92" i="3"/>
  <c r="AD128" i="3"/>
  <c r="AC104" i="3"/>
  <c r="AL100" i="3"/>
  <c r="AE85" i="3"/>
  <c r="L106" i="3"/>
  <c r="AL12" i="3"/>
  <c r="C131" i="3"/>
  <c r="AD73" i="3"/>
  <c r="AC88" i="3"/>
  <c r="C83" i="3"/>
  <c r="D88" i="3"/>
  <c r="AC122" i="3"/>
  <c r="L90" i="3"/>
  <c r="F2" i="1"/>
  <c r="AD117" i="3"/>
  <c r="AL17" i="3"/>
  <c r="L99" i="3"/>
  <c r="AC99" i="3"/>
  <c r="D116" i="3"/>
  <c r="E71" i="3"/>
  <c r="AC86" i="3"/>
  <c r="AD74" i="3"/>
  <c r="AC82" i="3"/>
  <c r="L121" i="3"/>
  <c r="AC120" i="3"/>
  <c r="R2" i="1"/>
  <c r="C105" i="3"/>
  <c r="AC91" i="3"/>
  <c r="CJ48" i="1"/>
  <c r="C71" i="3"/>
  <c r="D80" i="3"/>
  <c r="D65" i="3"/>
  <c r="E114" i="3"/>
  <c r="AD92" i="3"/>
  <c r="L117" i="3"/>
  <c r="AL131" i="3"/>
  <c r="AC92" i="3"/>
  <c r="AL108" i="3"/>
  <c r="D68" i="3"/>
  <c r="AL38" i="3"/>
  <c r="AC111" i="3"/>
  <c r="E70" i="3"/>
  <c r="D114" i="3"/>
  <c r="AD89" i="3"/>
  <c r="L112" i="3"/>
  <c r="L66" i="3"/>
  <c r="AL91" i="3"/>
  <c r="AD84" i="3"/>
  <c r="D119" i="3"/>
  <c r="CK31" i="1"/>
  <c r="AL10" i="3"/>
  <c r="AC102" i="3"/>
  <c r="L65" i="3"/>
  <c r="AL60" i="3"/>
  <c r="AE94" i="3"/>
  <c r="AL23" i="3"/>
  <c r="AC108" i="3"/>
  <c r="AH3" i="1"/>
  <c r="CK89" i="1"/>
  <c r="AL98" i="3"/>
  <c r="AD66" i="3"/>
  <c r="AL62" i="3"/>
  <c r="C70" i="3"/>
  <c r="L130" i="3"/>
  <c r="AE122" i="3"/>
  <c r="AE106" i="3"/>
  <c r="E83" i="3"/>
  <c r="D132" i="3"/>
  <c r="CI104" i="1"/>
  <c r="AL20" i="3"/>
  <c r="D87" i="3"/>
  <c r="C72" i="3"/>
  <c r="L101" i="3"/>
  <c r="D100" i="3"/>
  <c r="AL97" i="3"/>
  <c r="AC75" i="3"/>
  <c r="AL95" i="3"/>
  <c r="D112" i="3"/>
  <c r="AC101" i="3"/>
  <c r="CJ63" i="1"/>
  <c r="AC76" i="3"/>
  <c r="AC105" i="3"/>
  <c r="AC96" i="3"/>
  <c r="AD124" i="3"/>
  <c r="AC72" i="3"/>
  <c r="L129" i="3"/>
  <c r="AC73" i="3"/>
  <c r="CI71" i="1"/>
  <c r="AL63" i="3"/>
  <c r="AE128" i="3"/>
  <c r="AC112" i="3"/>
  <c r="CI74" i="1"/>
  <c r="G2" i="1"/>
  <c r="AD80" i="3"/>
  <c r="C116" i="3"/>
  <c r="AE110" i="3"/>
  <c r="CK105" i="1"/>
  <c r="AE74" i="3"/>
  <c r="AE79" i="3"/>
  <c r="E129" i="3"/>
  <c r="E73" i="3"/>
  <c r="AC94" i="3"/>
  <c r="D118" i="3"/>
  <c r="C127" i="3"/>
  <c r="AL61" i="3"/>
  <c r="L84" i="3"/>
  <c r="C124" i="3"/>
  <c r="C89" i="3"/>
  <c r="C121" i="3"/>
  <c r="CJ105" i="1"/>
  <c r="AD114" i="3"/>
  <c r="D71" i="3"/>
  <c r="D92" i="3"/>
  <c r="AD70" i="3"/>
  <c r="AL26" i="3"/>
  <c r="D131" i="3"/>
  <c r="E125" i="3"/>
  <c r="E101" i="3"/>
  <c r="AE75" i="3"/>
  <c r="C91" i="3"/>
  <c r="L108" i="3"/>
  <c r="AD119" i="3"/>
  <c r="E104" i="3"/>
  <c r="AL56" i="3"/>
  <c r="AE121" i="3"/>
  <c r="AL9" i="3"/>
  <c r="C104" i="3"/>
  <c r="AE131" i="3"/>
  <c r="D89" i="3"/>
  <c r="D115" i="3"/>
  <c r="AC119" i="3"/>
  <c r="E105" i="3"/>
  <c r="E68" i="3"/>
  <c r="AE107" i="3"/>
  <c r="AL31" i="3"/>
  <c r="AL85" i="3"/>
  <c r="L76" i="3"/>
  <c r="H3" i="1"/>
  <c r="D122" i="3"/>
  <c r="AC126" i="3"/>
  <c r="AE120" i="3"/>
  <c r="L116" i="3"/>
  <c r="AL104" i="3"/>
  <c r="L89" i="3"/>
  <c r="D117" i="3"/>
  <c r="E98" i="3"/>
  <c r="AL54" i="3"/>
  <c r="E100" i="3"/>
  <c r="L68" i="3"/>
  <c r="E124" i="3"/>
  <c r="AL79" i="3"/>
  <c r="E88" i="3"/>
  <c r="D66" i="3"/>
  <c r="E130" i="3"/>
  <c r="E132" i="3"/>
  <c r="C80" i="3"/>
  <c r="AE100" i="3"/>
  <c r="AC129" i="3"/>
  <c r="D123" i="3"/>
  <c r="AC114" i="3"/>
  <c r="C117" i="3"/>
  <c r="E79" i="3"/>
  <c r="L88" i="3"/>
  <c r="C75" i="3"/>
  <c r="AD88" i="3"/>
  <c r="AL45" i="3"/>
  <c r="C123" i="3"/>
  <c r="L70" i="3"/>
  <c r="AD127" i="3"/>
  <c r="C79" i="3"/>
  <c r="AD131" i="3"/>
  <c r="AD109" i="3"/>
  <c r="AL14" i="3"/>
  <c r="AE95" i="3"/>
  <c r="C130" i="3"/>
  <c r="AL53" i="3"/>
  <c r="AE71" i="3"/>
  <c r="AD120" i="3"/>
  <c r="C93" i="3"/>
  <c r="AL71" i="3"/>
  <c r="AL118" i="3"/>
  <c r="L85" i="3"/>
  <c r="C125" i="3"/>
  <c r="D94" i="3"/>
  <c r="AE103" i="3"/>
  <c r="AE68" i="3"/>
  <c r="D99" i="3"/>
  <c r="E2" i="1" l="1"/>
  <c r="AD2" i="1"/>
  <c r="AE2" i="1"/>
  <c r="AR2" i="1"/>
  <c r="AP72" i="3"/>
  <c r="AP79" i="3"/>
  <c r="AP69" i="3"/>
  <c r="AP65" i="3"/>
  <c r="AP74" i="3"/>
  <c r="AP66" i="3"/>
  <c r="AP70" i="3"/>
  <c r="AP77" i="3"/>
  <c r="AP88" i="3"/>
  <c r="N92" i="3"/>
  <c r="AN92" i="3"/>
  <c r="AN98" i="3"/>
  <c r="N98" i="3"/>
  <c r="AP108" i="3"/>
  <c r="AP82" i="3"/>
  <c r="AP87" i="3"/>
  <c r="AN93" i="3"/>
  <c r="N93" i="3"/>
  <c r="AP76" i="3"/>
  <c r="AP81" i="3"/>
  <c r="AN94" i="3"/>
  <c r="N94" i="3"/>
  <c r="AP95" i="3"/>
  <c r="AP97" i="3"/>
  <c r="AN101" i="3"/>
  <c r="N101" i="3"/>
  <c r="AP86" i="3"/>
  <c r="AN95" i="3"/>
  <c r="N95" i="3"/>
  <c r="AN97" i="3"/>
  <c r="N97" i="3"/>
  <c r="AP110" i="3"/>
  <c r="AP75" i="3"/>
  <c r="AP68" i="3"/>
  <c r="AP80" i="3"/>
  <c r="AP85" i="3"/>
  <c r="AN105" i="3"/>
  <c r="N105" i="3"/>
  <c r="AP90" i="3"/>
  <c r="N100" i="3"/>
  <c r="AN100" i="3"/>
  <c r="N104" i="3"/>
  <c r="AN104" i="3"/>
  <c r="AP73" i="3"/>
  <c r="AP84" i="3"/>
  <c r="AP89" i="3"/>
  <c r="AP78" i="3"/>
  <c r="AP83" i="3"/>
  <c r="AP91" i="3"/>
  <c r="AP99" i="3"/>
  <c r="AP112" i="3"/>
  <c r="AP71" i="3"/>
  <c r="AP93" i="3"/>
  <c r="AN99" i="3"/>
  <c r="N99" i="3"/>
  <c r="AN106" i="3"/>
  <c r="N106" i="3"/>
  <c r="AN102" i="3"/>
  <c r="N102" i="3"/>
  <c r="AN103" i="3"/>
  <c r="N103" i="3"/>
  <c r="AN65" i="3"/>
  <c r="N65" i="3"/>
  <c r="AP67" i="3"/>
  <c r="AN91" i="3"/>
  <c r="N91" i="3"/>
  <c r="N96" i="3"/>
  <c r="AN96" i="3"/>
  <c r="AP101" i="3"/>
  <c r="AN109" i="3"/>
  <c r="N109" i="3"/>
  <c r="AP92" i="3"/>
  <c r="AP96" i="3"/>
  <c r="AP100" i="3"/>
  <c r="AN107" i="3"/>
  <c r="N107" i="3"/>
  <c r="AN66" i="3"/>
  <c r="N66" i="3"/>
  <c r="AN67" i="3"/>
  <c r="N67" i="3"/>
  <c r="AN68" i="3"/>
  <c r="N68" i="3"/>
  <c r="AN69" i="3"/>
  <c r="N69" i="3"/>
  <c r="AN70" i="3"/>
  <c r="N70" i="3"/>
  <c r="AN71" i="3"/>
  <c r="N71" i="3"/>
  <c r="AN72" i="3"/>
  <c r="N72" i="3"/>
  <c r="AN73" i="3"/>
  <c r="N73" i="3"/>
  <c r="AN74" i="3"/>
  <c r="N74" i="3"/>
  <c r="AN75" i="3"/>
  <c r="N75" i="3"/>
  <c r="AN76" i="3"/>
  <c r="N76" i="3"/>
  <c r="AN77" i="3"/>
  <c r="N77" i="3"/>
  <c r="AN78" i="3"/>
  <c r="N78" i="3"/>
  <c r="AN79" i="3"/>
  <c r="N79" i="3"/>
  <c r="AN80" i="3"/>
  <c r="N80" i="3"/>
  <c r="AN81" i="3"/>
  <c r="N81" i="3"/>
  <c r="AN82" i="3"/>
  <c r="N82" i="3"/>
  <c r="AN83" i="3"/>
  <c r="N83" i="3"/>
  <c r="AN84" i="3"/>
  <c r="N84" i="3"/>
  <c r="AN85" i="3"/>
  <c r="N85" i="3"/>
  <c r="AN86" i="3"/>
  <c r="N86" i="3"/>
  <c r="AN87" i="3"/>
  <c r="N87" i="3"/>
  <c r="AN88" i="3"/>
  <c r="N88" i="3"/>
  <c r="AN89" i="3"/>
  <c r="N89" i="3"/>
  <c r="AN90" i="3"/>
  <c r="N90" i="3"/>
  <c r="AP94" i="3"/>
  <c r="AP98" i="3"/>
  <c r="AP102" i="3"/>
  <c r="AP109" i="3"/>
  <c r="AP113" i="3"/>
  <c r="AP116" i="3"/>
  <c r="AN117" i="3"/>
  <c r="N117" i="3"/>
  <c r="AN113" i="3"/>
  <c r="N113" i="3"/>
  <c r="AP126" i="3"/>
  <c r="AP131" i="3"/>
  <c r="AP120" i="3"/>
  <c r="AN121" i="3"/>
  <c r="N121" i="3"/>
  <c r="AN108" i="3"/>
  <c r="N108" i="3"/>
  <c r="AN112" i="3"/>
  <c r="N112" i="3"/>
  <c r="AN115" i="3"/>
  <c r="N115" i="3"/>
  <c r="AP129" i="3"/>
  <c r="AP107" i="3"/>
  <c r="AP111" i="3"/>
  <c r="AP124" i="3"/>
  <c r="AN125" i="3"/>
  <c r="N125" i="3"/>
  <c r="AP127" i="3"/>
  <c r="AN111" i="3"/>
  <c r="N111" i="3"/>
  <c r="AP118" i="3"/>
  <c r="AN119" i="3"/>
  <c r="N119" i="3"/>
  <c r="AP114" i="3"/>
  <c r="AP130" i="3"/>
  <c r="AP103" i="3"/>
  <c r="AP104" i="3"/>
  <c r="AP105" i="3"/>
  <c r="AP106" i="3"/>
  <c r="AN110" i="3"/>
  <c r="N110" i="3"/>
  <c r="AN114" i="3"/>
  <c r="N114" i="3"/>
  <c r="AP122" i="3"/>
  <c r="AN123" i="3"/>
  <c r="N123" i="3"/>
  <c r="AP115" i="3"/>
  <c r="AN116" i="3"/>
  <c r="N116" i="3"/>
  <c r="AP119" i="3"/>
  <c r="AN120" i="3"/>
  <c r="N120" i="3"/>
  <c r="AP123" i="3"/>
  <c r="AN124" i="3"/>
  <c r="N124" i="3"/>
  <c r="AP128" i="3"/>
  <c r="AP132" i="3"/>
  <c r="AP117" i="3"/>
  <c r="AN118" i="3"/>
  <c r="N118" i="3"/>
  <c r="AP121" i="3"/>
  <c r="AN122" i="3"/>
  <c r="N122" i="3"/>
  <c r="AP125" i="3"/>
  <c r="AN126" i="3"/>
  <c r="N126" i="3"/>
  <c r="AN127" i="3"/>
  <c r="N127" i="3"/>
  <c r="AN128" i="3"/>
  <c r="N128" i="3"/>
  <c r="AN129" i="3"/>
  <c r="N129" i="3"/>
  <c r="AN130" i="3"/>
  <c r="N130" i="3"/>
  <c r="AN131" i="3"/>
  <c r="N131" i="3"/>
  <c r="AN132" i="3"/>
  <c r="N132" i="3"/>
  <c r="P71" i="3"/>
  <c r="P78" i="3"/>
  <c r="P67" i="3"/>
  <c r="P75" i="3"/>
  <c r="P72" i="3"/>
  <c r="P70" i="3"/>
  <c r="P84" i="3"/>
  <c r="P69" i="3"/>
  <c r="P77" i="3"/>
  <c r="P96" i="3"/>
  <c r="P66" i="3"/>
  <c r="P74" i="3"/>
  <c r="P82" i="3"/>
  <c r="P88" i="3"/>
  <c r="P91" i="3"/>
  <c r="P104" i="3"/>
  <c r="P79" i="3"/>
  <c r="P94" i="3"/>
  <c r="P68" i="3"/>
  <c r="P76" i="3"/>
  <c r="P100" i="3"/>
  <c r="P108" i="3"/>
  <c r="P65" i="3"/>
  <c r="P73" i="3"/>
  <c r="P81" i="3"/>
  <c r="P83" i="3"/>
  <c r="P86" i="3"/>
  <c r="P92" i="3"/>
  <c r="P95" i="3"/>
  <c r="P99" i="3"/>
  <c r="P80" i="3"/>
  <c r="P87" i="3"/>
  <c r="P90" i="3"/>
  <c r="P107" i="3"/>
  <c r="P116" i="3"/>
  <c r="P98" i="3"/>
  <c r="P102" i="3"/>
  <c r="P106" i="3"/>
  <c r="P113" i="3"/>
  <c r="P117" i="3"/>
  <c r="P109" i="3"/>
  <c r="P111" i="3"/>
  <c r="P118" i="3"/>
  <c r="P85" i="3"/>
  <c r="P89" i="3"/>
  <c r="P93" i="3"/>
  <c r="P97" i="3"/>
  <c r="P101" i="3"/>
  <c r="P105" i="3"/>
  <c r="P119" i="3"/>
  <c r="P114" i="3"/>
  <c r="P110" i="3"/>
  <c r="P112" i="3"/>
  <c r="P103" i="3"/>
  <c r="P115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F123" i="3"/>
  <c r="AN7" i="3"/>
  <c r="AN15" i="3"/>
  <c r="AN9" i="3"/>
  <c r="AN17" i="3"/>
  <c r="AN25" i="3"/>
  <c r="AN33" i="3"/>
  <c r="AN41" i="3"/>
  <c r="AN49" i="3"/>
  <c r="AN57" i="3"/>
  <c r="AN22" i="3"/>
  <c r="AN30" i="3"/>
  <c r="AN38" i="3"/>
  <c r="AN46" i="3"/>
  <c r="AN54" i="3"/>
  <c r="AN62" i="3"/>
  <c r="AN14" i="3"/>
  <c r="AN11" i="3"/>
  <c r="AN19" i="3"/>
  <c r="AN27" i="3"/>
  <c r="AN35" i="3"/>
  <c r="AN43" i="3"/>
  <c r="AN51" i="3"/>
  <c r="AN59" i="3"/>
  <c r="AN8" i="3"/>
  <c r="AN16" i="3"/>
  <c r="AN24" i="3"/>
  <c r="AN32" i="3"/>
  <c r="AN40" i="3"/>
  <c r="AN48" i="3"/>
  <c r="AN56" i="3"/>
  <c r="AN64" i="3"/>
  <c r="AN13" i="3"/>
  <c r="AN21" i="3"/>
  <c r="AN29" i="3"/>
  <c r="AN37" i="3"/>
  <c r="AN45" i="3"/>
  <c r="AN53" i="3"/>
  <c r="AN61" i="3"/>
  <c r="AN10" i="3"/>
  <c r="AN18" i="3"/>
  <c r="AN26" i="3"/>
  <c r="AN34" i="3"/>
  <c r="AN42" i="3"/>
  <c r="AN50" i="3"/>
  <c r="AN58" i="3"/>
  <c r="AN23" i="3"/>
  <c r="AN31" i="3"/>
  <c r="AN39" i="3"/>
  <c r="AN47" i="3"/>
  <c r="AN55" i="3"/>
  <c r="AN63" i="3"/>
  <c r="AN12" i="3"/>
  <c r="AN20" i="3"/>
  <c r="AN28" i="3"/>
  <c r="AN36" i="3"/>
  <c r="AN44" i="3"/>
  <c r="AN52" i="3"/>
  <c r="AN60" i="3"/>
  <c r="BY5" i="3"/>
  <c r="BW5" i="3"/>
  <c r="BV5" i="3"/>
  <c r="BU5" i="3"/>
  <c r="BS5" i="3"/>
  <c r="BR5" i="3"/>
  <c r="BP5" i="3"/>
  <c r="BT5" i="3" s="1"/>
  <c r="BL5" i="3"/>
  <c r="BJ5" i="3"/>
  <c r="BI5" i="3"/>
  <c r="BH5" i="3"/>
  <c r="BF5" i="3"/>
  <c r="BE5" i="3"/>
  <c r="BC5" i="3"/>
  <c r="BP3" i="3"/>
  <c r="BC3" i="3"/>
  <c r="BP2" i="3"/>
  <c r="BC2" i="3"/>
  <c r="F67" i="3"/>
  <c r="F93" i="3"/>
  <c r="F69" i="3"/>
  <c r="F129" i="3"/>
  <c r="F118" i="3"/>
  <c r="F100" i="3"/>
  <c r="F119" i="3"/>
  <c r="F115" i="3"/>
  <c r="F98" i="3"/>
  <c r="F91" i="3"/>
  <c r="F121" i="3"/>
  <c r="F108" i="3"/>
  <c r="F130" i="3"/>
  <c r="F79" i="3"/>
  <c r="F68" i="3"/>
  <c r="F124" i="3"/>
  <c r="F126" i="3"/>
  <c r="F110" i="3"/>
  <c r="F112" i="3"/>
  <c r="F81" i="3"/>
  <c r="F127" i="3"/>
  <c r="F125" i="3"/>
  <c r="F92" i="3"/>
  <c r="F109" i="3"/>
  <c r="F87" i="3"/>
  <c r="F80" i="3"/>
  <c r="F131" i="3"/>
  <c r="F70" i="3"/>
  <c r="F120" i="3"/>
  <c r="F86" i="3"/>
  <c r="F77" i="3"/>
  <c r="F76" i="3"/>
  <c r="F73" i="3"/>
  <c r="F105" i="3"/>
  <c r="F96" i="3"/>
  <c r="F102" i="3"/>
  <c r="F97" i="3"/>
  <c r="F111" i="3"/>
  <c r="F84" i="3"/>
  <c r="F122" i="3"/>
  <c r="F106" i="3"/>
  <c r="F83" i="3"/>
  <c r="F94" i="3"/>
  <c r="F95" i="3"/>
  <c r="F117" i="3"/>
  <c r="F103" i="3"/>
  <c r="F78" i="3"/>
  <c r="F72" i="3"/>
  <c r="F85" i="3"/>
  <c r="F107" i="3"/>
  <c r="F65" i="3"/>
  <c r="F88" i="3"/>
  <c r="F104" i="3"/>
  <c r="F75" i="3"/>
  <c r="F113" i="3"/>
  <c r="F89" i="3"/>
  <c r="F99" i="3"/>
  <c r="F114" i="3"/>
  <c r="F128" i="3"/>
  <c r="F82" i="3"/>
  <c r="F132" i="3"/>
  <c r="F101" i="3"/>
  <c r="F74" i="3"/>
  <c r="F116" i="3"/>
  <c r="F66" i="3"/>
  <c r="F90" i="3"/>
  <c r="F71" i="3"/>
  <c r="I55" i="3"/>
  <c r="K23" i="3"/>
  <c r="I32" i="3"/>
  <c r="K24" i="3"/>
  <c r="K41" i="3"/>
  <c r="I41" i="3"/>
  <c r="I63" i="3"/>
  <c r="G55" i="3"/>
  <c r="K21" i="3"/>
  <c r="I6" i="3"/>
  <c r="H12" i="3"/>
  <c r="K63" i="3"/>
  <c r="I21" i="3"/>
  <c r="J56" i="3"/>
  <c r="G25" i="3"/>
  <c r="H54" i="3"/>
  <c r="K59" i="3"/>
  <c r="J23" i="3"/>
  <c r="I44" i="3"/>
  <c r="G61" i="3"/>
  <c r="I40" i="3"/>
  <c r="I9" i="3"/>
  <c r="J41" i="3"/>
  <c r="G56" i="3"/>
  <c r="G53" i="3"/>
  <c r="I25" i="3"/>
  <c r="I42" i="3"/>
  <c r="G34" i="3"/>
  <c r="G9" i="3"/>
  <c r="K16" i="3"/>
  <c r="G19" i="3"/>
  <c r="G16" i="3"/>
  <c r="I18" i="3"/>
  <c r="J30" i="3"/>
  <c r="I61" i="3"/>
  <c r="J9" i="3"/>
  <c r="J45" i="3"/>
  <c r="H39" i="3"/>
  <c r="I17" i="3"/>
  <c r="G44" i="3"/>
  <c r="J42" i="3"/>
  <c r="K30" i="3"/>
  <c r="I14" i="3"/>
  <c r="I58" i="3"/>
  <c r="H50" i="3"/>
  <c r="H21" i="3"/>
  <c r="K48" i="3"/>
  <c r="J39" i="3"/>
  <c r="H7" i="3"/>
  <c r="I19" i="3"/>
  <c r="I49" i="3"/>
  <c r="G46" i="3"/>
  <c r="AH6" i="3"/>
  <c r="J34" i="3"/>
  <c r="G64" i="3"/>
  <c r="G62" i="3"/>
  <c r="J21" i="3"/>
  <c r="I12" i="3"/>
  <c r="G27" i="3"/>
  <c r="K36" i="3"/>
  <c r="K57" i="3"/>
  <c r="J24" i="3"/>
  <c r="G26" i="3"/>
  <c r="I56" i="3"/>
  <c r="H8" i="3"/>
  <c r="J19" i="3"/>
  <c r="J64" i="3"/>
  <c r="J50" i="3"/>
  <c r="K42" i="3"/>
  <c r="I64" i="3"/>
  <c r="H29" i="3"/>
  <c r="J16" i="3"/>
  <c r="K29" i="3"/>
  <c r="G22" i="3"/>
  <c r="G33" i="3"/>
  <c r="I10" i="3"/>
  <c r="G8" i="3"/>
  <c r="I43" i="3"/>
  <c r="G49" i="3"/>
  <c r="I7" i="3"/>
  <c r="G39" i="3"/>
  <c r="H31" i="3"/>
  <c r="H11" i="3"/>
  <c r="I60" i="3"/>
  <c r="G11" i="3"/>
  <c r="G57" i="3"/>
  <c r="J54" i="3"/>
  <c r="I24" i="3"/>
  <c r="H24" i="3"/>
  <c r="J53" i="3"/>
  <c r="I20" i="3"/>
  <c r="J43" i="3"/>
  <c r="H58" i="3"/>
  <c r="K52" i="3"/>
  <c r="H35" i="3"/>
  <c r="G10" i="3"/>
  <c r="J17" i="3"/>
  <c r="G15" i="3"/>
  <c r="I31" i="3"/>
  <c r="I39" i="3"/>
  <c r="J47" i="3"/>
  <c r="J18" i="3"/>
  <c r="H37" i="3"/>
  <c r="G38" i="3"/>
  <c r="I27" i="3"/>
  <c r="G28" i="3"/>
  <c r="J38" i="3"/>
  <c r="G43" i="3"/>
  <c r="H51" i="3"/>
  <c r="G31" i="3"/>
  <c r="G35" i="3"/>
  <c r="H10" i="3"/>
  <c r="G50" i="3"/>
  <c r="G60" i="3"/>
  <c r="AK6" i="3"/>
  <c r="K11" i="3"/>
  <c r="I23" i="3"/>
  <c r="H55" i="3"/>
  <c r="H53" i="3"/>
  <c r="I37" i="3"/>
  <c r="K27" i="3"/>
  <c r="H59" i="3"/>
  <c r="G36" i="3"/>
  <c r="H20" i="3"/>
  <c r="K18" i="3"/>
  <c r="K28" i="3"/>
  <c r="H6" i="3"/>
  <c r="J61" i="3"/>
  <c r="H13" i="3"/>
  <c r="I53" i="3"/>
  <c r="J36" i="3"/>
  <c r="G41" i="3"/>
  <c r="I13" i="3"/>
  <c r="J10" i="3"/>
  <c r="G37" i="3"/>
  <c r="H43" i="3"/>
  <c r="G6" i="3"/>
  <c r="J14" i="3"/>
  <c r="G45" i="3"/>
  <c r="G58" i="3"/>
  <c r="I11" i="3"/>
  <c r="H63" i="3"/>
  <c r="J22" i="3"/>
  <c r="K58" i="3"/>
  <c r="H18" i="3"/>
  <c r="H49" i="3"/>
  <c r="H44" i="3"/>
  <c r="G13" i="3"/>
  <c r="H61" i="3"/>
  <c r="K56" i="3"/>
  <c r="H36" i="3"/>
  <c r="I51" i="3"/>
  <c r="K14" i="3"/>
  <c r="J55" i="3"/>
  <c r="H56" i="3"/>
  <c r="K40" i="3"/>
  <c r="J46" i="3"/>
  <c r="AI6" i="3"/>
  <c r="G40" i="3"/>
  <c r="H16" i="3"/>
  <c r="K55" i="3"/>
  <c r="G32" i="3"/>
  <c r="J58" i="3"/>
  <c r="I46" i="3"/>
  <c r="H23" i="3"/>
  <c r="J59" i="3"/>
  <c r="K50" i="3"/>
  <c r="K6" i="3"/>
  <c r="K34" i="3"/>
  <c r="G12" i="3"/>
  <c r="H64" i="3"/>
  <c r="G18" i="3"/>
  <c r="H32" i="3"/>
  <c r="K7" i="3"/>
  <c r="K37" i="3"/>
  <c r="J62" i="3"/>
  <c r="H9" i="3"/>
  <c r="J12" i="3"/>
  <c r="I50" i="3"/>
  <c r="I29" i="3"/>
  <c r="J29" i="3"/>
  <c r="H34" i="3"/>
  <c r="H52" i="3"/>
  <c r="H27" i="3"/>
  <c r="J33" i="3"/>
  <c r="K44" i="3"/>
  <c r="I48" i="3"/>
  <c r="K51" i="3"/>
  <c r="I36" i="3"/>
  <c r="J35" i="3"/>
  <c r="J51" i="3"/>
  <c r="H28" i="3"/>
  <c r="I33" i="3"/>
  <c r="K15" i="3"/>
  <c r="I34" i="3"/>
  <c r="G54" i="3"/>
  <c r="H33" i="3"/>
  <c r="J25" i="3"/>
  <c r="J26" i="3"/>
  <c r="H47" i="3"/>
  <c r="K38" i="3"/>
  <c r="G23" i="3"/>
  <c r="G47" i="3"/>
  <c r="G20" i="3"/>
  <c r="AF6" i="3"/>
  <c r="AJ6" i="3"/>
  <c r="K60" i="3"/>
  <c r="H19" i="3"/>
  <c r="K53" i="3"/>
  <c r="K35" i="3"/>
  <c r="K62" i="3"/>
  <c r="K12" i="3"/>
  <c r="J37" i="3"/>
  <c r="G42" i="3"/>
  <c r="I54" i="3"/>
  <c r="I15" i="3"/>
  <c r="K9" i="3"/>
  <c r="K64" i="3"/>
  <c r="I57" i="3"/>
  <c r="I45" i="3"/>
  <c r="J13" i="3"/>
  <c r="J44" i="3"/>
  <c r="J20" i="3"/>
  <c r="I47" i="3"/>
  <c r="J32" i="3"/>
  <c r="I22" i="3"/>
  <c r="G30" i="3"/>
  <c r="H14" i="3"/>
  <c r="K45" i="3"/>
  <c r="K25" i="3"/>
  <c r="I26" i="3"/>
  <c r="K20" i="3"/>
  <c r="I8" i="3"/>
  <c r="K46" i="3"/>
  <c r="K39" i="3"/>
  <c r="H38" i="3"/>
  <c r="G63" i="3"/>
  <c r="H46" i="3"/>
  <c r="H30" i="3"/>
  <c r="K10" i="3"/>
  <c r="I35" i="3"/>
  <c r="K47" i="3"/>
  <c r="G24" i="3"/>
  <c r="AG6" i="3"/>
  <c r="J60" i="3"/>
  <c r="K22" i="3"/>
  <c r="J31" i="3"/>
  <c r="H62" i="3"/>
  <c r="J6" i="3"/>
  <c r="H22" i="3"/>
  <c r="J15" i="3"/>
  <c r="H15" i="3"/>
  <c r="H26" i="3"/>
  <c r="G48" i="3"/>
  <c r="I30" i="3"/>
  <c r="J52" i="3"/>
  <c r="K49" i="3"/>
  <c r="J28" i="3"/>
  <c r="J40" i="3"/>
  <c r="J63" i="3"/>
  <c r="H48" i="3"/>
  <c r="K43" i="3"/>
  <c r="K31" i="3"/>
  <c r="I16" i="3"/>
  <c r="K8" i="3"/>
  <c r="J8" i="3"/>
  <c r="G17" i="3"/>
  <c r="J57" i="3"/>
  <c r="K26" i="3"/>
  <c r="K19" i="3"/>
  <c r="J11" i="3"/>
  <c r="I28" i="3"/>
  <c r="G51" i="3"/>
  <c r="I52" i="3"/>
  <c r="G21" i="3"/>
  <c r="H41" i="3"/>
  <c r="I59" i="3"/>
  <c r="K13" i="3"/>
  <c r="H57" i="3"/>
  <c r="I38" i="3"/>
  <c r="H25" i="3"/>
  <c r="K61" i="3"/>
  <c r="H45" i="3"/>
  <c r="H42" i="3"/>
  <c r="G14" i="3"/>
  <c r="G52" i="3"/>
  <c r="J27" i="3"/>
  <c r="G7" i="3"/>
  <c r="I62" i="3"/>
  <c r="K33" i="3"/>
  <c r="K32" i="3"/>
  <c r="H40" i="3"/>
  <c r="G59" i="3"/>
  <c r="J7" i="3"/>
  <c r="H60" i="3"/>
  <c r="J49" i="3"/>
  <c r="K54" i="3"/>
  <c r="K17" i="3"/>
  <c r="G29" i="3"/>
  <c r="J48" i="3"/>
  <c r="H17" i="3"/>
  <c r="H26" i="1"/>
  <c r="J13" i="1"/>
  <c r="I16" i="1"/>
  <c r="G47" i="1"/>
  <c r="J54" i="1"/>
  <c r="AJ36" i="1"/>
  <c r="I50" i="1"/>
  <c r="G46" i="1"/>
  <c r="K24" i="1"/>
  <c r="AI20" i="1"/>
  <c r="AJ44" i="1"/>
  <c r="AG25" i="1"/>
  <c r="H20" i="1"/>
  <c r="I49" i="1"/>
  <c r="K59" i="1"/>
  <c r="G27" i="1"/>
  <c r="H12" i="1"/>
  <c r="AI26" i="1"/>
  <c r="J21" i="1"/>
  <c r="G32" i="1"/>
  <c r="AI29" i="1"/>
  <c r="AI44" i="1"/>
  <c r="AI21" i="1"/>
  <c r="AH28" i="1"/>
  <c r="G60" i="1"/>
  <c r="AG47" i="1"/>
  <c r="K17" i="1"/>
  <c r="K41" i="1"/>
  <c r="J19" i="1"/>
  <c r="G56" i="1"/>
  <c r="J12" i="1"/>
  <c r="AI45" i="1"/>
  <c r="J34" i="1"/>
  <c r="AI59" i="1"/>
  <c r="AJ59" i="1"/>
  <c r="AF45" i="1"/>
  <c r="AF39" i="1"/>
  <c r="AK61" i="1"/>
  <c r="H13" i="1"/>
  <c r="J18" i="1"/>
  <c r="K47" i="1"/>
  <c r="J10" i="1"/>
  <c r="I39" i="1"/>
  <c r="AJ25" i="1"/>
  <c r="AF31" i="1"/>
  <c r="AF35" i="1"/>
  <c r="AH21" i="1"/>
  <c r="I52" i="1"/>
  <c r="AJ35" i="1"/>
  <c r="AF54" i="1"/>
  <c r="AJ20" i="1"/>
  <c r="K11" i="1"/>
  <c r="AJ27" i="1"/>
  <c r="I53" i="1"/>
  <c r="K50" i="1"/>
  <c r="AI31" i="1"/>
  <c r="K42" i="1"/>
  <c r="AI35" i="1"/>
  <c r="G54" i="1"/>
  <c r="AK36" i="1"/>
  <c r="G40" i="1"/>
  <c r="G30" i="1"/>
  <c r="AH25" i="1"/>
  <c r="K7" i="1"/>
  <c r="H45" i="1"/>
  <c r="AJ21" i="1"/>
  <c r="AK44" i="1"/>
  <c r="I15" i="1"/>
  <c r="K31" i="1"/>
  <c r="AK57" i="1"/>
  <c r="AH34" i="1"/>
  <c r="AF42" i="1"/>
  <c r="I33" i="1"/>
  <c r="AH52" i="1"/>
  <c r="K45" i="1"/>
  <c r="G45" i="1"/>
  <c r="J36" i="1"/>
  <c r="J9" i="1"/>
  <c r="AG29" i="1"/>
  <c r="AH27" i="1"/>
  <c r="I26" i="1"/>
  <c r="J37" i="1"/>
  <c r="AJ47" i="1"/>
  <c r="H49" i="1"/>
  <c r="K10" i="1"/>
  <c r="K40" i="1"/>
  <c r="AF46" i="1"/>
  <c r="AJ28" i="1"/>
  <c r="AI53" i="1"/>
  <c r="AJ41" i="1"/>
  <c r="G43" i="1"/>
  <c r="AK24" i="1"/>
  <c r="AF58" i="1"/>
  <c r="AI38" i="1"/>
  <c r="J57" i="1"/>
  <c r="AH35" i="1"/>
  <c r="H7" i="1"/>
  <c r="K36" i="1"/>
  <c r="G62" i="1"/>
  <c r="AH32" i="1"/>
  <c r="AK34" i="1"/>
  <c r="AH48" i="1"/>
  <c r="AF30" i="1"/>
  <c r="H30" i="1"/>
  <c r="I38" i="1"/>
  <c r="AK48" i="1"/>
  <c r="AI43" i="1"/>
  <c r="AF23" i="1"/>
  <c r="AH43" i="1"/>
  <c r="AF32" i="1"/>
  <c r="AH37" i="1"/>
  <c r="AF20" i="1"/>
  <c r="I21" i="1"/>
  <c r="AK33" i="1"/>
  <c r="AH57" i="1"/>
  <c r="AI27" i="1"/>
  <c r="K22" i="1"/>
  <c r="K49" i="1"/>
  <c r="AK60" i="1"/>
  <c r="AI36" i="1"/>
  <c r="I25" i="1"/>
  <c r="AG62" i="1"/>
  <c r="I17" i="1"/>
  <c r="AK39" i="1"/>
  <c r="J56" i="1"/>
  <c r="I23" i="1"/>
  <c r="J28" i="1"/>
  <c r="I56" i="1"/>
  <c r="AJ26" i="1"/>
  <c r="AK40" i="1"/>
  <c r="J17" i="1"/>
  <c r="K13" i="1"/>
  <c r="AG31" i="1"/>
  <c r="AI42" i="1"/>
  <c r="K44" i="1"/>
  <c r="AK62" i="1"/>
  <c r="AH38" i="1"/>
  <c r="K18" i="1"/>
  <c r="AG24" i="1"/>
  <c r="AK53" i="1"/>
  <c r="AJ56" i="1"/>
  <c r="I41" i="1"/>
  <c r="AG58" i="1"/>
  <c r="AG56" i="1"/>
  <c r="AI24" i="1"/>
  <c r="AG59" i="1"/>
  <c r="AG45" i="1"/>
  <c r="H36" i="1"/>
  <c r="AF51" i="1"/>
  <c r="H15" i="1"/>
  <c r="AI47" i="1"/>
  <c r="J33" i="1"/>
  <c r="G7" i="1"/>
  <c r="AF62" i="1"/>
  <c r="AK58" i="1"/>
  <c r="AG51" i="1"/>
  <c r="J24" i="1"/>
  <c r="J61" i="1"/>
  <c r="J60" i="1"/>
  <c r="AH42" i="1"/>
  <c r="H53" i="1"/>
  <c r="I12" i="1"/>
  <c r="AI54" i="1"/>
  <c r="AF44" i="1"/>
  <c r="AF47" i="1"/>
  <c r="AF49" i="1"/>
  <c r="G42" i="1"/>
  <c r="K56" i="1"/>
  <c r="J55" i="1"/>
  <c r="I22" i="1"/>
  <c r="K53" i="1"/>
  <c r="K9" i="1"/>
  <c r="K30" i="1"/>
  <c r="I58" i="1"/>
  <c r="AH30" i="1"/>
  <c r="AK23" i="1"/>
  <c r="AG52" i="1"/>
  <c r="J29" i="1"/>
  <c r="AI41" i="1"/>
  <c r="AJ34" i="1"/>
  <c r="I24" i="1"/>
  <c r="AG26" i="1"/>
  <c r="AJ43" i="1"/>
  <c r="AI55" i="1"/>
  <c r="AJ45" i="1"/>
  <c r="AH20" i="1"/>
  <c r="H60" i="1"/>
  <c r="J49" i="1"/>
  <c r="H14" i="1"/>
  <c r="AK46" i="1"/>
  <c r="AH49" i="1"/>
  <c r="AH54" i="1"/>
  <c r="AH24" i="1"/>
  <c r="K62" i="1"/>
  <c r="G15" i="1"/>
  <c r="AG55" i="1"/>
  <c r="J51" i="1"/>
  <c r="AJ52" i="1"/>
  <c r="AF27" i="1"/>
  <c r="AH58" i="1"/>
  <c r="AJ53" i="1"/>
  <c r="AH33" i="1"/>
  <c r="AH60" i="1"/>
  <c r="I35" i="1"/>
  <c r="AJ37" i="1"/>
  <c r="AH62" i="1"/>
  <c r="AH53" i="1"/>
  <c r="AI39" i="1"/>
  <c r="AG30" i="1"/>
  <c r="AJ31" i="1"/>
  <c r="AK35" i="1"/>
  <c r="K35" i="1"/>
  <c r="G34" i="1"/>
  <c r="H33" i="1"/>
  <c r="G37" i="1"/>
  <c r="G41" i="1"/>
  <c r="AJ50" i="1"/>
  <c r="H59" i="1"/>
  <c r="AF43" i="1"/>
  <c r="H35" i="1"/>
  <c r="G55" i="1"/>
  <c r="H48" i="1"/>
  <c r="K28" i="1"/>
  <c r="J39" i="1"/>
  <c r="AI62" i="1"/>
  <c r="I60" i="1"/>
  <c r="H10" i="1"/>
  <c r="G49" i="1"/>
  <c r="I45" i="1"/>
  <c r="AJ48" i="1"/>
  <c r="G58" i="1"/>
  <c r="AF59" i="1"/>
  <c r="AH47" i="1"/>
  <c r="AK56" i="1"/>
  <c r="J45" i="1"/>
  <c r="AK50" i="1"/>
  <c r="AG32" i="1"/>
  <c r="I47" i="1"/>
  <c r="H11" i="1"/>
  <c r="K16" i="1"/>
  <c r="K46" i="1"/>
  <c r="I34" i="1"/>
  <c r="H39" i="1"/>
  <c r="AF37" i="1"/>
  <c r="AG50" i="1"/>
  <c r="I42" i="1"/>
  <c r="K48" i="1"/>
  <c r="H56" i="1"/>
  <c r="AJ42" i="1"/>
  <c r="AK32" i="1"/>
  <c r="AH22" i="1"/>
  <c r="AG28" i="1"/>
  <c r="H34" i="1"/>
  <c r="AI30" i="1"/>
  <c r="H57" i="1"/>
  <c r="J30" i="1"/>
  <c r="J11" i="1"/>
  <c r="AF60" i="1"/>
  <c r="G22" i="1"/>
  <c r="AI57" i="1"/>
  <c r="I13" i="1"/>
  <c r="K34" i="1"/>
  <c r="J7" i="1"/>
  <c r="I29" i="1"/>
  <c r="AK22" i="1"/>
  <c r="AG60" i="1"/>
  <c r="AI58" i="1"/>
  <c r="AJ60" i="1"/>
  <c r="AK42" i="1"/>
  <c r="G52" i="1"/>
  <c r="AJ40" i="1"/>
  <c r="K32" i="1"/>
  <c r="AK38" i="1"/>
  <c r="AG20" i="1"/>
  <c r="H44" i="1"/>
  <c r="AH46" i="1"/>
  <c r="I59" i="1"/>
  <c r="H37" i="1"/>
  <c r="AI23" i="1"/>
  <c r="I7" i="1"/>
  <c r="AG57" i="1"/>
  <c r="AJ49" i="1"/>
  <c r="AK31" i="1"/>
  <c r="AI28" i="1"/>
  <c r="K12" i="1"/>
  <c r="K51" i="1"/>
  <c r="AF28" i="1"/>
  <c r="H41" i="1"/>
  <c r="AG23" i="1"/>
  <c r="H40" i="1"/>
  <c r="I54" i="1"/>
  <c r="AG34" i="1"/>
  <c r="J40" i="1"/>
  <c r="I10" i="1"/>
  <c r="J20" i="1"/>
  <c r="G31" i="1"/>
  <c r="H42" i="1"/>
  <c r="J15" i="1"/>
  <c r="AG49" i="1"/>
  <c r="AH26" i="1"/>
  <c r="G59" i="1"/>
  <c r="AG35" i="1"/>
  <c r="AF33" i="1"/>
  <c r="G23" i="1"/>
  <c r="G48" i="1"/>
  <c r="AF29" i="1"/>
  <c r="J23" i="1"/>
  <c r="H27" i="1"/>
  <c r="AF41" i="1"/>
  <c r="K38" i="1"/>
  <c r="I61" i="1"/>
  <c r="AI34" i="1"/>
  <c r="AG37" i="1"/>
  <c r="G25" i="1"/>
  <c r="J16" i="1"/>
  <c r="AI52" i="1"/>
  <c r="G14" i="1"/>
  <c r="J8" i="1"/>
  <c r="AG46" i="1"/>
  <c r="AH40" i="1"/>
  <c r="AF53" i="1"/>
  <c r="AI37" i="1"/>
  <c r="AG39" i="1"/>
  <c r="G57" i="1"/>
  <c r="H61" i="1"/>
  <c r="AG61" i="1"/>
  <c r="J59" i="1"/>
  <c r="AJ24" i="1"/>
  <c r="AK51" i="1"/>
  <c r="J25" i="1"/>
  <c r="H8" i="1"/>
  <c r="K54" i="1"/>
  <c r="AG21" i="1"/>
  <c r="I36" i="1"/>
  <c r="G51" i="1"/>
  <c r="H55" i="1"/>
  <c r="AJ61" i="1"/>
  <c r="AI50" i="1"/>
  <c r="H46" i="1"/>
  <c r="I57" i="1"/>
  <c r="J41" i="1"/>
  <c r="AJ23" i="1"/>
  <c r="AG33" i="1"/>
  <c r="AJ22" i="1"/>
  <c r="K58" i="1"/>
  <c r="AJ29" i="1"/>
  <c r="AH50" i="1"/>
  <c r="AI22" i="1"/>
  <c r="G50" i="1"/>
  <c r="AF26" i="1"/>
  <c r="AG53" i="1"/>
  <c r="H62" i="1"/>
  <c r="H28" i="1"/>
  <c r="K19" i="1"/>
  <c r="AG44" i="1"/>
  <c r="AK30" i="1"/>
  <c r="AK25" i="1"/>
  <c r="AI40" i="1"/>
  <c r="AF36" i="1"/>
  <c r="H52" i="1"/>
  <c r="K60" i="1"/>
  <c r="G36" i="1"/>
  <c r="G39" i="1"/>
  <c r="H31" i="1"/>
  <c r="G44" i="1"/>
  <c r="AF21" i="1"/>
  <c r="AJ33" i="1"/>
  <c r="AG54" i="1"/>
  <c r="AK37" i="1"/>
  <c r="J53" i="1"/>
  <c r="J58" i="1"/>
  <c r="K29" i="1"/>
  <c r="G26" i="1"/>
  <c r="AH51" i="1"/>
  <c r="J46" i="1"/>
  <c r="AH55" i="1"/>
  <c r="K43" i="1"/>
  <c r="K39" i="1"/>
  <c r="AG41" i="1"/>
  <c r="G28" i="1"/>
  <c r="I40" i="1"/>
  <c r="AK54" i="1"/>
  <c r="G18" i="1"/>
  <c r="AK20" i="1"/>
  <c r="J32" i="1"/>
  <c r="AI51" i="1"/>
  <c r="AJ57" i="1"/>
  <c r="K57" i="1"/>
  <c r="J52" i="1"/>
  <c r="I62" i="1"/>
  <c r="AK28" i="1"/>
  <c r="H17" i="1"/>
  <c r="K27" i="1"/>
  <c r="AI48" i="1"/>
  <c r="G38" i="1"/>
  <c r="AG42" i="1"/>
  <c r="AF24" i="1"/>
  <c r="G20" i="1"/>
  <c r="AG38" i="1"/>
  <c r="G35" i="1"/>
  <c r="G29" i="1"/>
  <c r="AJ62" i="1"/>
  <c r="G13" i="1"/>
  <c r="K26" i="1"/>
  <c r="I14" i="1"/>
  <c r="K55" i="1"/>
  <c r="AF48" i="1"/>
  <c r="AK27" i="1"/>
  <c r="AF34" i="1"/>
  <c r="I55" i="1"/>
  <c r="K37" i="1"/>
  <c r="J38" i="1"/>
  <c r="AI25" i="1"/>
  <c r="G24" i="1"/>
  <c r="H25" i="1"/>
  <c r="G53" i="1"/>
  <c r="J48" i="1"/>
  <c r="I11" i="1"/>
  <c r="AF56" i="1"/>
  <c r="K61" i="1"/>
  <c r="I32" i="1"/>
  <c r="J62" i="1"/>
  <c r="H54" i="1"/>
  <c r="AI61" i="1"/>
  <c r="AH56" i="1"/>
  <c r="AH36" i="1"/>
  <c r="J27" i="1"/>
  <c r="K33" i="1"/>
  <c r="AH41" i="1"/>
  <c r="AJ38" i="1"/>
  <c r="AJ30" i="1"/>
  <c r="AF55" i="1"/>
  <c r="AJ32" i="1"/>
  <c r="G21" i="1"/>
  <c r="AF25" i="1"/>
  <c r="I9" i="1"/>
  <c r="H32" i="1"/>
  <c r="H47" i="1"/>
  <c r="AK47" i="1"/>
  <c r="AF40" i="1"/>
  <c r="AK59" i="1"/>
  <c r="AK45" i="1"/>
  <c r="AG43" i="1"/>
  <c r="AH39" i="1"/>
  <c r="I19" i="1"/>
  <c r="H58" i="1"/>
  <c r="K8" i="1"/>
  <c r="I8" i="1"/>
  <c r="AI49" i="1"/>
  <c r="AK55" i="1"/>
  <c r="AK43" i="1"/>
  <c r="I30" i="1"/>
  <c r="AI46" i="1"/>
  <c r="I28" i="1"/>
  <c r="AK26" i="1"/>
  <c r="H38" i="1"/>
  <c r="AH29" i="1"/>
  <c r="J31" i="1"/>
  <c r="AH59" i="1"/>
  <c r="AG48" i="1"/>
  <c r="H23" i="1"/>
  <c r="G8" i="1"/>
  <c r="K25" i="1"/>
  <c r="AK29" i="1"/>
  <c r="AF52" i="1"/>
  <c r="AG36" i="1"/>
  <c r="H29" i="1"/>
  <c r="AH31" i="1"/>
  <c r="AK49" i="1"/>
  <c r="AJ46" i="1"/>
  <c r="I46" i="1"/>
  <c r="I20" i="1"/>
  <c r="G10" i="1"/>
  <c r="AG40" i="1"/>
  <c r="AI33" i="1"/>
  <c r="J26" i="1"/>
  <c r="AJ58" i="1"/>
  <c r="AJ39" i="1"/>
  <c r="AI56" i="1"/>
  <c r="I43" i="1"/>
  <c r="H50" i="1"/>
  <c r="J47" i="1"/>
  <c r="K20" i="1"/>
  <c r="I37" i="1"/>
  <c r="AF61" i="1"/>
  <c r="AG22" i="1"/>
  <c r="K52" i="1"/>
  <c r="AH45" i="1"/>
  <c r="J50" i="1"/>
  <c r="AF38" i="1"/>
  <c r="AH61" i="1"/>
  <c r="I48" i="1"/>
  <c r="G33" i="1"/>
  <c r="I44" i="1"/>
  <c r="AK52" i="1"/>
  <c r="G16" i="1"/>
  <c r="I18" i="1"/>
  <c r="G12" i="1"/>
  <c r="J14" i="1"/>
  <c r="I27" i="1"/>
  <c r="H18" i="1"/>
  <c r="AJ55" i="1"/>
  <c r="G19" i="1"/>
  <c r="H19" i="1"/>
  <c r="H24" i="1"/>
  <c r="AK21" i="1"/>
  <c r="G11" i="1"/>
  <c r="H16" i="1"/>
  <c r="K14" i="1"/>
  <c r="G9" i="1"/>
  <c r="AJ54" i="1"/>
  <c r="J42" i="1"/>
  <c r="J43" i="1"/>
  <c r="H21" i="1"/>
  <c r="K21" i="1"/>
  <c r="AF50" i="1"/>
  <c r="AH44" i="1"/>
  <c r="K23" i="1"/>
  <c r="AH23" i="1"/>
  <c r="AG27" i="1"/>
  <c r="H9" i="1"/>
  <c r="I31" i="1"/>
  <c r="G61" i="1"/>
  <c r="H22" i="1"/>
  <c r="J44" i="1"/>
  <c r="J35" i="1"/>
  <c r="H43" i="1"/>
  <c r="AI32" i="1"/>
  <c r="J22" i="1"/>
  <c r="I51" i="1"/>
  <c r="H51" i="1"/>
  <c r="AI60" i="1"/>
  <c r="AF22" i="1"/>
  <c r="AK41" i="1"/>
  <c r="AJ51" i="1"/>
  <c r="AF57" i="1"/>
  <c r="K15" i="1"/>
  <c r="G17" i="1"/>
  <c r="AF3" i="1"/>
  <c r="AD3" i="1" l="1"/>
  <c r="AB3" i="1"/>
  <c r="BA123" i="3"/>
  <c r="BN123" i="3"/>
  <c r="N30" i="3"/>
  <c r="N26" i="3"/>
  <c r="N27" i="3"/>
  <c r="N28" i="3"/>
  <c r="N29" i="3"/>
  <c r="N34" i="3"/>
  <c r="N44" i="3"/>
  <c r="N35" i="3"/>
  <c r="N36" i="3"/>
  <c r="N37" i="3"/>
  <c r="N38" i="3"/>
  <c r="N31" i="3"/>
  <c r="N39" i="3"/>
  <c r="N32" i="3"/>
  <c r="N40" i="3"/>
  <c r="N41" i="3"/>
  <c r="N33" i="3"/>
  <c r="N43" i="3"/>
  <c r="N51" i="3"/>
  <c r="N52" i="3"/>
  <c r="N45" i="3"/>
  <c r="N46" i="3"/>
  <c r="N47" i="3"/>
  <c r="N48" i="3"/>
  <c r="N49" i="3"/>
  <c r="N58" i="3"/>
  <c r="N42" i="3"/>
  <c r="N50" i="3"/>
  <c r="N57" i="3"/>
  <c r="N53" i="3"/>
  <c r="N61" i="3"/>
  <c r="N54" i="3"/>
  <c r="N62" i="3"/>
  <c r="N55" i="3"/>
  <c r="N63" i="3"/>
  <c r="N56" i="3"/>
  <c r="N64" i="3"/>
  <c r="N59" i="3"/>
  <c r="N60" i="3"/>
  <c r="BX5" i="3"/>
  <c r="I3" i="3"/>
  <c r="K3" i="3"/>
  <c r="AK3" i="3"/>
  <c r="AN6" i="3"/>
  <c r="G3" i="3"/>
  <c r="AG3" i="3"/>
  <c r="BK5" i="3"/>
  <c r="BG5" i="3"/>
  <c r="N21" i="1"/>
  <c r="AN21" i="1"/>
  <c r="N33" i="1"/>
  <c r="AN33" i="1"/>
  <c r="N24" i="1"/>
  <c r="AN24" i="1"/>
  <c r="AN28" i="1"/>
  <c r="N28" i="1"/>
  <c r="AN32" i="1"/>
  <c r="N32" i="1"/>
  <c r="AN36" i="1"/>
  <c r="N36" i="1"/>
  <c r="N20" i="1"/>
  <c r="AN20" i="1"/>
  <c r="AN23" i="1"/>
  <c r="N23" i="1"/>
  <c r="N27" i="1"/>
  <c r="AN27" i="1"/>
  <c r="N31" i="1"/>
  <c r="AN31" i="1"/>
  <c r="AN35" i="1"/>
  <c r="N35" i="1"/>
  <c r="N26" i="1"/>
  <c r="AN26" i="1"/>
  <c r="N30" i="1"/>
  <c r="AN30" i="1"/>
  <c r="N34" i="1"/>
  <c r="AN34" i="1"/>
  <c r="N22" i="1"/>
  <c r="AN22" i="1"/>
  <c r="AN25" i="1"/>
  <c r="N25" i="1"/>
  <c r="AN29" i="1"/>
  <c r="N29" i="1"/>
  <c r="AN48" i="1"/>
  <c r="N48" i="1"/>
  <c r="AN53" i="1"/>
  <c r="N53" i="1"/>
  <c r="AN47" i="1"/>
  <c r="N47" i="1"/>
  <c r="AN58" i="1"/>
  <c r="N58" i="1"/>
  <c r="AN52" i="1"/>
  <c r="N52" i="1"/>
  <c r="AN57" i="1"/>
  <c r="N57" i="1"/>
  <c r="AN61" i="1"/>
  <c r="N61" i="1"/>
  <c r="AN51" i="1"/>
  <c r="N51" i="1"/>
  <c r="AN56" i="1"/>
  <c r="N56" i="1"/>
  <c r="AN59" i="1"/>
  <c r="N59" i="1"/>
  <c r="AN62" i="1"/>
  <c r="N62" i="1"/>
  <c r="N50" i="1"/>
  <c r="AN50" i="1"/>
  <c r="AN55" i="1"/>
  <c r="N55" i="1"/>
  <c r="AN49" i="1"/>
  <c r="N49" i="1"/>
  <c r="AN54" i="1"/>
  <c r="N54" i="1"/>
  <c r="AN37" i="1"/>
  <c r="N37" i="1"/>
  <c r="AN38" i="1"/>
  <c r="N38" i="1"/>
  <c r="AN39" i="1"/>
  <c r="N39" i="1"/>
  <c r="AN40" i="1"/>
  <c r="N40" i="1"/>
  <c r="AN41" i="1"/>
  <c r="N41" i="1"/>
  <c r="AN42" i="1"/>
  <c r="N42" i="1"/>
  <c r="AN43" i="1"/>
  <c r="N43" i="1"/>
  <c r="AN44" i="1"/>
  <c r="N44" i="1"/>
  <c r="AN45" i="1"/>
  <c r="N45" i="1"/>
  <c r="AN46" i="1"/>
  <c r="N46" i="1"/>
  <c r="AN60" i="1"/>
  <c r="N60" i="1"/>
  <c r="F38" i="3"/>
  <c r="F42" i="3"/>
  <c r="F63" i="3"/>
  <c r="F41" i="3"/>
  <c r="F36" i="3"/>
  <c r="F54" i="3"/>
  <c r="F50" i="3"/>
  <c r="F62" i="3"/>
  <c r="F52" i="3"/>
  <c r="F17" i="3"/>
  <c r="F59" i="3"/>
  <c r="F35" i="3"/>
  <c r="F45" i="3"/>
  <c r="F25" i="3"/>
  <c r="F37" i="3"/>
  <c r="F61" i="3"/>
  <c r="F9" i="3"/>
  <c r="F64" i="3"/>
  <c r="F48" i="3"/>
  <c r="F7" i="3"/>
  <c r="F40" i="3"/>
  <c r="F27" i="3"/>
  <c r="F13" i="3"/>
  <c r="F60" i="3"/>
  <c r="F11" i="3"/>
  <c r="F23" i="3"/>
  <c r="F58" i="3"/>
  <c r="F15" i="3"/>
  <c r="F39" i="3"/>
  <c r="F44" i="3"/>
  <c r="F57" i="3"/>
  <c r="F21" i="3"/>
  <c r="F29" i="3"/>
  <c r="F56" i="3"/>
  <c r="F19" i="3"/>
  <c r="F51" i="3"/>
  <c r="F55" i="3"/>
  <c r="F49" i="3"/>
  <c r="F53" i="3"/>
  <c r="F43" i="3"/>
  <c r="F31" i="3"/>
  <c r="F33" i="3"/>
  <c r="F47" i="3"/>
  <c r="F46" i="3"/>
  <c r="N15" i="3" l="1"/>
  <c r="N23" i="3"/>
  <c r="N9" i="3"/>
  <c r="N11" i="3"/>
  <c r="N17" i="3"/>
  <c r="N19" i="3"/>
  <c r="N21" i="3"/>
  <c r="N25" i="3"/>
  <c r="N13" i="3"/>
  <c r="N7" i="3"/>
  <c r="F52" i="1"/>
  <c r="F9" i="1"/>
  <c r="F45" i="1"/>
  <c r="F46" i="1"/>
  <c r="F28" i="1"/>
  <c r="F11" i="1"/>
  <c r="F8" i="1"/>
  <c r="F18" i="3"/>
  <c r="F47" i="1"/>
  <c r="F13" i="1"/>
  <c r="F35" i="1"/>
  <c r="F37" i="1"/>
  <c r="F49" i="1"/>
  <c r="F39" i="1"/>
  <c r="F31" i="1"/>
  <c r="F30" i="3"/>
  <c r="F8" i="3"/>
  <c r="F57" i="1"/>
  <c r="F12" i="1"/>
  <c r="F14" i="1"/>
  <c r="F26" i="1"/>
  <c r="F62" i="1"/>
  <c r="F41" i="1"/>
  <c r="F36" i="1"/>
  <c r="F27" i="1"/>
  <c r="F50" i="1"/>
  <c r="F48" i="1"/>
  <c r="F40" i="1"/>
  <c r="F28" i="3"/>
  <c r="F26" i="3"/>
  <c r="F38" i="1"/>
  <c r="F24" i="1"/>
  <c r="F30" i="1"/>
  <c r="F51" i="1"/>
  <c r="F32" i="3"/>
  <c r="F54" i="1"/>
  <c r="F7" i="1"/>
  <c r="F16" i="1"/>
  <c r="F34" i="3"/>
  <c r="F10" i="1"/>
  <c r="F23" i="1"/>
  <c r="F43" i="1"/>
  <c r="F42" i="1"/>
  <c r="F14" i="3"/>
  <c r="F60" i="1"/>
  <c r="F22" i="1"/>
  <c r="F32" i="1"/>
  <c r="F55" i="1"/>
  <c r="F20" i="1"/>
  <c r="F53" i="1"/>
  <c r="F25" i="1"/>
  <c r="F10" i="3"/>
  <c r="F22" i="3"/>
  <c r="F33" i="1"/>
  <c r="F56" i="1"/>
  <c r="F61" i="1"/>
  <c r="F6" i="3"/>
  <c r="F21" i="1"/>
  <c r="F17" i="1"/>
  <c r="F15" i="1"/>
  <c r="F20" i="3"/>
  <c r="F34" i="1"/>
  <c r="F19" i="1"/>
  <c r="F12" i="3"/>
  <c r="F18" i="1"/>
  <c r="F16" i="3"/>
  <c r="F58" i="1"/>
  <c r="F29" i="1"/>
  <c r="F59" i="1"/>
  <c r="F24" i="3"/>
  <c r="F44" i="1"/>
  <c r="N22" i="3" l="1"/>
  <c r="N14" i="3"/>
  <c r="N16" i="3"/>
  <c r="N20" i="3"/>
  <c r="N10" i="3"/>
  <c r="N8" i="3"/>
  <c r="N12" i="3"/>
  <c r="N18" i="3"/>
  <c r="N24" i="3"/>
  <c r="N6" i="3"/>
  <c r="BN67" i="3"/>
  <c r="BA67" i="3"/>
  <c r="CF63" i="1" l="1"/>
  <c r="CG63" i="1" s="1"/>
  <c r="CF47" i="1"/>
  <c r="CG47" i="1" s="1"/>
  <c r="CF104" i="1"/>
  <c r="CG104" i="1" s="1"/>
  <c r="CF31" i="1"/>
  <c r="CG31" i="1" s="1"/>
  <c r="BN93" i="3"/>
  <c r="R31" i="1"/>
  <c r="R23" i="1"/>
  <c r="R46" i="1"/>
  <c r="R41" i="1"/>
  <c r="R28" i="1"/>
  <c r="R62" i="1"/>
  <c r="R29" i="1"/>
  <c r="R45" i="1"/>
  <c r="R53" i="1"/>
  <c r="R32" i="1"/>
  <c r="R37" i="1"/>
  <c r="R54" i="1"/>
  <c r="R36" i="1"/>
  <c r="R39" i="1"/>
  <c r="R16" i="1"/>
  <c r="R43" i="1"/>
  <c r="R38" i="1"/>
  <c r="R17" i="1"/>
  <c r="R33" i="1"/>
  <c r="R61" i="1"/>
  <c r="R59" i="1"/>
  <c r="R44" i="1"/>
  <c r="R42" i="1"/>
  <c r="R11" i="1"/>
  <c r="R7" i="1"/>
  <c r="R18" i="1"/>
  <c r="R57" i="1"/>
  <c r="R56" i="1"/>
  <c r="R20" i="1"/>
  <c r="R40" i="1"/>
  <c r="R9" i="1"/>
  <c r="R48" i="1"/>
  <c r="R8" i="1"/>
  <c r="R47" i="1"/>
  <c r="R12" i="1"/>
  <c r="R25" i="1"/>
  <c r="R27" i="1"/>
  <c r="R52" i="1"/>
  <c r="R60" i="1"/>
  <c r="R21" i="1"/>
  <c r="R35" i="1"/>
  <c r="R10" i="1"/>
  <c r="R51" i="1"/>
  <c r="R50" i="1"/>
  <c r="R30" i="1"/>
  <c r="R19" i="1"/>
  <c r="R13" i="1"/>
  <c r="R26" i="1"/>
  <c r="R55" i="1"/>
  <c r="R14" i="1"/>
  <c r="R22" i="1"/>
  <c r="R24" i="1"/>
  <c r="R15" i="1"/>
  <c r="R34" i="1"/>
  <c r="R58" i="1"/>
  <c r="R49" i="1"/>
  <c r="C36" i="1"/>
  <c r="AD30" i="3"/>
  <c r="AE40" i="1"/>
  <c r="CJ191" i="3"/>
  <c r="AL23" i="1"/>
  <c r="E39" i="3"/>
  <c r="C60" i="3"/>
  <c r="AF2" i="3"/>
  <c r="AE31" i="3"/>
  <c r="CJ27" i="1"/>
  <c r="E34" i="3"/>
  <c r="CI69" i="1"/>
  <c r="CI199" i="3"/>
  <c r="C41" i="3"/>
  <c r="CJ74" i="3"/>
  <c r="CJ205" i="3"/>
  <c r="D32" i="3"/>
  <c r="CI250" i="3"/>
  <c r="AD38" i="1"/>
  <c r="C30" i="1"/>
  <c r="CI170" i="3"/>
  <c r="L28" i="3"/>
  <c r="AC37" i="1"/>
  <c r="AC21" i="1"/>
  <c r="AE62" i="1"/>
  <c r="E23" i="3"/>
  <c r="AE30" i="3"/>
  <c r="CI99" i="3"/>
  <c r="AE54" i="3"/>
  <c r="AC35" i="1"/>
  <c r="C62" i="1"/>
  <c r="AE33" i="3"/>
  <c r="CK205" i="3"/>
  <c r="E56" i="3"/>
  <c r="CK113" i="1"/>
  <c r="CI205" i="3"/>
  <c r="CI35" i="1"/>
  <c r="CK208" i="3"/>
  <c r="D48" i="3"/>
  <c r="L32" i="3"/>
  <c r="AD20" i="3"/>
  <c r="CJ36" i="3"/>
  <c r="AC58" i="3"/>
  <c r="CJ93" i="3"/>
  <c r="L26" i="1"/>
  <c r="CJ160" i="3"/>
  <c r="L43" i="3"/>
  <c r="CJ148" i="3"/>
  <c r="AC31" i="3"/>
  <c r="CK199" i="3"/>
  <c r="C51" i="3"/>
  <c r="CJ184" i="3"/>
  <c r="AE35" i="3"/>
  <c r="CK212" i="3"/>
  <c r="CK23" i="1"/>
  <c r="C17" i="3"/>
  <c r="CK90" i="1"/>
  <c r="L50" i="3"/>
  <c r="CI143" i="3"/>
  <c r="E54" i="3"/>
  <c r="AE52" i="1"/>
  <c r="CJ15" i="1"/>
  <c r="AC59" i="3"/>
  <c r="AE21" i="3"/>
  <c r="E59" i="1"/>
  <c r="CI126" i="3"/>
  <c r="L37" i="1"/>
  <c r="L20" i="1"/>
  <c r="C45" i="3"/>
  <c r="CJ121" i="1"/>
  <c r="AL28" i="1"/>
  <c r="D6" i="3"/>
  <c r="AC60" i="1"/>
  <c r="CK69" i="1"/>
  <c r="CI53" i="3"/>
  <c r="D52" i="3"/>
  <c r="D37" i="1"/>
  <c r="D62" i="3"/>
  <c r="CJ12" i="1"/>
  <c r="D20" i="1"/>
  <c r="L19" i="3"/>
  <c r="AE48" i="1"/>
  <c r="CI116" i="3"/>
  <c r="L17" i="3"/>
  <c r="L48" i="3"/>
  <c r="E38" i="1"/>
  <c r="E28" i="1"/>
  <c r="AL45" i="1"/>
  <c r="CK166" i="3"/>
  <c r="CI213" i="3"/>
  <c r="C54" i="3"/>
  <c r="AE23" i="3"/>
  <c r="CI148" i="3"/>
  <c r="CI230" i="3"/>
  <c r="E27" i="1"/>
  <c r="L51" i="1"/>
  <c r="C27" i="3"/>
  <c r="CI12" i="1"/>
  <c r="AE56" i="3"/>
  <c r="CK52" i="3"/>
  <c r="CJ221" i="3"/>
  <c r="L34" i="1"/>
  <c r="CK59" i="3"/>
  <c r="D51" i="1"/>
  <c r="AD38" i="3"/>
  <c r="CK131" i="3"/>
  <c r="CK4" i="3"/>
  <c r="D12" i="3"/>
  <c r="CI27" i="3"/>
  <c r="CK12" i="3"/>
  <c r="CK111" i="1"/>
  <c r="L15" i="3"/>
  <c r="CI98" i="3"/>
  <c r="CK117" i="1"/>
  <c r="L55" i="3"/>
  <c r="CJ90" i="3"/>
  <c r="E11" i="3"/>
  <c r="AC15" i="3"/>
  <c r="CK24" i="3"/>
  <c r="CI219" i="3"/>
  <c r="CK130" i="3"/>
  <c r="CJ206" i="3"/>
  <c r="CK243" i="3"/>
  <c r="C60" i="1"/>
  <c r="CK125" i="3"/>
  <c r="AL32" i="1"/>
  <c r="AC38" i="1"/>
  <c r="C11" i="3"/>
  <c r="CI80" i="1"/>
  <c r="CK118" i="3"/>
  <c r="CJ98" i="1"/>
  <c r="C8" i="3"/>
  <c r="AC28" i="1"/>
  <c r="CJ23" i="1"/>
  <c r="C9" i="3"/>
  <c r="AD34" i="3"/>
  <c r="AD7" i="3"/>
  <c r="AC52" i="1"/>
  <c r="AC51" i="3"/>
  <c r="AC42" i="1"/>
  <c r="C21" i="3"/>
  <c r="CJ174" i="3"/>
  <c r="CK246" i="3"/>
  <c r="AD17" i="3"/>
  <c r="AD39" i="1"/>
  <c r="D38" i="3"/>
  <c r="AC24" i="1"/>
  <c r="E24" i="3"/>
  <c r="AL26" i="1"/>
  <c r="AD46" i="3"/>
  <c r="E37" i="3"/>
  <c r="L22" i="3"/>
  <c r="AC59" i="1"/>
  <c r="CI90" i="1"/>
  <c r="E41" i="1"/>
  <c r="C39" i="1"/>
  <c r="CI36" i="3"/>
  <c r="AD51" i="1"/>
  <c r="CK137" i="3"/>
  <c r="CK24" i="1"/>
  <c r="AC57" i="3"/>
  <c r="CI87" i="3"/>
  <c r="D44" i="3"/>
  <c r="D39" i="3"/>
  <c r="CJ79" i="3"/>
  <c r="L51" i="3"/>
  <c r="AL35" i="1"/>
  <c r="AD61" i="3"/>
  <c r="CI142" i="3"/>
  <c r="CI32" i="3"/>
  <c r="CJ88" i="3"/>
  <c r="E26" i="3"/>
  <c r="L24" i="1"/>
  <c r="CI58" i="1"/>
  <c r="CK250" i="3"/>
  <c r="CJ101" i="1"/>
  <c r="E61" i="1"/>
  <c r="L60" i="1"/>
  <c r="CJ212" i="3"/>
  <c r="C7" i="3"/>
  <c r="CJ98" i="3"/>
  <c r="D8" i="3"/>
  <c r="E28" i="3"/>
  <c r="D30" i="3"/>
  <c r="D55" i="3"/>
  <c r="CK105" i="3"/>
  <c r="CK64" i="3"/>
  <c r="CJ35" i="3"/>
  <c r="AD23" i="3"/>
  <c r="C47" i="1"/>
  <c r="E47" i="3"/>
  <c r="E60" i="1"/>
  <c r="CJ127" i="3"/>
  <c r="L26" i="3"/>
  <c r="L7" i="1"/>
  <c r="E55" i="1"/>
  <c r="E25" i="1"/>
  <c r="AL29" i="1"/>
  <c r="AC24" i="3"/>
  <c r="AE58" i="1"/>
  <c r="CK65" i="1"/>
  <c r="D55" i="1"/>
  <c r="AE60" i="3"/>
  <c r="AD22" i="1"/>
  <c r="AD32" i="1"/>
  <c r="CI157" i="3"/>
  <c r="CJ77" i="1"/>
  <c r="C20" i="1"/>
  <c r="C30" i="3"/>
  <c r="E22" i="1"/>
  <c r="AC25" i="3"/>
  <c r="CJ50" i="3"/>
  <c r="AD15" i="3"/>
  <c r="CJ112" i="1"/>
  <c r="CI246" i="3"/>
  <c r="L54" i="1"/>
  <c r="CJ145" i="3"/>
  <c r="CI41" i="3"/>
  <c r="C44" i="1"/>
  <c r="CI135" i="3"/>
  <c r="D47" i="1"/>
  <c r="C38" i="1"/>
  <c r="E21" i="1"/>
  <c r="CI113" i="3"/>
  <c r="CJ54" i="3"/>
  <c r="L64" i="3"/>
  <c r="CK50" i="3"/>
  <c r="CI85" i="3"/>
  <c r="CJ150" i="3"/>
  <c r="CK82" i="1"/>
  <c r="CJ257" i="3"/>
  <c r="CK235" i="3"/>
  <c r="CI86" i="3"/>
  <c r="CI25" i="3"/>
  <c r="CI166" i="3"/>
  <c r="D25" i="3"/>
  <c r="CK79" i="3"/>
  <c r="CI233" i="3"/>
  <c r="CJ253" i="3"/>
  <c r="CJ168" i="3"/>
  <c r="CI7" i="3"/>
  <c r="E21" i="3"/>
  <c r="CI235" i="3"/>
  <c r="CI216" i="3"/>
  <c r="D35" i="3"/>
  <c r="CI75" i="3"/>
  <c r="CK75" i="3"/>
  <c r="CJ12" i="3"/>
  <c r="CI124" i="3"/>
  <c r="CK75" i="1"/>
  <c r="CJ84" i="3"/>
  <c r="AD40" i="3"/>
  <c r="CK86" i="3"/>
  <c r="E18" i="3"/>
  <c r="CI23" i="3"/>
  <c r="L27" i="1"/>
  <c r="AL2" i="3"/>
  <c r="CJ18" i="1"/>
  <c r="CJ65" i="1"/>
  <c r="CK11" i="3"/>
  <c r="AE55" i="1"/>
  <c r="C53" i="1"/>
  <c r="D60" i="3"/>
  <c r="CI188" i="3"/>
  <c r="CJ117" i="3"/>
  <c r="AC54" i="1"/>
  <c r="CK28" i="1"/>
  <c r="D41" i="1"/>
  <c r="CJ254" i="3"/>
  <c r="AE41" i="1"/>
  <c r="CI45" i="1"/>
  <c r="D27" i="3"/>
  <c r="CI93" i="3"/>
  <c r="AE6" i="3"/>
  <c r="E34" i="1"/>
  <c r="AL47" i="1"/>
  <c r="E54" i="1"/>
  <c r="CK68" i="3"/>
  <c r="L45" i="1"/>
  <c r="AD34" i="1"/>
  <c r="CK106" i="3"/>
  <c r="AC27" i="1"/>
  <c r="CJ11" i="3"/>
  <c r="AC11" i="3"/>
  <c r="CK22" i="3"/>
  <c r="AE29" i="1"/>
  <c r="AE13" i="3"/>
  <c r="AE24" i="3"/>
  <c r="CK135" i="3"/>
  <c r="AD60" i="1"/>
  <c r="AC64" i="3"/>
  <c r="L10" i="3"/>
  <c r="CJ210" i="3"/>
  <c r="AL59" i="1"/>
  <c r="CK92" i="3"/>
  <c r="CI115" i="3"/>
  <c r="D58" i="1"/>
  <c r="C56" i="1"/>
  <c r="AC13" i="3"/>
  <c r="CK88" i="3"/>
  <c r="AC14" i="3"/>
  <c r="E20" i="3"/>
  <c r="AE54" i="1"/>
  <c r="CJ208" i="3"/>
  <c r="L25" i="3"/>
  <c r="CJ233" i="3"/>
  <c r="D19" i="3"/>
  <c r="L9" i="1"/>
  <c r="C57" i="3"/>
  <c r="AL55" i="1"/>
  <c r="C37" i="1"/>
  <c r="CJ66" i="3"/>
  <c r="C52" i="3"/>
  <c r="AE14" i="3"/>
  <c r="L2" i="3"/>
  <c r="AC62" i="3"/>
  <c r="C40" i="1"/>
  <c r="CK77" i="3"/>
  <c r="D63" i="3"/>
  <c r="CJ62" i="3"/>
  <c r="CJ138" i="3"/>
  <c r="D33" i="3"/>
  <c r="D59" i="3"/>
  <c r="E10" i="3"/>
  <c r="CJ72" i="1"/>
  <c r="CK70" i="1"/>
  <c r="CJ86" i="3"/>
  <c r="CK72" i="1"/>
  <c r="CJ102" i="3"/>
  <c r="L48" i="1"/>
  <c r="CI58" i="3"/>
  <c r="CI65" i="3"/>
  <c r="AC22" i="1"/>
  <c r="AD60" i="3"/>
  <c r="CI82" i="1"/>
  <c r="CK132" i="3"/>
  <c r="CI259" i="3"/>
  <c r="AD45" i="3"/>
  <c r="CK159" i="3"/>
  <c r="CI253" i="3"/>
  <c r="AD64" i="3"/>
  <c r="AD29" i="1"/>
  <c r="AE53" i="3"/>
  <c r="CK150" i="3"/>
  <c r="AE19" i="3"/>
  <c r="CJ114" i="3"/>
  <c r="D11" i="3"/>
  <c r="D10" i="3"/>
  <c r="CK48" i="3"/>
  <c r="L9" i="3"/>
  <c r="L55" i="1"/>
  <c r="C46" i="3"/>
  <c r="L53" i="1"/>
  <c r="CI179" i="3"/>
  <c r="D40" i="1"/>
  <c r="AD37" i="3"/>
  <c r="CJ129" i="3"/>
  <c r="AC40" i="3"/>
  <c r="CK97" i="3"/>
  <c r="CJ183" i="3"/>
  <c r="CK176" i="3"/>
  <c r="E39" i="1"/>
  <c r="D31" i="3"/>
  <c r="C31" i="3"/>
  <c r="CJ211" i="3"/>
  <c r="CJ147" i="3"/>
  <c r="CI141" i="3"/>
  <c r="AD54" i="1"/>
  <c r="CK19" i="1"/>
  <c r="E16" i="3"/>
  <c r="E51" i="3"/>
  <c r="CK139" i="3"/>
  <c r="AE10" i="3"/>
  <c r="CI96" i="3"/>
  <c r="CJ43" i="3"/>
  <c r="CJ135" i="3"/>
  <c r="CJ172" i="3"/>
  <c r="CJ218" i="3"/>
  <c r="CJ61" i="3"/>
  <c r="C62" i="3"/>
  <c r="AE8" i="3"/>
  <c r="C6" i="3"/>
  <c r="CK98" i="3"/>
  <c r="AC51" i="1"/>
  <c r="AL62" i="1"/>
  <c r="D29" i="1"/>
  <c r="AD20" i="1"/>
  <c r="AE62" i="3"/>
  <c r="AE64" i="3"/>
  <c r="CK49" i="3"/>
  <c r="E31" i="3"/>
  <c r="L20" i="3"/>
  <c r="C15" i="3"/>
  <c r="E53" i="3"/>
  <c r="E49" i="1"/>
  <c r="CK6" i="3"/>
  <c r="AE38" i="1"/>
  <c r="CI248" i="3"/>
  <c r="E27" i="3"/>
  <c r="D33" i="1"/>
  <c r="CK110" i="3"/>
  <c r="C24" i="3"/>
  <c r="CK58" i="1"/>
  <c r="AE26" i="1"/>
  <c r="C49" i="3"/>
  <c r="AD48" i="3"/>
  <c r="L13" i="1"/>
  <c r="L54" i="3"/>
  <c r="D45" i="1"/>
  <c r="L25" i="1"/>
  <c r="AD23" i="1"/>
  <c r="CJ231" i="3"/>
  <c r="AC61" i="1"/>
  <c r="CJ255" i="3"/>
  <c r="L47" i="3"/>
  <c r="AE18" i="3"/>
  <c r="AD35" i="3"/>
  <c r="D46" i="3"/>
  <c r="L33" i="1"/>
  <c r="CK97" i="1"/>
  <c r="E55" i="3"/>
  <c r="CK133" i="3"/>
  <c r="AL22" i="1"/>
  <c r="CJ259" i="3"/>
  <c r="L41" i="1"/>
  <c r="CJ11" i="1"/>
  <c r="CJ68" i="3"/>
  <c r="L18" i="1"/>
  <c r="D29" i="3"/>
  <c r="D57" i="3"/>
  <c r="L57" i="1"/>
  <c r="L60" i="3"/>
  <c r="C51" i="1"/>
  <c r="D45" i="3"/>
  <c r="AE37" i="1"/>
  <c r="L36" i="1"/>
  <c r="C22" i="3"/>
  <c r="L56" i="1"/>
  <c r="AL53" i="1"/>
  <c r="E59" i="3"/>
  <c r="E44" i="1"/>
  <c r="AE27" i="3"/>
  <c r="D59" i="1"/>
  <c r="CK80" i="1"/>
  <c r="CJ20" i="3"/>
  <c r="C16" i="3"/>
  <c r="F2" i="3"/>
  <c r="E30" i="1"/>
  <c r="L57" i="3"/>
  <c r="AD21" i="3"/>
  <c r="AE20" i="3"/>
  <c r="CJ109" i="3"/>
  <c r="C25" i="1"/>
  <c r="CK112" i="1"/>
  <c r="CJ90" i="1"/>
  <c r="CK56" i="1"/>
  <c r="CK124" i="3"/>
  <c r="D47" i="3"/>
  <c r="CK102" i="1"/>
  <c r="CI193" i="3"/>
  <c r="CK19" i="3"/>
  <c r="AC43" i="1"/>
  <c r="AD30" i="1"/>
  <c r="CK185" i="3"/>
  <c r="AC16" i="3"/>
  <c r="E23" i="1"/>
  <c r="CI88" i="3"/>
  <c r="AC55" i="3"/>
  <c r="CJ164" i="3"/>
  <c r="CI210" i="3"/>
  <c r="C18" i="3"/>
  <c r="AD53" i="3"/>
  <c r="AC33" i="1"/>
  <c r="AE12" i="3"/>
  <c r="L8" i="3"/>
  <c r="AE52" i="3"/>
  <c r="CI106" i="3"/>
  <c r="L15" i="1"/>
  <c r="E56" i="1"/>
  <c r="CK71" i="1"/>
  <c r="AC56" i="1"/>
  <c r="D49" i="3"/>
  <c r="CK81" i="1"/>
  <c r="CJ258" i="3"/>
  <c r="CK14" i="3"/>
  <c r="AD45" i="1"/>
  <c r="CI100" i="3"/>
  <c r="CJ79" i="1"/>
  <c r="CK121" i="1"/>
  <c r="CK197" i="3"/>
  <c r="CK114" i="3"/>
  <c r="CK47" i="3"/>
  <c r="CK156" i="3"/>
  <c r="L32" i="1"/>
  <c r="L38" i="1"/>
  <c r="AE42" i="3"/>
  <c r="CI72" i="3"/>
  <c r="CI254" i="3"/>
  <c r="CK120" i="3"/>
  <c r="CJ111" i="1"/>
  <c r="CK257" i="3"/>
  <c r="CJ250" i="3"/>
  <c r="CI221" i="3"/>
  <c r="CJ95" i="3"/>
  <c r="AE41" i="3"/>
  <c r="AL57" i="1"/>
  <c r="CI132" i="3"/>
  <c r="CK73" i="3"/>
  <c r="E62" i="3"/>
  <c r="CK44" i="3"/>
  <c r="CK209" i="3"/>
  <c r="CI97" i="1"/>
  <c r="AC57" i="1"/>
  <c r="CK178" i="3"/>
  <c r="CJ241" i="3"/>
  <c r="AE17" i="3"/>
  <c r="D58" i="3"/>
  <c r="CJ141" i="3"/>
  <c r="AC34" i="1"/>
  <c r="CJ58" i="1"/>
  <c r="CK143" i="3"/>
  <c r="CK101" i="1"/>
  <c r="AE32" i="1"/>
  <c r="CK122" i="3"/>
  <c r="AD36" i="1"/>
  <c r="L12" i="3"/>
  <c r="CI109" i="1"/>
  <c r="CI173" i="3"/>
  <c r="CJ196" i="3"/>
  <c r="CJ14" i="3"/>
  <c r="E37" i="1"/>
  <c r="CI258" i="3"/>
  <c r="CJ64" i="3"/>
  <c r="D35" i="1"/>
  <c r="D62" i="1"/>
  <c r="AC25" i="1"/>
  <c r="CK27" i="1"/>
  <c r="CK183" i="3"/>
  <c r="L19" i="1"/>
  <c r="CI251" i="3"/>
  <c r="D42" i="3"/>
  <c r="L22" i="1"/>
  <c r="L14" i="3"/>
  <c r="AC33" i="3"/>
  <c r="CJ121" i="3"/>
  <c r="CJ81" i="1"/>
  <c r="D20" i="3"/>
  <c r="AC27" i="3"/>
  <c r="CK87" i="3"/>
  <c r="CI102" i="1"/>
  <c r="CI113" i="1"/>
  <c r="E22" i="3"/>
  <c r="AE59" i="3"/>
  <c r="CK83" i="1"/>
  <c r="CI204" i="3"/>
  <c r="AL54" i="1"/>
  <c r="C46" i="1"/>
  <c r="CI29" i="3"/>
  <c r="L10" i="1"/>
  <c r="AD14" i="3"/>
  <c r="AE45" i="1"/>
  <c r="CI162" i="3"/>
  <c r="AE49" i="1"/>
  <c r="CJ46" i="3"/>
  <c r="D17" i="3"/>
  <c r="AE61" i="3"/>
  <c r="CI28" i="3"/>
  <c r="CJ103" i="3"/>
  <c r="CK61" i="3"/>
  <c r="CI83" i="3"/>
  <c r="L31" i="3"/>
  <c r="C13" i="3"/>
  <c r="C44" i="3"/>
  <c r="CK247" i="3"/>
  <c r="AD18" i="3"/>
  <c r="AC34" i="3"/>
  <c r="AE38" i="3"/>
  <c r="D36" i="3"/>
  <c r="AE56" i="1"/>
  <c r="C14" i="3"/>
  <c r="L42" i="1"/>
  <c r="CI203" i="3"/>
  <c r="C58" i="3"/>
  <c r="AD25" i="1"/>
  <c r="L6" i="3"/>
  <c r="AD26" i="1"/>
  <c r="C49" i="1"/>
  <c r="CJ70" i="1"/>
  <c r="AC53" i="3"/>
  <c r="CI40" i="1"/>
  <c r="AD55" i="3"/>
  <c r="CK76" i="1"/>
  <c r="AE32" i="3"/>
  <c r="C48" i="1"/>
  <c r="AD28" i="1"/>
  <c r="C54" i="1"/>
  <c r="AL31" i="1"/>
  <c r="AL61" i="1"/>
  <c r="C55" i="1"/>
  <c r="L12" i="1"/>
  <c r="CI22" i="3"/>
  <c r="AE22" i="3"/>
  <c r="AE25" i="3"/>
  <c r="CK172" i="3"/>
  <c r="AE63" i="3"/>
  <c r="CK9" i="3"/>
  <c r="CJ209" i="3"/>
  <c r="AL33" i="1"/>
  <c r="CK26" i="1"/>
  <c r="AD8" i="3"/>
  <c r="CI14" i="3"/>
  <c r="AL46" i="1"/>
  <c r="CK117" i="3"/>
  <c r="CJ57" i="3"/>
  <c r="L13" i="3"/>
  <c r="CI119" i="3"/>
  <c r="L61" i="1"/>
  <c r="E53" i="1"/>
  <c r="CJ71" i="3"/>
  <c r="L59" i="1"/>
  <c r="CI70" i="1"/>
  <c r="D53" i="3"/>
  <c r="AD58" i="3"/>
  <c r="D32" i="1"/>
  <c r="D44" i="1"/>
  <c r="CK74" i="1"/>
  <c r="CJ78" i="3"/>
  <c r="CJ203" i="3"/>
  <c r="AD27" i="3"/>
  <c r="CI131" i="3"/>
  <c r="CI57" i="3"/>
  <c r="AC20" i="1"/>
  <c r="CI77" i="3"/>
  <c r="AE34" i="1"/>
  <c r="AC7" i="3"/>
  <c r="AC28" i="3"/>
  <c r="E45" i="3"/>
  <c r="D42" i="1"/>
  <c r="AE51" i="1"/>
  <c r="CJ149" i="3"/>
  <c r="C36" i="3"/>
  <c r="AC41" i="1"/>
  <c r="C24" i="1"/>
  <c r="C35" i="3"/>
  <c r="AE37" i="3"/>
  <c r="E19" i="3"/>
  <c r="CJ200" i="3"/>
  <c r="CI222" i="3"/>
  <c r="AC23" i="3"/>
  <c r="D15" i="3"/>
  <c r="AL30" i="1"/>
  <c r="CK54" i="3"/>
  <c r="E20" i="1"/>
  <c r="CJ70" i="3"/>
  <c r="E61" i="3"/>
  <c r="CK249" i="3"/>
  <c r="E58" i="3"/>
  <c r="C52" i="1"/>
  <c r="AD56" i="1"/>
  <c r="CJ69" i="1"/>
  <c r="AD48" i="1"/>
  <c r="E6" i="3"/>
  <c r="D16" i="3"/>
  <c r="AE36" i="1"/>
  <c r="CJ49" i="3"/>
  <c r="CI26" i="1"/>
  <c r="AE9" i="3"/>
  <c r="CK165" i="3"/>
  <c r="AD58" i="1"/>
  <c r="AC40" i="1"/>
  <c r="AD33" i="3"/>
  <c r="AD62" i="3"/>
  <c r="CK10" i="3"/>
  <c r="E29" i="1"/>
  <c r="E33" i="3"/>
  <c r="AC41" i="3"/>
  <c r="CI112" i="3"/>
  <c r="CI38" i="3"/>
  <c r="CJ173" i="3"/>
  <c r="L24" i="3"/>
  <c r="L61" i="3"/>
  <c r="CJ109" i="1"/>
  <c r="D34" i="3"/>
  <c r="CJ31" i="3"/>
  <c r="AD12" i="3"/>
  <c r="AD31" i="1"/>
  <c r="D23" i="1"/>
  <c r="CJ45" i="3"/>
  <c r="AC44" i="1"/>
  <c r="CK18" i="1"/>
  <c r="L11" i="1"/>
  <c r="CK74" i="3"/>
  <c r="AE44" i="1"/>
  <c r="CJ194" i="3"/>
  <c r="AL39" i="1"/>
  <c r="L23" i="3"/>
  <c r="CJ76" i="1"/>
  <c r="AE47" i="3"/>
  <c r="D40" i="3"/>
  <c r="CK180" i="3"/>
  <c r="CI73" i="3"/>
  <c r="CK46" i="3"/>
  <c r="AD39" i="3"/>
  <c r="CI88" i="1"/>
  <c r="CJ256" i="3"/>
  <c r="CJ75" i="1"/>
  <c r="CJ45" i="1"/>
  <c r="AL49" i="1"/>
  <c r="CK115" i="3"/>
  <c r="AD53" i="1"/>
  <c r="L62" i="1"/>
  <c r="CI212" i="3"/>
  <c r="AD63" i="3"/>
  <c r="E48" i="1"/>
  <c r="AE29" i="3"/>
  <c r="D24" i="1"/>
  <c r="AD32" i="3"/>
  <c r="D23" i="3"/>
  <c r="CJ32" i="3"/>
  <c r="AD50" i="3"/>
  <c r="CK88" i="1"/>
  <c r="AE39" i="3"/>
  <c r="D27" i="1"/>
  <c r="AD57" i="1"/>
  <c r="CI10" i="3"/>
  <c r="AE44" i="3"/>
  <c r="D39" i="1"/>
  <c r="R2" i="3"/>
  <c r="AC54" i="3"/>
  <c r="D48" i="1"/>
  <c r="AD62" i="1"/>
  <c r="AC9" i="3"/>
  <c r="CJ245" i="3"/>
  <c r="D52" i="1"/>
  <c r="E29" i="3"/>
  <c r="CI185" i="3"/>
  <c r="CK90" i="3"/>
  <c r="CJ229" i="3"/>
  <c r="AC29" i="1"/>
  <c r="CK153" i="3"/>
  <c r="CK240" i="3"/>
  <c r="CJ134" i="3"/>
  <c r="E49" i="3"/>
  <c r="CJ51" i="3"/>
  <c r="CI244" i="3"/>
  <c r="E33" i="1"/>
  <c r="L31" i="1"/>
  <c r="CK226" i="3"/>
  <c r="AC17" i="3"/>
  <c r="CI70" i="3"/>
  <c r="CI198" i="3"/>
  <c r="CJ232" i="3"/>
  <c r="CJ199" i="3"/>
  <c r="CJ15" i="3"/>
  <c r="CJ136" i="3"/>
  <c r="L53" i="3"/>
  <c r="CK114" i="1"/>
  <c r="CI111" i="1"/>
  <c r="AD42" i="3"/>
  <c r="AE11" i="3"/>
  <c r="AC60" i="3"/>
  <c r="D41" i="3"/>
  <c r="C40" i="3"/>
  <c r="E26" i="1"/>
  <c r="AL38" i="1"/>
  <c r="CI23" i="1"/>
  <c r="AC23" i="1"/>
  <c r="CJ82" i="3"/>
  <c r="AL27" i="1"/>
  <c r="CK79" i="1"/>
  <c r="AE39" i="1"/>
  <c r="CJ75" i="3"/>
  <c r="AD43" i="3"/>
  <c r="AE28" i="3"/>
  <c r="CI19" i="1"/>
  <c r="CK66" i="3"/>
  <c r="L47" i="1"/>
  <c r="C29" i="3"/>
  <c r="CI41" i="1"/>
  <c r="AC50" i="1"/>
  <c r="CI84" i="1"/>
  <c r="E47" i="1"/>
  <c r="CI194" i="3"/>
  <c r="L49" i="3"/>
  <c r="C42" i="1"/>
  <c r="CK83" i="3"/>
  <c r="CI218" i="3"/>
  <c r="AC30" i="3"/>
  <c r="CJ252" i="3"/>
  <c r="CJ84" i="1"/>
  <c r="AC48" i="3"/>
  <c r="CJ28" i="3"/>
  <c r="AE20" i="1"/>
  <c r="CJ214" i="3"/>
  <c r="CI181" i="3"/>
  <c r="CJ124" i="3"/>
  <c r="CI226" i="3"/>
  <c r="AC37" i="3"/>
  <c r="CJ120" i="3"/>
  <c r="CK127" i="3"/>
  <c r="L27" i="3"/>
  <c r="CK17" i="3"/>
  <c r="L29" i="3"/>
  <c r="AC12" i="3"/>
  <c r="AD46" i="1"/>
  <c r="CJ33" i="3"/>
  <c r="CJ8" i="3"/>
  <c r="CK82" i="3"/>
  <c r="AE46" i="1"/>
  <c r="CJ242" i="3"/>
  <c r="AE40" i="3"/>
  <c r="C33" i="1"/>
  <c r="CK141" i="3"/>
  <c r="CK195" i="3"/>
  <c r="CK213" i="3"/>
  <c r="E17" i="3"/>
  <c r="CI38" i="1"/>
  <c r="CJ62" i="1"/>
  <c r="CI81" i="1"/>
  <c r="CJ215" i="3"/>
  <c r="AC39" i="3"/>
  <c r="CK43" i="3"/>
  <c r="CK170" i="3"/>
  <c r="CI121" i="1"/>
  <c r="CI168" i="3"/>
  <c r="CI184" i="3"/>
  <c r="C12" i="3"/>
  <c r="CI180" i="3"/>
  <c r="AD52" i="1"/>
  <c r="CK27" i="3"/>
  <c r="CJ225" i="3"/>
  <c r="CI215" i="3"/>
  <c r="AD44" i="1"/>
  <c r="CI154" i="3"/>
  <c r="CK225" i="3"/>
  <c r="CJ237" i="3"/>
  <c r="CK95" i="3"/>
  <c r="CJ41" i="1"/>
  <c r="AE23" i="1"/>
  <c r="AE51" i="3"/>
  <c r="CI152" i="3"/>
  <c r="CJ56" i="1"/>
  <c r="CJ116" i="3"/>
  <c r="CI164" i="3"/>
  <c r="C25" i="3"/>
  <c r="CK174" i="3"/>
  <c r="AC32" i="3"/>
  <c r="E15" i="3"/>
  <c r="CK69" i="3"/>
  <c r="CK217" i="3"/>
  <c r="D26" i="1"/>
  <c r="CI69" i="3"/>
  <c r="C26" i="3"/>
  <c r="CI165" i="3"/>
  <c r="CK241" i="3"/>
  <c r="E51" i="1"/>
  <c r="CJ60" i="3"/>
  <c r="CI56" i="3"/>
  <c r="D61" i="1"/>
  <c r="CK63" i="3"/>
  <c r="CK84" i="1"/>
  <c r="CI243" i="3"/>
  <c r="C41" i="1"/>
  <c r="AE21" i="1"/>
  <c r="L42" i="3"/>
  <c r="CJ102" i="1"/>
  <c r="CK32" i="3"/>
  <c r="CI232" i="3"/>
  <c r="E35" i="1"/>
  <c r="D54" i="3"/>
  <c r="AD13" i="3"/>
  <c r="CK85" i="3"/>
  <c r="AL52" i="1"/>
  <c r="D34" i="1"/>
  <c r="CK29" i="1"/>
  <c r="AC43" i="3"/>
  <c r="CK77" i="1"/>
  <c r="D18" i="3"/>
  <c r="CI24" i="1"/>
  <c r="CI28" i="1"/>
  <c r="AD55" i="1"/>
  <c r="C61" i="1"/>
  <c r="E12" i="3"/>
  <c r="D24" i="3"/>
  <c r="CK107" i="3"/>
  <c r="CJ28" i="1"/>
  <c r="AL42" i="1"/>
  <c r="CI120" i="3"/>
  <c r="AD49" i="3"/>
  <c r="CJ111" i="3"/>
  <c r="AD44" i="3"/>
  <c r="E52" i="3"/>
  <c r="CJ52" i="1"/>
  <c r="CJ202" i="3"/>
  <c r="CK177" i="3"/>
  <c r="CI256" i="3"/>
  <c r="CK126" i="3"/>
  <c r="CI122" i="3"/>
  <c r="AC39" i="1"/>
  <c r="CK232" i="3"/>
  <c r="CK100" i="1"/>
  <c r="CI15" i="3"/>
  <c r="CJ244" i="3"/>
  <c r="AD27" i="1"/>
  <c r="CI97" i="3"/>
  <c r="CK21" i="3"/>
  <c r="CI249" i="3"/>
  <c r="C43" i="1"/>
  <c r="E24" i="1"/>
  <c r="CK187" i="3"/>
  <c r="C50" i="3"/>
  <c r="L50" i="1"/>
  <c r="CK71" i="3"/>
  <c r="CI104" i="3"/>
  <c r="E14" i="3"/>
  <c r="CK191" i="3"/>
  <c r="CJ21" i="3"/>
  <c r="CI30" i="1"/>
  <c r="CJ25" i="1"/>
  <c r="CI171" i="3"/>
  <c r="C34" i="1"/>
  <c r="CJ213" i="3"/>
  <c r="CI158" i="3"/>
  <c r="CI90" i="3"/>
  <c r="CI62" i="3"/>
  <c r="CJ142" i="3"/>
  <c r="CK163" i="3"/>
  <c r="CJ83" i="3"/>
  <c r="CJ105" i="3"/>
  <c r="CK101" i="3"/>
  <c r="CJ42" i="3"/>
  <c r="CI114" i="3"/>
  <c r="CI186" i="3"/>
  <c r="C59" i="1"/>
  <c r="AL40" i="1"/>
  <c r="L34" i="3"/>
  <c r="CI111" i="3"/>
  <c r="CK35" i="1"/>
  <c r="D50" i="1"/>
  <c r="CJ13" i="3"/>
  <c r="CJ223" i="3"/>
  <c r="AD59" i="3"/>
  <c r="CJ192" i="3"/>
  <c r="CJ89" i="3"/>
  <c r="CJ182" i="3"/>
  <c r="CK146" i="3"/>
  <c r="CK194" i="3"/>
  <c r="CI223" i="3"/>
  <c r="AL43" i="1"/>
  <c r="AC32" i="1"/>
  <c r="CJ197" i="3"/>
  <c r="AD9" i="3"/>
  <c r="L36" i="3"/>
  <c r="AE36" i="3"/>
  <c r="CI242" i="3"/>
  <c r="CK93" i="3"/>
  <c r="D56" i="1"/>
  <c r="CI114" i="1"/>
  <c r="CI255" i="3"/>
  <c r="CI60" i="3"/>
  <c r="E50" i="1"/>
  <c r="CK116" i="1"/>
  <c r="AC38" i="3"/>
  <c r="CI217" i="3"/>
  <c r="AL24" i="1"/>
  <c r="CI11" i="3"/>
  <c r="L46" i="1"/>
  <c r="L40" i="3"/>
  <c r="CI84" i="3"/>
  <c r="CK103" i="3"/>
  <c r="CI56" i="1"/>
  <c r="E58" i="1"/>
  <c r="E7" i="3"/>
  <c r="CI117" i="1"/>
  <c r="AC49" i="3"/>
  <c r="CK116" i="3"/>
  <c r="CJ151" i="3"/>
  <c r="AE61" i="1"/>
  <c r="E52" i="1"/>
  <c r="CI128" i="3"/>
  <c r="L18" i="3"/>
  <c r="E63" i="3"/>
  <c r="CK251" i="3"/>
  <c r="CI234" i="3"/>
  <c r="CK11" i="1"/>
  <c r="AL34" i="1"/>
  <c r="CJ71" i="1"/>
  <c r="CI200" i="3"/>
  <c r="CJ24" i="3"/>
  <c r="CK58" i="3"/>
  <c r="CI65" i="1"/>
  <c r="CK244" i="3"/>
  <c r="L21" i="1"/>
  <c r="AC46" i="1"/>
  <c r="CI33" i="3"/>
  <c r="AE46" i="3"/>
  <c r="CJ217" i="3"/>
  <c r="CK128" i="3"/>
  <c r="D22" i="1"/>
  <c r="CK228" i="3"/>
  <c r="CI4" i="3"/>
  <c r="CI130" i="3"/>
  <c r="CI151" i="3"/>
  <c r="CI48" i="3"/>
  <c r="CI211" i="3"/>
  <c r="D13" i="3"/>
  <c r="AD10" i="3"/>
  <c r="L29" i="1"/>
  <c r="AD33" i="1"/>
  <c r="CJ97" i="3"/>
  <c r="C43" i="3"/>
  <c r="AD59" i="1"/>
  <c r="CI74" i="3"/>
  <c r="CJ63" i="3"/>
  <c r="CK112" i="3"/>
  <c r="L41" i="3"/>
  <c r="CK94" i="3"/>
  <c r="CI245" i="3"/>
  <c r="CK214" i="3"/>
  <c r="CJ14" i="1"/>
  <c r="CJ93" i="1"/>
  <c r="D14" i="3"/>
  <c r="C19" i="3"/>
  <c r="CI150" i="3"/>
  <c r="CJ247" i="3"/>
  <c r="CK253" i="3"/>
  <c r="D43" i="3"/>
  <c r="CJ97" i="1"/>
  <c r="CJ224" i="3"/>
  <c r="AL60" i="1"/>
  <c r="AC47" i="1"/>
  <c r="CI71" i="3"/>
  <c r="CK256" i="3"/>
  <c r="L11" i="3"/>
  <c r="L43" i="1"/>
  <c r="CI92" i="3"/>
  <c r="AC48" i="1"/>
  <c r="CJ100" i="1"/>
  <c r="CJ243" i="3"/>
  <c r="CI18" i="1"/>
  <c r="E25" i="3"/>
  <c r="L40" i="1"/>
  <c r="CJ40" i="1"/>
  <c r="AC21" i="3"/>
  <c r="CI94" i="1"/>
  <c r="CI252" i="3"/>
  <c r="AC22" i="3"/>
  <c r="CK36" i="3"/>
  <c r="CI68" i="3"/>
  <c r="CK255" i="3"/>
  <c r="D49" i="1"/>
  <c r="C58" i="1"/>
  <c r="E46" i="1"/>
  <c r="CJ7" i="3"/>
  <c r="CK190" i="3"/>
  <c r="CJ110" i="3"/>
  <c r="CK192" i="3"/>
  <c r="D25" i="1"/>
  <c r="CK52" i="1"/>
  <c r="CI34" i="3"/>
  <c r="CK102" i="3"/>
  <c r="AE60" i="1"/>
  <c r="CJ189" i="3"/>
  <c r="CI89" i="3"/>
  <c r="AE16" i="3"/>
  <c r="CI257" i="3"/>
  <c r="CI237" i="3"/>
  <c r="CI224" i="3"/>
  <c r="AE59" i="1"/>
  <c r="CK222" i="3"/>
  <c r="CK198" i="3"/>
  <c r="AE42" i="1"/>
  <c r="AE45" i="3"/>
  <c r="CI197" i="3"/>
  <c r="CI110" i="3"/>
  <c r="CK38" i="3"/>
  <c r="L28" i="1"/>
  <c r="CJ198" i="3"/>
  <c r="CI201" i="3"/>
  <c r="AE30" i="1"/>
  <c r="CI183" i="3"/>
  <c r="CI78" i="3"/>
  <c r="D61" i="3"/>
  <c r="CJ181" i="3"/>
  <c r="CK140" i="3"/>
  <c r="CI55" i="1"/>
  <c r="CI61" i="1"/>
  <c r="E60" i="3"/>
  <c r="AD24" i="1"/>
  <c r="CJ185" i="3"/>
  <c r="CK229" i="3"/>
  <c r="C32" i="3"/>
  <c r="CJ162" i="3"/>
  <c r="CJ166" i="3"/>
  <c r="CK138" i="3"/>
  <c r="CI140" i="3"/>
  <c r="CJ186" i="3"/>
  <c r="CI208" i="3"/>
  <c r="CK216" i="3"/>
  <c r="E38" i="3"/>
  <c r="L58" i="3"/>
  <c r="CJ74" i="1"/>
  <c r="CK200" i="3"/>
  <c r="CJ188" i="3"/>
  <c r="AE47" i="1"/>
  <c r="AD42" i="1"/>
  <c r="CK230" i="3"/>
  <c r="CJ240" i="3"/>
  <c r="CK204" i="3"/>
  <c r="AC49" i="1"/>
  <c r="CJ77" i="3"/>
  <c r="CI209" i="3"/>
  <c r="CK221" i="3"/>
  <c r="CJ82" i="1"/>
  <c r="AD16" i="3"/>
  <c r="AC50" i="3"/>
  <c r="E48" i="3"/>
  <c r="CK168" i="3"/>
  <c r="AD37" i="1"/>
  <c r="CK65" i="3"/>
  <c r="CI207" i="3"/>
  <c r="C35" i="1"/>
  <c r="CI52" i="3"/>
  <c r="CK220" i="3"/>
  <c r="CI35" i="3"/>
  <c r="CK171" i="3"/>
  <c r="CI160" i="3"/>
  <c r="CK154" i="3"/>
  <c r="CJ53" i="1"/>
  <c r="CJ92" i="1"/>
  <c r="CJ239" i="3"/>
  <c r="CJ34" i="3"/>
  <c r="CK99" i="1"/>
  <c r="CJ66" i="1"/>
  <c r="CI67" i="1"/>
  <c r="CK55" i="1"/>
  <c r="CI13" i="1"/>
  <c r="CK20" i="1"/>
  <c r="CJ236" i="3"/>
  <c r="CK80" i="3"/>
  <c r="CI62" i="1"/>
  <c r="CK49" i="1"/>
  <c r="CK56" i="3"/>
  <c r="D30" i="1"/>
  <c r="E57" i="1"/>
  <c r="CK34" i="1"/>
  <c r="CI51" i="1"/>
  <c r="CI92" i="1"/>
  <c r="CK39" i="1"/>
  <c r="AE50" i="3"/>
  <c r="CI42" i="3"/>
  <c r="CK64" i="1"/>
  <c r="CI136" i="3"/>
  <c r="CI145" i="3"/>
  <c r="CJ238" i="3"/>
  <c r="AE25" i="1"/>
  <c r="CI52" i="1"/>
  <c r="CI63" i="3"/>
  <c r="AE31" i="1"/>
  <c r="C64" i="3"/>
  <c r="CJ132" i="3"/>
  <c r="AD41" i="3"/>
  <c r="L52" i="1"/>
  <c r="AE50" i="1"/>
  <c r="AL21" i="1"/>
  <c r="D56" i="3"/>
  <c r="AD43" i="1"/>
  <c r="CJ96" i="3"/>
  <c r="C59" i="3"/>
  <c r="L30" i="3"/>
  <c r="CK8" i="3"/>
  <c r="E9" i="3"/>
  <c r="L59" i="3"/>
  <c r="CI11" i="1"/>
  <c r="L52" i="3"/>
  <c r="AC29" i="3"/>
  <c r="AD31" i="3"/>
  <c r="CK109" i="1"/>
  <c r="AE55" i="3"/>
  <c r="AL25" i="1"/>
  <c r="AD51" i="3"/>
  <c r="CI105" i="3"/>
  <c r="AC53" i="1"/>
  <c r="E46" i="3"/>
  <c r="CJ106" i="3"/>
  <c r="D54" i="1"/>
  <c r="CJ167" i="3"/>
  <c r="C53" i="3"/>
  <c r="D37" i="3"/>
  <c r="D53" i="1"/>
  <c r="D36" i="1"/>
  <c r="E13" i="3"/>
  <c r="D50" i="3"/>
  <c r="AD26" i="3"/>
  <c r="E41" i="3"/>
  <c r="L38" i="3"/>
  <c r="AL44" i="1"/>
  <c r="AD54" i="3"/>
  <c r="D31" i="1"/>
  <c r="CI189" i="3"/>
  <c r="CK78" i="3"/>
  <c r="AE15" i="3"/>
  <c r="CK37" i="3"/>
  <c r="CK40" i="1"/>
  <c r="E36" i="1"/>
  <c r="AE58" i="3"/>
  <c r="CI30" i="3"/>
  <c r="CI101" i="3"/>
  <c r="CI202" i="3"/>
  <c r="AC52" i="3"/>
  <c r="CK158" i="3"/>
  <c r="CJ85" i="3"/>
  <c r="CK104" i="3"/>
  <c r="E45" i="1"/>
  <c r="CJ143" i="3"/>
  <c r="CI79" i="1"/>
  <c r="CI39" i="3"/>
  <c r="CI109" i="3"/>
  <c r="L63" i="3"/>
  <c r="AC19" i="3"/>
  <c r="CK149" i="3"/>
  <c r="CI139" i="3"/>
  <c r="CJ100" i="3"/>
  <c r="E42" i="1"/>
  <c r="CJ144" i="3"/>
  <c r="CJ101" i="3"/>
  <c r="CK98" i="1"/>
  <c r="CJ137" i="3"/>
  <c r="CJ26" i="3"/>
  <c r="AE57" i="3"/>
  <c r="CI178" i="3"/>
  <c r="CI6" i="3"/>
  <c r="C13" i="1"/>
  <c r="CI118" i="1"/>
  <c r="CI100" i="1"/>
  <c r="L39" i="1"/>
  <c r="CI29" i="1"/>
  <c r="CJ125" i="3"/>
  <c r="C21" i="1"/>
  <c r="CK181" i="3"/>
  <c r="CI127" i="3"/>
  <c r="E57" i="3"/>
  <c r="CJ171" i="3"/>
  <c r="CK193" i="3"/>
  <c r="CJ58" i="3"/>
  <c r="CK41" i="3"/>
  <c r="CI134" i="3"/>
  <c r="AD52" i="3"/>
  <c r="CJ169" i="3"/>
  <c r="C38" i="3"/>
  <c r="CK155" i="3"/>
  <c r="AC18" i="3"/>
  <c r="C10" i="3"/>
  <c r="CK239" i="3"/>
  <c r="D64" i="3"/>
  <c r="AC26" i="3"/>
  <c r="AD24" i="3"/>
  <c r="CJ91" i="3"/>
  <c r="AC61" i="3"/>
  <c r="CJ22" i="3"/>
  <c r="AD21" i="1"/>
  <c r="L35" i="3"/>
  <c r="CI19" i="3"/>
  <c r="L49" i="1"/>
  <c r="AD6" i="3"/>
  <c r="CI21" i="3"/>
  <c r="AC45" i="3"/>
  <c r="D22" i="3"/>
  <c r="CJ73" i="3"/>
  <c r="CK252" i="3"/>
  <c r="L16" i="3"/>
  <c r="CJ227" i="3"/>
  <c r="AE53" i="1"/>
  <c r="AD49" i="1"/>
  <c r="AL41" i="1"/>
  <c r="C28" i="1"/>
  <c r="CJ230" i="3"/>
  <c r="L56" i="3"/>
  <c r="CI191" i="3"/>
  <c r="AD57" i="3"/>
  <c r="C42" i="3"/>
  <c r="CJ179" i="3"/>
  <c r="CK121" i="3"/>
  <c r="CI9" i="3"/>
  <c r="CK145" i="3"/>
  <c r="CJ122" i="3"/>
  <c r="CI49" i="3"/>
  <c r="AC56" i="3"/>
  <c r="CI16" i="3"/>
  <c r="CJ117" i="1"/>
  <c r="CI196" i="3"/>
  <c r="CI43" i="3"/>
  <c r="C22" i="1"/>
  <c r="CK67" i="3"/>
  <c r="D38" i="1"/>
  <c r="L45" i="3"/>
  <c r="L62" i="3"/>
  <c r="CJ146" i="3"/>
  <c r="CI182" i="3"/>
  <c r="CJ165" i="3"/>
  <c r="L14" i="1"/>
  <c r="CJ112" i="3"/>
  <c r="C29" i="1"/>
  <c r="E40" i="3"/>
  <c r="G2" i="3"/>
  <c r="CI61" i="3"/>
  <c r="L16" i="1"/>
  <c r="D21" i="3"/>
  <c r="C55" i="3"/>
  <c r="CJ108" i="1"/>
  <c r="CI27" i="1"/>
  <c r="CK234" i="3"/>
  <c r="AC45" i="1"/>
  <c r="CJ204" i="3"/>
  <c r="CK224" i="3"/>
  <c r="CJ16" i="3"/>
  <c r="CJ249" i="3"/>
  <c r="CJ156" i="3"/>
  <c r="CJ104" i="3"/>
  <c r="CI26" i="3"/>
  <c r="CK162" i="3"/>
  <c r="CJ157" i="3"/>
  <c r="CK223" i="3"/>
  <c r="E32" i="1"/>
  <c r="AC62" i="1"/>
  <c r="CK94" i="1"/>
  <c r="CJ40" i="3"/>
  <c r="CJ69" i="3"/>
  <c r="CI214" i="3"/>
  <c r="CI94" i="3"/>
  <c r="CK76" i="3"/>
  <c r="CI144" i="3"/>
  <c r="AL6" i="3"/>
  <c r="CK210" i="3"/>
  <c r="CK203" i="3"/>
  <c r="CJ25" i="3"/>
  <c r="C39" i="3"/>
  <c r="CK28" i="3"/>
  <c r="C34" i="3"/>
  <c r="L44" i="3"/>
  <c r="AE43" i="1"/>
  <c r="CK215" i="3"/>
  <c r="CJ219" i="3"/>
  <c r="CI37" i="3"/>
  <c r="AD35" i="1"/>
  <c r="C56" i="3"/>
  <c r="E31" i="1"/>
  <c r="CI123" i="3"/>
  <c r="C61" i="3"/>
  <c r="CI247" i="3"/>
  <c r="CK15" i="3"/>
  <c r="C23" i="1"/>
  <c r="CI44" i="1"/>
  <c r="CI120" i="1"/>
  <c r="AE26" i="3"/>
  <c r="CI155" i="3"/>
  <c r="CK103" i="1"/>
  <c r="CJ42" i="1"/>
  <c r="CJ34" i="1"/>
  <c r="CI33" i="1"/>
  <c r="CK92" i="1"/>
  <c r="CI138" i="3"/>
  <c r="CJ39" i="3"/>
  <c r="CJ41" i="3"/>
  <c r="CI115" i="1"/>
  <c r="CK36" i="1"/>
  <c r="C18" i="1"/>
  <c r="CI163" i="3"/>
  <c r="CJ65" i="3"/>
  <c r="CK7" i="1"/>
  <c r="CI36" i="1"/>
  <c r="CJ36" i="1"/>
  <c r="CI119" i="1"/>
  <c r="CI239" i="3"/>
  <c r="CI80" i="3"/>
  <c r="CJ18" i="3"/>
  <c r="CK169" i="3"/>
  <c r="CK35" i="3"/>
  <c r="AD19" i="3"/>
  <c r="CI101" i="1"/>
  <c r="D21" i="1"/>
  <c r="CJ59" i="3"/>
  <c r="CK202" i="3"/>
  <c r="CK211" i="3"/>
  <c r="CK182" i="3"/>
  <c r="CK96" i="3"/>
  <c r="CI44" i="3"/>
  <c r="CI66" i="3"/>
  <c r="CK72" i="3"/>
  <c r="CJ107" i="3"/>
  <c r="CI16" i="1"/>
  <c r="CK29" i="3"/>
  <c r="CK20" i="3"/>
  <c r="CI225" i="3"/>
  <c r="CJ216" i="3"/>
  <c r="CK136" i="3"/>
  <c r="AD11" i="3"/>
  <c r="CI103" i="3"/>
  <c r="AE7" i="3"/>
  <c r="AD36" i="3"/>
  <c r="CK167" i="3"/>
  <c r="D46" i="1"/>
  <c r="CJ130" i="3"/>
  <c r="CI167" i="3"/>
  <c r="CJ56" i="3"/>
  <c r="CI125" i="3"/>
  <c r="CI153" i="3"/>
  <c r="CK99" i="3"/>
  <c r="C14" i="1"/>
  <c r="CI117" i="3"/>
  <c r="H3" i="3"/>
  <c r="CK62" i="1"/>
  <c r="CI34" i="1"/>
  <c r="CJ9" i="1"/>
  <c r="CK207" i="3"/>
  <c r="CJ24" i="1"/>
  <c r="CI91" i="3"/>
  <c r="C7" i="1"/>
  <c r="CI20" i="1"/>
  <c r="CI95" i="3"/>
  <c r="CJ161" i="3"/>
  <c r="CJ119" i="1"/>
  <c r="CI85" i="1"/>
  <c r="CJ120" i="1"/>
  <c r="CJ119" i="3"/>
  <c r="CI103" i="1"/>
  <c r="CK8" i="1"/>
  <c r="CJ48" i="3"/>
  <c r="CI91" i="1"/>
  <c r="CI66" i="1"/>
  <c r="CJ22" i="1"/>
  <c r="CI7" i="1"/>
  <c r="CK55" i="3"/>
  <c r="CJ44" i="3"/>
  <c r="CI229" i="3"/>
  <c r="CI57" i="1"/>
  <c r="CK51" i="1"/>
  <c r="CK54" i="1"/>
  <c r="CJ67" i="1"/>
  <c r="CI18" i="3"/>
  <c r="CJ16" i="1"/>
  <c r="CK68" i="1"/>
  <c r="CJ78" i="1"/>
  <c r="D28" i="3"/>
  <c r="CJ178" i="3"/>
  <c r="CJ222" i="3"/>
  <c r="CK110" i="1"/>
  <c r="CI86" i="1"/>
  <c r="CK107" i="1"/>
  <c r="CJ159" i="3"/>
  <c r="CJ170" i="3"/>
  <c r="CJ13" i="1"/>
  <c r="AC42" i="3"/>
  <c r="CK236" i="3"/>
  <c r="CI110" i="1"/>
  <c r="CJ115" i="1"/>
  <c r="CK13" i="1"/>
  <c r="CK57" i="3"/>
  <c r="CK46" i="1"/>
  <c r="CK91" i="1"/>
  <c r="CJ108" i="3"/>
  <c r="CI77" i="1"/>
  <c r="CJ4" i="3"/>
  <c r="AL56" i="1"/>
  <c r="CJ35" i="1"/>
  <c r="AD22" i="3"/>
  <c r="AD50" i="1"/>
  <c r="CI40" i="3"/>
  <c r="CJ88" i="1"/>
  <c r="CK15" i="1"/>
  <c r="D51" i="3"/>
  <c r="CK206" i="3"/>
  <c r="CK73" i="1"/>
  <c r="CI187" i="3"/>
  <c r="CJ190" i="3"/>
  <c r="CJ139" i="3"/>
  <c r="CK62" i="3"/>
  <c r="C31" i="1"/>
  <c r="CJ152" i="3"/>
  <c r="CJ207" i="3"/>
  <c r="E64" i="3"/>
  <c r="CI156" i="3"/>
  <c r="CK26" i="3"/>
  <c r="C33" i="3"/>
  <c r="AL20" i="1"/>
  <c r="CK152" i="3"/>
  <c r="AD41" i="1"/>
  <c r="CJ228" i="3"/>
  <c r="CJ234" i="3"/>
  <c r="L21" i="3"/>
  <c r="CJ29" i="3"/>
  <c r="CK184" i="3"/>
  <c r="AD25" i="3"/>
  <c r="CI108" i="1"/>
  <c r="CJ47" i="3"/>
  <c r="CI147" i="3"/>
  <c r="CJ33" i="1"/>
  <c r="CJ7" i="1"/>
  <c r="CJ96" i="1"/>
  <c r="CK218" i="3"/>
  <c r="CI161" i="3"/>
  <c r="CK189" i="3"/>
  <c r="CJ68" i="1"/>
  <c r="CI8" i="1"/>
  <c r="CK42" i="3"/>
  <c r="CK30" i="3"/>
  <c r="C11" i="1"/>
  <c r="CK115" i="1"/>
  <c r="CK201" i="3"/>
  <c r="CJ235" i="3"/>
  <c r="CK9" i="1"/>
  <c r="CI96" i="1"/>
  <c r="CI231" i="3"/>
  <c r="C15" i="1"/>
  <c r="CK37" i="1"/>
  <c r="CK53" i="1"/>
  <c r="CJ4" i="1"/>
  <c r="CI112" i="1"/>
  <c r="AC46" i="3"/>
  <c r="CJ72" i="3"/>
  <c r="CK16" i="1"/>
  <c r="C32" i="1"/>
  <c r="CJ59" i="1"/>
  <c r="CK40" i="3"/>
  <c r="CJ85" i="1"/>
  <c r="CK43" i="1"/>
  <c r="CI78" i="1"/>
  <c r="CK175" i="3"/>
  <c r="CI55" i="3"/>
  <c r="CI49" i="1"/>
  <c r="CI22" i="1"/>
  <c r="CK14" i="1"/>
  <c r="CI25" i="1"/>
  <c r="CK148" i="3"/>
  <c r="CJ51" i="1"/>
  <c r="CK119" i="3"/>
  <c r="CK113" i="3"/>
  <c r="CI50" i="1"/>
  <c r="CI175" i="3"/>
  <c r="CJ113" i="1"/>
  <c r="AL51" i="1"/>
  <c r="C63" i="3"/>
  <c r="CK219" i="3"/>
  <c r="CK151" i="3"/>
  <c r="CJ94" i="3"/>
  <c r="CJ155" i="3"/>
  <c r="AC36" i="1"/>
  <c r="CJ52" i="3"/>
  <c r="CK142" i="3"/>
  <c r="CJ113" i="3"/>
  <c r="AC36" i="3"/>
  <c r="CJ37" i="3"/>
  <c r="AD56" i="3"/>
  <c r="CK91" i="3"/>
  <c r="AC44" i="3"/>
  <c r="CJ248" i="3"/>
  <c r="CK39" i="3"/>
  <c r="CK33" i="3"/>
  <c r="CI133" i="3"/>
  <c r="CK34" i="3"/>
  <c r="C28" i="3"/>
  <c r="C26" i="1"/>
  <c r="C47" i="3"/>
  <c r="CJ131" i="3"/>
  <c r="CJ226" i="3"/>
  <c r="CJ55" i="3"/>
  <c r="AC10" i="3"/>
  <c r="D9" i="3"/>
  <c r="CK59" i="1"/>
  <c r="CI46" i="3"/>
  <c r="CJ251" i="3"/>
  <c r="CJ116" i="1"/>
  <c r="CI37" i="1"/>
  <c r="C9" i="1"/>
  <c r="E8" i="3"/>
  <c r="CJ163" i="3"/>
  <c r="CK33" i="1"/>
  <c r="CK38" i="1"/>
  <c r="CJ32" i="1"/>
  <c r="CI45" i="3"/>
  <c r="CJ154" i="3"/>
  <c r="CI21" i="1"/>
  <c r="CJ118" i="1"/>
  <c r="CJ73" i="1"/>
  <c r="CK23" i="3"/>
  <c r="CJ118" i="3"/>
  <c r="CK10" i="1"/>
  <c r="CJ187" i="3"/>
  <c r="CJ61" i="1"/>
  <c r="CJ49" i="1"/>
  <c r="CI99" i="1"/>
  <c r="CK95" i="1"/>
  <c r="CJ95" i="1"/>
  <c r="CJ76" i="3"/>
  <c r="CI47" i="3"/>
  <c r="CI42" i="1"/>
  <c r="CJ57" i="1"/>
  <c r="CK93" i="1"/>
  <c r="AD28" i="3"/>
  <c r="CK111" i="3"/>
  <c r="CK4" i="1"/>
  <c r="D57" i="1"/>
  <c r="CK238" i="3"/>
  <c r="C50" i="1"/>
  <c r="CI241" i="3"/>
  <c r="CI129" i="3"/>
  <c r="L23" i="1"/>
  <c r="CJ106" i="1"/>
  <c r="CK96" i="1"/>
  <c r="CI98" i="1"/>
  <c r="CI159" i="3"/>
  <c r="CK67" i="1"/>
  <c r="CI51" i="3"/>
  <c r="CJ53" i="3"/>
  <c r="CJ175" i="3"/>
  <c r="CJ10" i="1"/>
  <c r="CJ50" i="1"/>
  <c r="C8" i="1"/>
  <c r="CI54" i="1"/>
  <c r="AE57" i="1"/>
  <c r="C23" i="3"/>
  <c r="E40" i="1"/>
  <c r="D43" i="1"/>
  <c r="CJ176" i="3"/>
  <c r="CJ123" i="3"/>
  <c r="CI13" i="3"/>
  <c r="CJ220" i="3"/>
  <c r="E43" i="1"/>
  <c r="CJ180" i="3"/>
  <c r="CK7" i="3"/>
  <c r="CJ158" i="3"/>
  <c r="D7" i="3"/>
  <c r="CI79" i="3"/>
  <c r="AE35" i="1"/>
  <c r="CK161" i="3"/>
  <c r="CK259" i="3"/>
  <c r="CJ87" i="3"/>
  <c r="CI118" i="3"/>
  <c r="CI137" i="3"/>
  <c r="CK81" i="3"/>
  <c r="CK144" i="3"/>
  <c r="CK70" i="3"/>
  <c r="CI177" i="3"/>
  <c r="CK89" i="3"/>
  <c r="CK248" i="3"/>
  <c r="E30" i="3"/>
  <c r="CK254" i="3"/>
  <c r="CK134" i="3"/>
  <c r="AC35" i="3"/>
  <c r="CJ8" i="1"/>
  <c r="CK160" i="3"/>
  <c r="CJ133" i="3"/>
  <c r="CI46" i="1"/>
  <c r="CK118" i="1"/>
  <c r="CJ21" i="1"/>
  <c r="CJ44" i="1"/>
  <c r="CJ19" i="1"/>
  <c r="CI9" i="1"/>
  <c r="CJ60" i="1"/>
  <c r="CJ107" i="1"/>
  <c r="CJ83" i="1"/>
  <c r="AD61" i="1"/>
  <c r="CI68" i="1"/>
  <c r="CJ43" i="1"/>
  <c r="CJ92" i="3"/>
  <c r="CK196" i="3"/>
  <c r="CK120" i="1"/>
  <c r="CJ94" i="1"/>
  <c r="CK245" i="3"/>
  <c r="CJ54" i="1"/>
  <c r="CJ46" i="1"/>
  <c r="CJ39" i="1"/>
  <c r="CI87" i="1"/>
  <c r="CJ17" i="1"/>
  <c r="CK157" i="3"/>
  <c r="CK147" i="3"/>
  <c r="CJ99" i="1"/>
  <c r="CJ37" i="1"/>
  <c r="C6" i="1"/>
  <c r="AE49" i="3"/>
  <c r="CI14" i="1"/>
  <c r="CK60" i="3"/>
  <c r="AC47" i="3"/>
  <c r="CK119" i="1"/>
  <c r="CK42" i="1"/>
  <c r="CJ64" i="1"/>
  <c r="CK22" i="1"/>
  <c r="C10" i="1"/>
  <c r="CI4" i="1"/>
  <c r="CK44" i="1"/>
  <c r="CI10" i="1"/>
  <c r="CJ140" i="3"/>
  <c r="CJ246" i="3"/>
  <c r="CI169" i="3"/>
  <c r="C16" i="1"/>
  <c r="AL37" i="1"/>
  <c r="CI174" i="3"/>
  <c r="CJ114" i="1"/>
  <c r="CJ86" i="1"/>
  <c r="CI39" i="1"/>
  <c r="L46" i="3"/>
  <c r="CK50" i="1"/>
  <c r="C17" i="1"/>
  <c r="AC6" i="3"/>
  <c r="AC8" i="3"/>
  <c r="CJ177" i="3"/>
  <c r="CJ27" i="3"/>
  <c r="CJ115" i="3"/>
  <c r="CK12" i="1"/>
  <c r="CK233" i="3"/>
  <c r="CJ10" i="3"/>
  <c r="AE43" i="3"/>
  <c r="AC58" i="1"/>
  <c r="E62" i="1"/>
  <c r="CI220" i="3"/>
  <c r="AL48" i="1"/>
  <c r="E50" i="3"/>
  <c r="CK179" i="3"/>
  <c r="CI82" i="3"/>
  <c r="AE22" i="1"/>
  <c r="CK258" i="3"/>
  <c r="CI228" i="3"/>
  <c r="C45" i="1"/>
  <c r="CI8" i="3"/>
  <c r="CI54" i="3"/>
  <c r="AE48" i="3"/>
  <c r="AL50" i="1"/>
  <c r="AE27" i="1"/>
  <c r="C37" i="3"/>
  <c r="C57" i="1"/>
  <c r="L30" i="1"/>
  <c r="CK108" i="3"/>
  <c r="E32" i="3"/>
  <c r="CK129" i="3"/>
  <c r="E35" i="3"/>
  <c r="CI149" i="3"/>
  <c r="CK51" i="3"/>
  <c r="CK16" i="3"/>
  <c r="E43" i="3"/>
  <c r="CJ80" i="1"/>
  <c r="CK45" i="3"/>
  <c r="C27" i="1"/>
  <c r="CK41" i="1"/>
  <c r="CJ9" i="3"/>
  <c r="E42" i="3"/>
  <c r="AE34" i="3"/>
  <c r="CK109" i="3"/>
  <c r="CK84" i="3"/>
  <c r="CI195" i="3"/>
  <c r="C20" i="3"/>
  <c r="CI12" i="3"/>
  <c r="CI238" i="3"/>
  <c r="CI172" i="3"/>
  <c r="CK25" i="3"/>
  <c r="CI121" i="3"/>
  <c r="CI146" i="3"/>
  <c r="CK30" i="1"/>
  <c r="CI31" i="3"/>
  <c r="CK21" i="1"/>
  <c r="CI60" i="1"/>
  <c r="CJ103" i="1"/>
  <c r="CJ67" i="3"/>
  <c r="E36" i="3"/>
  <c r="AD40" i="1"/>
  <c r="C12" i="1"/>
  <c r="CJ91" i="1"/>
  <c r="CJ153" i="3"/>
  <c r="CK13" i="3"/>
  <c r="CK25" i="1"/>
  <c r="C19" i="1"/>
  <c r="CI76" i="3"/>
  <c r="L17" i="1"/>
  <c r="CK227" i="3"/>
  <c r="CI64" i="1"/>
  <c r="L8" i="1"/>
  <c r="CK186" i="3"/>
  <c r="L33" i="3"/>
  <c r="AL58" i="1"/>
  <c r="CK17" i="1"/>
  <c r="CI15" i="1"/>
  <c r="AC55" i="1"/>
  <c r="C48" i="3"/>
  <c r="L37" i="3"/>
  <c r="CI24" i="3"/>
  <c r="CJ6" i="3"/>
  <c r="CI190" i="3"/>
  <c r="CJ80" i="3"/>
  <c r="CI50" i="3"/>
  <c r="AC63" i="3"/>
  <c r="CJ19" i="3"/>
  <c r="CJ17" i="3"/>
  <c r="CI206" i="3"/>
  <c r="CJ20" i="1"/>
  <c r="CJ193" i="3"/>
  <c r="E44" i="3"/>
  <c r="CK18" i="3"/>
  <c r="AC31" i="1"/>
  <c r="CI64" i="3"/>
  <c r="CI236" i="3"/>
  <c r="CJ23" i="3"/>
  <c r="AD29" i="3"/>
  <c r="CI76" i="1"/>
  <c r="CJ26" i="1"/>
  <c r="AE24" i="1"/>
  <c r="AC20" i="3"/>
  <c r="CJ201" i="3"/>
  <c r="CI176" i="3"/>
  <c r="AC30" i="1"/>
  <c r="CK164" i="3"/>
  <c r="L44" i="1"/>
  <c r="CK86" i="1"/>
  <c r="CJ30" i="1"/>
  <c r="CI227" i="3"/>
  <c r="CI106" i="1"/>
  <c r="CK87" i="1"/>
  <c r="CI93" i="1"/>
  <c r="CJ38" i="1"/>
  <c r="D60" i="1"/>
  <c r="CI102" i="3"/>
  <c r="CI17" i="1"/>
  <c r="CK108" i="1"/>
  <c r="CK106" i="1"/>
  <c r="CK31" i="3"/>
  <c r="CK66" i="1"/>
  <c r="CJ55" i="1"/>
  <c r="CI107" i="1"/>
  <c r="AD47" i="3"/>
  <c r="CJ110" i="1"/>
  <c r="CJ195" i="3"/>
  <c r="CK53" i="3"/>
  <c r="CI81" i="3"/>
  <c r="CI95" i="1"/>
  <c r="CI116" i="1"/>
  <c r="CK57" i="1"/>
  <c r="CK60" i="1"/>
  <c r="AE33" i="1"/>
  <c r="L35" i="1"/>
  <c r="AL36" i="1"/>
  <c r="CK85" i="1"/>
  <c r="CI20" i="3"/>
  <c r="CI43" i="1"/>
  <c r="CJ128" i="3"/>
  <c r="CJ30" i="3"/>
  <c r="AE28" i="1"/>
  <c r="AD47" i="1"/>
  <c r="CJ99" i="3"/>
  <c r="CK231" i="3"/>
  <c r="CI83" i="1"/>
  <c r="CJ126" i="3"/>
  <c r="CK188" i="3"/>
  <c r="CK123" i="3"/>
  <c r="CK173" i="3"/>
  <c r="D28" i="1"/>
  <c r="CI17" i="3"/>
  <c r="L39" i="3"/>
  <c r="CK242" i="3"/>
  <c r="L7" i="3"/>
  <c r="CI192" i="3"/>
  <c r="CK237" i="3"/>
  <c r="AC26" i="1"/>
  <c r="CK78" i="1"/>
  <c r="CK100" i="3"/>
  <c r="CI240" i="3"/>
  <c r="CI53" i="1"/>
  <c r="CJ87" i="1"/>
  <c r="CI32" i="1"/>
  <c r="CI107" i="3"/>
  <c r="L58" i="1"/>
  <c r="CK45" i="1"/>
  <c r="CI59" i="3"/>
  <c r="D26" i="3"/>
  <c r="CJ81" i="3"/>
  <c r="CI59" i="1"/>
  <c r="CI67" i="3"/>
  <c r="CI108" i="3"/>
  <c r="CJ38" i="3"/>
  <c r="CK32" i="1"/>
  <c r="CK61" i="1"/>
  <c r="CJ29" i="1"/>
  <c r="R34" i="3"/>
  <c r="R28" i="3"/>
  <c r="R92" i="3"/>
  <c r="R33" i="3"/>
  <c r="R59" i="3"/>
  <c r="R94" i="3"/>
  <c r="R56" i="3"/>
  <c r="R54" i="3"/>
  <c r="R69" i="3"/>
  <c r="R27" i="3"/>
  <c r="R29" i="3"/>
  <c r="R45" i="3"/>
  <c r="R131" i="3"/>
  <c r="R85" i="3"/>
  <c r="R12" i="3"/>
  <c r="R97" i="3"/>
  <c r="R80" i="3"/>
  <c r="R91" i="3"/>
  <c r="R15" i="3"/>
  <c r="R63" i="3"/>
  <c r="R9" i="3"/>
  <c r="R81" i="3"/>
  <c r="R58" i="3"/>
  <c r="R30" i="3"/>
  <c r="R106" i="3"/>
  <c r="R21" i="3"/>
  <c r="R123" i="3"/>
  <c r="R42" i="3"/>
  <c r="R75" i="3"/>
  <c r="R13" i="3"/>
  <c r="R86" i="3"/>
  <c r="R71" i="3"/>
  <c r="R104" i="3"/>
  <c r="R83" i="3"/>
  <c r="R115" i="3"/>
  <c r="R73" i="3"/>
  <c r="R48" i="3"/>
  <c r="R99" i="3"/>
  <c r="R55" i="3"/>
  <c r="R49" i="3"/>
  <c r="R62" i="3"/>
  <c r="R93" i="3"/>
  <c r="R103" i="3"/>
  <c r="R79" i="3"/>
  <c r="R66" i="3"/>
  <c r="R6" i="3"/>
  <c r="R68" i="3"/>
  <c r="R78" i="3"/>
  <c r="R64" i="3"/>
  <c r="R76" i="3"/>
  <c r="R118" i="3"/>
  <c r="R17" i="3"/>
  <c r="R51" i="3"/>
  <c r="R60" i="3"/>
  <c r="R108" i="3"/>
  <c r="R100" i="3"/>
  <c r="R31" i="3"/>
  <c r="R125" i="3"/>
  <c r="R41" i="3"/>
  <c r="R61" i="3"/>
  <c r="R121" i="3"/>
  <c r="R117" i="3"/>
  <c r="R126" i="3"/>
  <c r="R98" i="3"/>
  <c r="R43" i="3"/>
  <c r="R36" i="3"/>
  <c r="R72" i="3"/>
  <c r="R130" i="3"/>
  <c r="R52" i="3"/>
  <c r="R20" i="3"/>
  <c r="R89" i="3"/>
  <c r="R67" i="3"/>
  <c r="R32" i="3"/>
  <c r="R26" i="3"/>
  <c r="R14" i="3"/>
  <c r="R74" i="3"/>
  <c r="R124" i="3"/>
  <c r="R96" i="3"/>
  <c r="R23" i="3"/>
  <c r="R90" i="3"/>
  <c r="R70" i="3"/>
  <c r="R39" i="3"/>
  <c r="R127" i="3"/>
  <c r="R8" i="3"/>
  <c r="R7" i="3"/>
  <c r="R119" i="3"/>
  <c r="R77" i="3"/>
  <c r="R25" i="3"/>
  <c r="R46" i="3"/>
  <c r="R112" i="3"/>
  <c r="R47" i="3"/>
  <c r="R120" i="3"/>
  <c r="R105" i="3"/>
  <c r="R19" i="3"/>
  <c r="R10" i="3"/>
  <c r="R35" i="3"/>
  <c r="R22" i="3"/>
  <c r="R110" i="3"/>
  <c r="R101" i="3"/>
  <c r="R37" i="3"/>
  <c r="R128" i="3"/>
  <c r="R65" i="3"/>
  <c r="R107" i="3"/>
  <c r="R95" i="3"/>
  <c r="R122" i="3"/>
  <c r="R44" i="3"/>
  <c r="R24" i="3"/>
  <c r="R82" i="3"/>
  <c r="R18" i="3"/>
  <c r="R113" i="3"/>
  <c r="R38" i="3"/>
  <c r="R40" i="3"/>
  <c r="R129" i="3"/>
  <c r="R111" i="3"/>
  <c r="R11" i="3"/>
  <c r="R116" i="3"/>
  <c r="R102" i="3"/>
  <c r="R57" i="3"/>
  <c r="R132" i="3"/>
  <c r="R53" i="3"/>
  <c r="R16" i="3"/>
  <c r="R87" i="3"/>
  <c r="R88" i="3"/>
  <c r="R114" i="3"/>
  <c r="R84" i="3"/>
  <c r="R109" i="3"/>
  <c r="R50" i="3"/>
  <c r="CF186" i="3" l="1"/>
  <c r="CG186" i="3" s="1"/>
  <c r="CF81" i="3"/>
  <c r="CG81" i="3" s="1"/>
  <c r="CF80" i="3"/>
  <c r="CG80" i="3" s="1"/>
  <c r="CF195" i="3"/>
  <c r="CG195" i="3" s="1"/>
  <c r="CF215" i="3"/>
  <c r="CG215" i="3" s="1"/>
  <c r="M55" i="3"/>
  <c r="O55" i="3" s="1"/>
  <c r="A38" i="1"/>
  <c r="CF241" i="3"/>
  <c r="CG241" i="3" s="1"/>
  <c r="CF146" i="3"/>
  <c r="CG146" i="3" s="1"/>
  <c r="CF6" i="3"/>
  <c r="CG6" i="3" s="1"/>
  <c r="CF109" i="3"/>
  <c r="CG109" i="3" s="1"/>
  <c r="P23" i="1"/>
  <c r="CF220" i="3"/>
  <c r="CG220" i="3" s="1"/>
  <c r="CF44" i="3"/>
  <c r="CG44" i="3" s="1"/>
  <c r="P50" i="1"/>
  <c r="CF134" i="3"/>
  <c r="CG134" i="3" s="1"/>
  <c r="CF20" i="3"/>
  <c r="CG20" i="3" s="1"/>
  <c r="AM35" i="3"/>
  <c r="AO35" i="3" s="1"/>
  <c r="CF211" i="3"/>
  <c r="CG211" i="3" s="1"/>
  <c r="M28" i="3"/>
  <c r="O28" i="3" s="1"/>
  <c r="Q28" i="3" s="1"/>
  <c r="CF91" i="3"/>
  <c r="CG91" i="3" s="1"/>
  <c r="A9" i="3"/>
  <c r="P9" i="3"/>
  <c r="CF55" i="3"/>
  <c r="CG55" i="3" s="1"/>
  <c r="AM42" i="3"/>
  <c r="AO42" i="3" s="1"/>
  <c r="CF60" i="3"/>
  <c r="CG60" i="3" s="1"/>
  <c r="M25" i="3"/>
  <c r="O25" i="3" s="1"/>
  <c r="CF114" i="3"/>
  <c r="CG114" i="3" s="1"/>
  <c r="CF42" i="3"/>
  <c r="CG42" i="3" s="1"/>
  <c r="A61" i="1"/>
  <c r="P21" i="3"/>
  <c r="A21" i="3"/>
  <c r="CF155" i="3"/>
  <c r="CG155" i="3" s="1"/>
  <c r="AP25" i="3"/>
  <c r="M39" i="3"/>
  <c r="O39" i="3" s="1"/>
  <c r="AP31" i="1"/>
  <c r="CF178" i="3"/>
  <c r="CG178" i="3" s="1"/>
  <c r="CF39" i="3"/>
  <c r="CG39" i="3" s="1"/>
  <c r="AM63" i="3"/>
  <c r="AO63" i="3" s="1"/>
  <c r="CF47" i="3"/>
  <c r="CG47" i="3" s="1"/>
  <c r="CF245" i="3"/>
  <c r="CG245" i="3" s="1"/>
  <c r="CF48" i="3"/>
  <c r="CG48" i="3" s="1"/>
  <c r="CF240" i="3"/>
  <c r="CG240" i="3" s="1"/>
  <c r="CF102" i="3"/>
  <c r="CG102" i="3" s="1"/>
  <c r="CF147" i="3"/>
  <c r="CG147" i="3" s="1"/>
  <c r="P27" i="1"/>
  <c r="CF15" i="3"/>
  <c r="CG15" i="3" s="1"/>
  <c r="CF76" i="3"/>
  <c r="CG76" i="3" s="1"/>
  <c r="CF160" i="3"/>
  <c r="CG160" i="3" s="1"/>
  <c r="CF231" i="3"/>
  <c r="CG231" i="3" s="1"/>
  <c r="CF82" i="3"/>
  <c r="CG82" i="3" s="1"/>
  <c r="CF141" i="3"/>
  <c r="CG141" i="3" s="1"/>
  <c r="CF255" i="3"/>
  <c r="CG255" i="3" s="1"/>
  <c r="CF164" i="3"/>
  <c r="CG164" i="3" s="1"/>
  <c r="P22" i="1"/>
  <c r="AP40" i="3"/>
  <c r="CF56" i="3"/>
  <c r="CG56" i="3" s="1"/>
  <c r="CF79" i="1"/>
  <c r="CG79" i="1" s="1"/>
  <c r="CF98" i="3"/>
  <c r="CG98" i="3" s="1"/>
  <c r="CF121" i="3"/>
  <c r="CG121" i="3" s="1"/>
  <c r="CF247" i="3"/>
  <c r="CG247" i="3" s="1"/>
  <c r="CF54" i="3"/>
  <c r="CG54" i="3" s="1"/>
  <c r="P61" i="3"/>
  <c r="A61" i="3"/>
  <c r="CF244" i="3"/>
  <c r="CG244" i="3" s="1"/>
  <c r="AM47" i="3"/>
  <c r="AO47" i="3" s="1"/>
  <c r="CF151" i="3"/>
  <c r="CG151" i="3" s="1"/>
  <c r="CF57" i="3"/>
  <c r="CG57" i="3" s="1"/>
  <c r="CF209" i="3"/>
  <c r="CG209" i="3" s="1"/>
  <c r="CF229" i="3"/>
  <c r="CG229" i="3" s="1"/>
  <c r="CF208" i="3"/>
  <c r="CG208" i="3" s="1"/>
  <c r="AM10" i="3"/>
  <c r="AO10" i="3" s="1"/>
  <c r="CF114" i="1"/>
  <c r="CG114" i="1" s="1"/>
  <c r="CF61" i="3"/>
  <c r="CG61" i="3" s="1"/>
  <c r="CF43" i="3"/>
  <c r="CG43" i="3" s="1"/>
  <c r="CF225" i="3"/>
  <c r="CG225" i="3" s="1"/>
  <c r="P60" i="1"/>
  <c r="M61" i="3"/>
  <c r="O61" i="3" s="1"/>
  <c r="Q61" i="3" s="1"/>
  <c r="AP36" i="3"/>
  <c r="CF206" i="3"/>
  <c r="CG206" i="3" s="1"/>
  <c r="CF153" i="3"/>
  <c r="CG153" i="3" s="1"/>
  <c r="CF78" i="3"/>
  <c r="CG78" i="3" s="1"/>
  <c r="CF224" i="3"/>
  <c r="CG224" i="3" s="1"/>
  <c r="AP47" i="3"/>
  <c r="CF67" i="3"/>
  <c r="CG67" i="3" s="1"/>
  <c r="CF130" i="3"/>
  <c r="CG130" i="3" s="1"/>
  <c r="CF131" i="3"/>
  <c r="CG131" i="3" s="1"/>
  <c r="CF35" i="3"/>
  <c r="CG35" i="3" s="1"/>
  <c r="CF76" i="1"/>
  <c r="CG76" i="1" s="1"/>
  <c r="CF104" i="3"/>
  <c r="CG104" i="3" s="1"/>
  <c r="CF129" i="3"/>
  <c r="CG129" i="3" s="1"/>
  <c r="AP26" i="1"/>
  <c r="A56" i="1"/>
  <c r="P51" i="3"/>
  <c r="A51" i="3"/>
  <c r="CF233" i="3"/>
  <c r="CG233" i="3" s="1"/>
  <c r="CF180" i="3"/>
  <c r="CG180" i="3" s="1"/>
  <c r="B3" i="3"/>
  <c r="CF196" i="3"/>
  <c r="CG196" i="3" s="1"/>
  <c r="CF75" i="1"/>
  <c r="CG75" i="1" s="1"/>
  <c r="CF120" i="3"/>
  <c r="CG120" i="3" s="1"/>
  <c r="CF123" i="3"/>
  <c r="CG123" i="3" s="1"/>
  <c r="CF8" i="3"/>
  <c r="CG8" i="3" s="1"/>
  <c r="CF26" i="3"/>
  <c r="CG26" i="3" s="1"/>
  <c r="AP44" i="3"/>
  <c r="CF183" i="3"/>
  <c r="CG183" i="3" s="1"/>
  <c r="CF237" i="3"/>
  <c r="CG237" i="3" s="1"/>
  <c r="AP49" i="1"/>
  <c r="CF4" i="3"/>
  <c r="CG4" i="3" s="1"/>
  <c r="AP27" i="3"/>
  <c r="CF227" i="3"/>
  <c r="CG227" i="3" s="1"/>
  <c r="CF133" i="3"/>
  <c r="CG133" i="3" s="1"/>
  <c r="CF140" i="3"/>
  <c r="CG140" i="3" s="1"/>
  <c r="AP39" i="1"/>
  <c r="CF218" i="3"/>
  <c r="CG218" i="3" s="1"/>
  <c r="CF112" i="1"/>
  <c r="CG112" i="1" s="1"/>
  <c r="AP59" i="3"/>
  <c r="P33" i="1"/>
  <c r="AM37" i="3"/>
  <c r="AO37" i="3" s="1"/>
  <c r="CF221" i="3"/>
  <c r="CG221" i="3" s="1"/>
  <c r="CF152" i="3"/>
  <c r="CG152" i="3" s="1"/>
  <c r="P26" i="3"/>
  <c r="A26" i="3"/>
  <c r="M31" i="3"/>
  <c r="O31" i="3" s="1"/>
  <c r="CF51" i="3"/>
  <c r="CG51" i="3" s="1"/>
  <c r="M33" i="3"/>
  <c r="O33" i="3" s="1"/>
  <c r="M12" i="3"/>
  <c r="O12" i="3" s="1"/>
  <c r="CF124" i="3"/>
  <c r="CG124" i="3" s="1"/>
  <c r="AP56" i="3"/>
  <c r="CF239" i="3"/>
  <c r="CG239" i="3" s="1"/>
  <c r="CF50" i="3"/>
  <c r="CG50" i="3" s="1"/>
  <c r="CF59" i="3"/>
  <c r="CG59" i="3" s="1"/>
  <c r="CF40" i="3"/>
  <c r="CG40" i="3" s="1"/>
  <c r="CF257" i="3"/>
  <c r="CG257" i="3" s="1"/>
  <c r="CF125" i="3"/>
  <c r="CG125" i="3" s="1"/>
  <c r="P31" i="1"/>
  <c r="CF119" i="3"/>
  <c r="CG119" i="3" s="1"/>
  <c r="CF31" i="3"/>
  <c r="CG31" i="3" s="1"/>
  <c r="AP29" i="3"/>
  <c r="CF122" i="3"/>
  <c r="CG122" i="3" s="1"/>
  <c r="CF191" i="3"/>
  <c r="CG191" i="3" s="1"/>
  <c r="CF52" i="3"/>
  <c r="CG52" i="3" s="1"/>
  <c r="CF226" i="3"/>
  <c r="CG226" i="3" s="1"/>
  <c r="A28" i="3"/>
  <c r="P28" i="3"/>
  <c r="AP30" i="1"/>
  <c r="A31" i="3"/>
  <c r="P31" i="3"/>
  <c r="CF242" i="3"/>
  <c r="CG242" i="3" s="1"/>
  <c r="CF187" i="3"/>
  <c r="CG187" i="3" s="1"/>
  <c r="A25" i="3"/>
  <c r="P25" i="3"/>
  <c r="CF174" i="3"/>
  <c r="CG174" i="3" s="1"/>
  <c r="CF165" i="3"/>
  <c r="CG165" i="3" s="1"/>
  <c r="CF184" i="3"/>
  <c r="CG184" i="3" s="1"/>
  <c r="P29" i="1"/>
  <c r="CF16" i="3"/>
  <c r="CG16" i="3" s="1"/>
  <c r="CF27" i="3"/>
  <c r="CG27" i="3" s="1"/>
  <c r="CF18" i="3"/>
  <c r="CG18" i="3" s="1"/>
  <c r="CF172" i="3"/>
  <c r="CG172" i="3" s="1"/>
  <c r="CF144" i="3"/>
  <c r="CG144" i="3" s="1"/>
  <c r="CF98" i="1"/>
  <c r="CG98" i="1" s="1"/>
  <c r="M56" i="3"/>
  <c r="O56" i="3" s="1"/>
  <c r="P45" i="1"/>
  <c r="CF137" i="3"/>
  <c r="CG137" i="3" s="1"/>
  <c r="CF127" i="3"/>
  <c r="CG127" i="3" s="1"/>
  <c r="CF201" i="3"/>
  <c r="CG201" i="3" s="1"/>
  <c r="CF74" i="3"/>
  <c r="CG74" i="3" s="1"/>
  <c r="A22" i="1"/>
  <c r="P35" i="1"/>
  <c r="M50" i="3"/>
  <c r="O50" i="3" s="1"/>
  <c r="CF190" i="3"/>
  <c r="CG190" i="3" s="1"/>
  <c r="CF13" i="3"/>
  <c r="CG13" i="3" s="1"/>
  <c r="CF96" i="3"/>
  <c r="CG96" i="3" s="1"/>
  <c r="CF166" i="3"/>
  <c r="CG166" i="3" s="1"/>
  <c r="M26" i="3"/>
  <c r="O26" i="3" s="1"/>
  <c r="CF168" i="3"/>
  <c r="CG168" i="3" s="1"/>
  <c r="AM56" i="3"/>
  <c r="AO56" i="3" s="1"/>
  <c r="P12" i="3"/>
  <c r="A12" i="3"/>
  <c r="CF219" i="3"/>
  <c r="CG219" i="3" s="1"/>
  <c r="CF103" i="3"/>
  <c r="CG103" i="3" s="1"/>
  <c r="A25" i="1"/>
  <c r="CF89" i="3"/>
  <c r="CG89" i="3" s="1"/>
  <c r="CF17" i="3"/>
  <c r="CG17" i="3" s="1"/>
  <c r="CF74" i="1"/>
  <c r="CG74" i="1" s="1"/>
  <c r="CF256" i="3"/>
  <c r="CG256" i="3" s="1"/>
  <c r="CF207" i="3"/>
  <c r="CG207" i="3" s="1"/>
  <c r="P43" i="3"/>
  <c r="A43" i="3"/>
  <c r="CF181" i="3"/>
  <c r="CG181" i="3" s="1"/>
  <c r="CF176" i="3"/>
  <c r="CG176" i="3" s="1"/>
  <c r="A50" i="1"/>
  <c r="CF62" i="3"/>
  <c r="CG62" i="3" s="1"/>
  <c r="CF149" i="3"/>
  <c r="CG149" i="3" s="1"/>
  <c r="CF169" i="3"/>
  <c r="CG169" i="3" s="1"/>
  <c r="CF121" i="1"/>
  <c r="CG121" i="1" s="1"/>
  <c r="CF49" i="3"/>
  <c r="CG49" i="3" s="1"/>
  <c r="CF75" i="3"/>
  <c r="CG75" i="3" s="1"/>
  <c r="CF25" i="3"/>
  <c r="CG25" i="3" s="1"/>
  <c r="CF69" i="3"/>
  <c r="CG69" i="3" s="1"/>
  <c r="CF79" i="3"/>
  <c r="CG79" i="3" s="1"/>
  <c r="AM52" i="3"/>
  <c r="AO52" i="3" s="1"/>
  <c r="CF238" i="3"/>
  <c r="CG238" i="3" s="1"/>
  <c r="CF94" i="3"/>
  <c r="CG94" i="3" s="1"/>
  <c r="AP58" i="1"/>
  <c r="CF37" i="3"/>
  <c r="CG37" i="3" s="1"/>
  <c r="CF228" i="3"/>
  <c r="CG228" i="3" s="1"/>
  <c r="P21" i="1"/>
  <c r="CF198" i="3"/>
  <c r="CG198" i="3" s="1"/>
  <c r="AP29" i="1"/>
  <c r="CF46" i="3"/>
  <c r="CG46" i="3" s="1"/>
  <c r="CF118" i="3"/>
  <c r="CG118" i="3" s="1"/>
  <c r="M43" i="3"/>
  <c r="O43" i="3" s="1"/>
  <c r="A44" i="1"/>
  <c r="CF136" i="3"/>
  <c r="CG136" i="3" s="1"/>
  <c r="M32" i="3"/>
  <c r="O32" i="3" s="1"/>
  <c r="CF100" i="3"/>
  <c r="CG100" i="3" s="1"/>
  <c r="AM46" i="3"/>
  <c r="AO46" i="3" s="1"/>
  <c r="R3" i="3"/>
  <c r="CF161" i="3"/>
  <c r="CG161" i="3" s="1"/>
  <c r="AP9" i="3"/>
  <c r="CF90" i="3"/>
  <c r="CG90" i="3" s="1"/>
  <c r="P35" i="3"/>
  <c r="A35" i="3"/>
  <c r="CF86" i="3"/>
  <c r="CG86" i="3" s="1"/>
  <c r="A26" i="1"/>
  <c r="CF156" i="3"/>
  <c r="CG156" i="3" s="1"/>
  <c r="AM15" i="3"/>
  <c r="AO15" i="3" s="1"/>
  <c r="CF214" i="3"/>
  <c r="CG214" i="3" s="1"/>
  <c r="CF202" i="3"/>
  <c r="CG202" i="3" s="1"/>
  <c r="AP11" i="3"/>
  <c r="CF70" i="3"/>
  <c r="CG70" i="3" s="1"/>
  <c r="CF167" i="3"/>
  <c r="CG167" i="3" s="1"/>
  <c r="CF108" i="3"/>
  <c r="CG108" i="3" s="1"/>
  <c r="A32" i="1"/>
  <c r="M42" i="3"/>
  <c r="O42" i="3" s="1"/>
  <c r="CF236" i="3"/>
  <c r="CG236" i="3" s="1"/>
  <c r="P43" i="1"/>
  <c r="CF254" i="3"/>
  <c r="CG254" i="3" s="1"/>
  <c r="CF45" i="3"/>
  <c r="CG45" i="3" s="1"/>
  <c r="CF111" i="3"/>
  <c r="CG111" i="3" s="1"/>
  <c r="CF158" i="3"/>
  <c r="CG158" i="3" s="1"/>
  <c r="CF73" i="1"/>
  <c r="CG73" i="1" s="1"/>
  <c r="CF216" i="3"/>
  <c r="CG216" i="3" s="1"/>
  <c r="CF182" i="3"/>
  <c r="CG182" i="3" s="1"/>
  <c r="AP38" i="3"/>
  <c r="CF12" i="3"/>
  <c r="CG12" i="3" s="1"/>
  <c r="CF139" i="3"/>
  <c r="CG139" i="3" s="1"/>
  <c r="CF101" i="3"/>
  <c r="CG101" i="3" s="1"/>
  <c r="CF159" i="3"/>
  <c r="CG159" i="3" s="1"/>
  <c r="CF66" i="3"/>
  <c r="CG66" i="3" s="1"/>
  <c r="A57" i="1"/>
  <c r="CF110" i="3"/>
  <c r="CG110" i="3" s="1"/>
  <c r="AM17" i="3"/>
  <c r="AO17" i="3" s="1"/>
  <c r="CF163" i="3"/>
  <c r="CG163" i="3" s="1"/>
  <c r="CF33" i="3"/>
  <c r="CG33" i="3" s="1"/>
  <c r="AP58" i="3"/>
  <c r="CF14" i="3"/>
  <c r="CG14" i="3" s="1"/>
  <c r="CF249" i="3"/>
  <c r="CG249" i="3" s="1"/>
  <c r="CF117" i="3"/>
  <c r="CG117" i="3" s="1"/>
  <c r="M47" i="3"/>
  <c r="O47" i="3" s="1"/>
  <c r="CF150" i="3"/>
  <c r="CG150" i="3" s="1"/>
  <c r="CF72" i="3"/>
  <c r="CG72" i="3" s="1"/>
  <c r="AP32" i="1"/>
  <c r="CF85" i="3"/>
  <c r="CG85" i="3" s="1"/>
  <c r="AM40" i="3"/>
  <c r="AO40" i="3" s="1"/>
  <c r="CF92" i="3"/>
  <c r="CG92" i="3" s="1"/>
  <c r="AM39" i="3"/>
  <c r="AO39" i="3" s="1"/>
  <c r="CF71" i="3"/>
  <c r="CG71" i="3" s="1"/>
  <c r="CF189" i="3"/>
  <c r="CG189" i="3" s="1"/>
  <c r="CF9" i="3"/>
  <c r="CG9" i="3" s="1"/>
  <c r="CF235" i="3"/>
  <c r="CG235" i="3" s="1"/>
  <c r="CF222" i="3"/>
  <c r="CG222" i="3" s="1"/>
  <c r="CF77" i="1"/>
  <c r="CG77" i="1" s="1"/>
  <c r="CF30" i="3"/>
  <c r="CG30" i="3" s="1"/>
  <c r="A51" i="1"/>
  <c r="CF11" i="3"/>
  <c r="CG11" i="3" s="1"/>
  <c r="CF145" i="3"/>
  <c r="CG145" i="3" s="1"/>
  <c r="M38" i="3"/>
  <c r="O38" i="3" s="1"/>
  <c r="AP45" i="1"/>
  <c r="AP56" i="1"/>
  <c r="CF179" i="3"/>
  <c r="CG179" i="3" s="1"/>
  <c r="P62" i="1"/>
  <c r="CF197" i="3"/>
  <c r="CG197" i="3" s="1"/>
  <c r="CF34" i="3"/>
  <c r="CG34" i="3" s="1"/>
  <c r="CF185" i="3"/>
  <c r="CG185" i="3" s="1"/>
  <c r="CF38" i="3"/>
  <c r="CG38" i="3" s="1"/>
  <c r="CF232" i="3"/>
  <c r="CG232" i="3" s="1"/>
  <c r="CF192" i="3"/>
  <c r="CG192" i="3" s="1"/>
  <c r="P16" i="3"/>
  <c r="A16" i="3"/>
  <c r="AP46" i="1"/>
  <c r="A53" i="3"/>
  <c r="P53" i="3"/>
  <c r="AP8" i="3"/>
  <c r="CF19" i="3"/>
  <c r="CG19" i="3" s="1"/>
  <c r="A60" i="1"/>
  <c r="AM9" i="3"/>
  <c r="AO9" i="3" s="1"/>
  <c r="AP23" i="1"/>
  <c r="M29" i="3"/>
  <c r="O29" i="3" s="1"/>
  <c r="M40" i="3"/>
  <c r="O40" i="3" s="1"/>
  <c r="CF200" i="3"/>
  <c r="CG200" i="3" s="1"/>
  <c r="AM13" i="3"/>
  <c r="AO13" i="3" s="1"/>
  <c r="AM11" i="3"/>
  <c r="AO11" i="3" s="1"/>
  <c r="CF71" i="1"/>
  <c r="CG71" i="1" s="1"/>
  <c r="CF28" i="3"/>
  <c r="CG28" i="3" s="1"/>
  <c r="CF36" i="3"/>
  <c r="CG36" i="3" s="1"/>
  <c r="A41" i="1"/>
  <c r="CF72" i="1"/>
  <c r="CG72" i="1" s="1"/>
  <c r="AP35" i="1"/>
  <c r="M21" i="3"/>
  <c r="O21" i="3" s="1"/>
  <c r="Q21" i="3" s="1"/>
  <c r="CF138" i="3"/>
  <c r="CG138" i="3" s="1"/>
  <c r="A54" i="1"/>
  <c r="M41" i="3"/>
  <c r="O41" i="3" s="1"/>
  <c r="M19" i="3"/>
  <c r="O19" i="3" s="1"/>
  <c r="CF112" i="3"/>
  <c r="CG112" i="3" s="1"/>
  <c r="CF113" i="1"/>
  <c r="CG113" i="1" s="1"/>
  <c r="AP28" i="3"/>
  <c r="A21" i="1"/>
  <c r="P56" i="3"/>
  <c r="A56" i="3"/>
  <c r="AP25" i="1"/>
  <c r="AM61" i="3"/>
  <c r="AO61" i="3" s="1"/>
  <c r="A64" i="3"/>
  <c r="P64" i="3"/>
  <c r="P34" i="1"/>
  <c r="M14" i="3"/>
  <c r="O14" i="3" s="1"/>
  <c r="P56" i="1"/>
  <c r="M46" i="3"/>
  <c r="O46" i="3" s="1"/>
  <c r="AM20" i="3"/>
  <c r="AO20" i="3" s="1"/>
  <c r="AP42" i="1"/>
  <c r="CF154" i="3"/>
  <c r="CG154" i="3" s="1"/>
  <c r="P39" i="1"/>
  <c r="CF199" i="3"/>
  <c r="CG199" i="3" s="1"/>
  <c r="AP38" i="1"/>
  <c r="M52" i="3"/>
  <c r="O52" i="3" s="1"/>
  <c r="AM41" i="3"/>
  <c r="AO41" i="3" s="1"/>
  <c r="A43" i="1"/>
  <c r="AP60" i="1"/>
  <c r="CF105" i="3"/>
  <c r="CG105" i="3" s="1"/>
  <c r="P50" i="3"/>
  <c r="A50" i="3"/>
  <c r="CF143" i="3"/>
  <c r="CG143" i="3" s="1"/>
  <c r="AP34" i="1"/>
  <c r="A7" i="3"/>
  <c r="P7" i="3"/>
  <c r="A48" i="1"/>
  <c r="AM19" i="3"/>
  <c r="AO19" i="3" s="1"/>
  <c r="A62" i="1"/>
  <c r="A58" i="1"/>
  <c r="AP41" i="3"/>
  <c r="CF63" i="3"/>
  <c r="CG63" i="3" s="1"/>
  <c r="A28" i="1"/>
  <c r="P17" i="3"/>
  <c r="A17" i="3"/>
  <c r="A45" i="1"/>
  <c r="M15" i="3"/>
  <c r="O15" i="3" s="1"/>
  <c r="P28" i="1"/>
  <c r="P25" i="1"/>
  <c r="CF32" i="3"/>
  <c r="CG32" i="3" s="1"/>
  <c r="AP27" i="1"/>
  <c r="AP54" i="1"/>
  <c r="AM58" i="3"/>
  <c r="AO58" i="3" s="1"/>
  <c r="AQ58" i="3" s="1"/>
  <c r="AM51" i="3"/>
  <c r="AO51" i="3" s="1"/>
  <c r="AP13" i="3"/>
  <c r="CF99" i="3"/>
  <c r="CG99" i="3" s="1"/>
  <c r="CF69" i="1"/>
  <c r="CG69" i="1" s="1"/>
  <c r="CF113" i="3"/>
  <c r="CG113" i="3" s="1"/>
  <c r="M37" i="3"/>
  <c r="O37" i="3" s="1"/>
  <c r="AM24" i="3"/>
  <c r="AO24" i="3" s="1"/>
  <c r="A55" i="3"/>
  <c r="P55" i="3"/>
  <c r="AP47" i="1"/>
  <c r="M27" i="3"/>
  <c r="O27" i="3" s="1"/>
  <c r="P23" i="3"/>
  <c r="A23" i="3"/>
  <c r="P6" i="3"/>
  <c r="A6" i="3"/>
  <c r="M35" i="3"/>
  <c r="O35" i="3" s="1"/>
  <c r="A31" i="1"/>
  <c r="CF252" i="3"/>
  <c r="CG252" i="3" s="1"/>
  <c r="A35" i="1"/>
  <c r="P32" i="1"/>
  <c r="AM54" i="3"/>
  <c r="AO54" i="3" s="1"/>
  <c r="CF88" i="1"/>
  <c r="CG88" i="1" s="1"/>
  <c r="AM8" i="3"/>
  <c r="AO8" i="3" s="1"/>
  <c r="CF84" i="3"/>
  <c r="CG84" i="3" s="1"/>
  <c r="M20" i="3"/>
  <c r="O20" i="3" s="1"/>
  <c r="A36" i="3"/>
  <c r="P36" i="3"/>
  <c r="M63" i="3"/>
  <c r="O63" i="3" s="1"/>
  <c r="CF128" i="3"/>
  <c r="CG128" i="3" s="1"/>
  <c r="CF115" i="3"/>
  <c r="CG115" i="3" s="1"/>
  <c r="CF106" i="3"/>
  <c r="CG106" i="3" s="1"/>
  <c r="CF21" i="3"/>
  <c r="CG21" i="3" s="1"/>
  <c r="CF142" i="3"/>
  <c r="CG142" i="3" s="1"/>
  <c r="AP52" i="1"/>
  <c r="AP10" i="3"/>
  <c r="AP42" i="3"/>
  <c r="P37" i="1"/>
  <c r="AP32" i="3"/>
  <c r="P30" i="3"/>
  <c r="A30" i="3"/>
  <c r="CF101" i="1"/>
  <c r="CG101" i="1" s="1"/>
  <c r="P41" i="1"/>
  <c r="CF64" i="3"/>
  <c r="CG64" i="3" s="1"/>
  <c r="P58" i="1"/>
  <c r="AP55" i="3"/>
  <c r="A18" i="3"/>
  <c r="P18" i="3"/>
  <c r="P24" i="1"/>
  <c r="AP49" i="3"/>
  <c r="AR2" i="3"/>
  <c r="AP39" i="3"/>
  <c r="P58" i="3"/>
  <c r="A58" i="3"/>
  <c r="P37" i="3"/>
  <c r="A37" i="3"/>
  <c r="AM27" i="3"/>
  <c r="AO27" i="3" s="1"/>
  <c r="A41" i="3"/>
  <c r="P41" i="3"/>
  <c r="AM16" i="3"/>
  <c r="AO16" i="3" s="1"/>
  <c r="AP44" i="1"/>
  <c r="CF23" i="1"/>
  <c r="CG23" i="1" s="1"/>
  <c r="AP45" i="3"/>
  <c r="CF188" i="3"/>
  <c r="CG188" i="3" s="1"/>
  <c r="CF100" i="1"/>
  <c r="CG100" i="1" s="1"/>
  <c r="AM25" i="3"/>
  <c r="AO25" i="3" s="1"/>
  <c r="AQ25" i="3" s="1"/>
  <c r="M59" i="3"/>
  <c r="O59" i="3" s="1"/>
  <c r="AP7" i="3"/>
  <c r="CF77" i="3"/>
  <c r="CG77" i="3" s="1"/>
  <c r="P38" i="1"/>
  <c r="M22" i="3"/>
  <c r="O22" i="3" s="1"/>
  <c r="AP59" i="1"/>
  <c r="AP61" i="3"/>
  <c r="AP19" i="3"/>
  <c r="CF177" i="3"/>
  <c r="CG177" i="3" s="1"/>
  <c r="CF68" i="3"/>
  <c r="CG68" i="3" s="1"/>
  <c r="AP20" i="3"/>
  <c r="AM6" i="3"/>
  <c r="AO6" i="3" s="1"/>
  <c r="AP41" i="1"/>
  <c r="A24" i="3"/>
  <c r="P24" i="3"/>
  <c r="A24" i="1"/>
  <c r="M17" i="3"/>
  <c r="O17" i="3" s="1"/>
  <c r="Q17" i="3" s="1"/>
  <c r="P52" i="1"/>
  <c r="AM36" i="3"/>
  <c r="AO36" i="3" s="1"/>
  <c r="AQ36" i="3" s="1"/>
  <c r="A39" i="1"/>
  <c r="CF40" i="1"/>
  <c r="CG40" i="1" s="1"/>
  <c r="AM34" i="3"/>
  <c r="AO34" i="3" s="1"/>
  <c r="CF258" i="3"/>
  <c r="CG258" i="3" s="1"/>
  <c r="CF97" i="3"/>
  <c r="CG97" i="3" s="1"/>
  <c r="CF22" i="3"/>
  <c r="CG22" i="3" s="1"/>
  <c r="P20" i="3"/>
  <c r="A20" i="3"/>
  <c r="AM48" i="3"/>
  <c r="AO48" i="3" s="1"/>
  <c r="CF194" i="3"/>
  <c r="CG194" i="3" s="1"/>
  <c r="AP21" i="3"/>
  <c r="CF162" i="3"/>
  <c r="CG162" i="3" s="1"/>
  <c r="AP48" i="3"/>
  <c r="A60" i="3"/>
  <c r="P60" i="3"/>
  <c r="CF70" i="1"/>
  <c r="CG70" i="1" s="1"/>
  <c r="CF259" i="3"/>
  <c r="CG259" i="3" s="1"/>
  <c r="A59" i="3"/>
  <c r="P59" i="3"/>
  <c r="AP34" i="3"/>
  <c r="P42" i="1"/>
  <c r="P10" i="3"/>
  <c r="A10" i="3"/>
  <c r="CF95" i="3"/>
  <c r="CG95" i="3" s="1"/>
  <c r="A47" i="1"/>
  <c r="CF116" i="3"/>
  <c r="CG116" i="3" s="1"/>
  <c r="M45" i="3"/>
  <c r="O45" i="3" s="1"/>
  <c r="M57" i="3"/>
  <c r="O57" i="3" s="1"/>
  <c r="AP31" i="3"/>
  <c r="AM50" i="3"/>
  <c r="AO50" i="3" s="1"/>
  <c r="CF230" i="3"/>
  <c r="CG230" i="3" s="1"/>
  <c r="A8" i="3"/>
  <c r="P8" i="3"/>
  <c r="AP51" i="3"/>
  <c r="M36" i="3"/>
  <c r="O36" i="3" s="1"/>
  <c r="Q36" i="3" s="1"/>
  <c r="CF73" i="3"/>
  <c r="CG73" i="3" s="1"/>
  <c r="AM12" i="3"/>
  <c r="AO12" i="3" s="1"/>
  <c r="AM53" i="3"/>
  <c r="AO53" i="3" s="1"/>
  <c r="AP18" i="3"/>
  <c r="A34" i="1"/>
  <c r="AP62" i="3"/>
  <c r="AM30" i="3"/>
  <c r="AO30" i="3" s="1"/>
  <c r="AP50" i="1"/>
  <c r="A23" i="1"/>
  <c r="M49" i="3"/>
  <c r="O49" i="3" s="1"/>
  <c r="P26" i="1"/>
  <c r="A33" i="3"/>
  <c r="P33" i="3"/>
  <c r="P53" i="1"/>
  <c r="M30" i="3"/>
  <c r="O30" i="3" s="1"/>
  <c r="Q30" i="3" s="1"/>
  <c r="AP43" i="3"/>
  <c r="M9" i="3"/>
  <c r="O9" i="3" s="1"/>
  <c r="Q9" i="3" s="1"/>
  <c r="AP21" i="1"/>
  <c r="AM70" i="3"/>
  <c r="AO70" i="3" s="1"/>
  <c r="AQ70" i="3" s="1"/>
  <c r="M95" i="3"/>
  <c r="O95" i="3" s="1"/>
  <c r="Q95" i="3" s="1"/>
  <c r="M107" i="3"/>
  <c r="O107" i="3" s="1"/>
  <c r="Q107" i="3" s="1"/>
  <c r="AM108" i="3"/>
  <c r="AO108" i="3" s="1"/>
  <c r="AQ108" i="3" s="1"/>
  <c r="M105" i="3"/>
  <c r="O105" i="3" s="1"/>
  <c r="Q105" i="3" s="1"/>
  <c r="AM120" i="3"/>
  <c r="AO120" i="3" s="1"/>
  <c r="AQ120" i="3" s="1"/>
  <c r="AF3" i="3"/>
  <c r="BN38" i="3" s="1"/>
  <c r="M89" i="3"/>
  <c r="O89" i="3" s="1"/>
  <c r="Q89" i="3" s="1"/>
  <c r="M73" i="3"/>
  <c r="O73" i="3" s="1"/>
  <c r="Q73" i="3" s="1"/>
  <c r="AM85" i="3"/>
  <c r="AO85" i="3" s="1"/>
  <c r="AQ85" i="3" s="1"/>
  <c r="AM116" i="3"/>
  <c r="AO116" i="3" s="1"/>
  <c r="AQ116" i="3" s="1"/>
  <c r="M68" i="3"/>
  <c r="O68" i="3" s="1"/>
  <c r="Q68" i="3" s="1"/>
  <c r="AM65" i="3"/>
  <c r="AO65" i="3" s="1"/>
  <c r="AQ65" i="3" s="1"/>
  <c r="AM92" i="3"/>
  <c r="AO92" i="3" s="1"/>
  <c r="AQ92" i="3" s="1"/>
  <c r="AM87" i="3"/>
  <c r="AO87" i="3" s="1"/>
  <c r="AQ87" i="3" s="1"/>
  <c r="AM122" i="3"/>
  <c r="AO122" i="3" s="1"/>
  <c r="AQ122" i="3" s="1"/>
  <c r="M91" i="3"/>
  <c r="O91" i="3" s="1"/>
  <c r="Q91" i="3" s="1"/>
  <c r="M129" i="3"/>
  <c r="O129" i="3" s="1"/>
  <c r="Q129" i="3" s="1"/>
  <c r="M127" i="3"/>
  <c r="O127" i="3" s="1"/>
  <c r="Q127" i="3" s="1"/>
  <c r="AM99" i="3"/>
  <c r="AO99" i="3" s="1"/>
  <c r="AQ99" i="3" s="1"/>
  <c r="M122" i="3"/>
  <c r="O122" i="3" s="1"/>
  <c r="Q122" i="3" s="1"/>
  <c r="M114" i="3"/>
  <c r="O114" i="3" s="1"/>
  <c r="Q114" i="3" s="1"/>
  <c r="M123" i="3"/>
  <c r="O123" i="3" s="1"/>
  <c r="Q123" i="3" s="1"/>
  <c r="AM93" i="3"/>
  <c r="AO93" i="3" s="1"/>
  <c r="AQ93" i="3" s="1"/>
  <c r="AM94" i="3"/>
  <c r="AO94" i="3" s="1"/>
  <c r="AQ94" i="3" s="1"/>
  <c r="AM76" i="3"/>
  <c r="AO76" i="3" s="1"/>
  <c r="AQ76" i="3" s="1"/>
  <c r="AM78" i="3"/>
  <c r="AO78" i="3" s="1"/>
  <c r="AQ78" i="3" s="1"/>
  <c r="M131" i="3"/>
  <c r="O131" i="3" s="1"/>
  <c r="Q131" i="3" s="1"/>
  <c r="M66" i="3"/>
  <c r="O66" i="3" s="1"/>
  <c r="Q66" i="3" s="1"/>
  <c r="AM117" i="3"/>
  <c r="AO117" i="3" s="1"/>
  <c r="AQ117" i="3" s="1"/>
  <c r="M103" i="3"/>
  <c r="O103" i="3" s="1"/>
  <c r="Q103" i="3" s="1"/>
  <c r="M113" i="3"/>
  <c r="O113" i="3" s="1"/>
  <c r="Q113" i="3" s="1"/>
  <c r="M101" i="3"/>
  <c r="O101" i="3" s="1"/>
  <c r="Q101" i="3" s="1"/>
  <c r="AM105" i="3"/>
  <c r="AO105" i="3" s="1"/>
  <c r="AQ105" i="3" s="1"/>
  <c r="M90" i="3"/>
  <c r="O90" i="3" s="1"/>
  <c r="Q90" i="3" s="1"/>
  <c r="M72" i="3"/>
  <c r="O72" i="3" s="1"/>
  <c r="Q72" i="3" s="1"/>
  <c r="AM121" i="3"/>
  <c r="AO121" i="3" s="1"/>
  <c r="AQ121" i="3" s="1"/>
  <c r="M82" i="3"/>
  <c r="O82" i="3" s="1"/>
  <c r="Q82" i="3" s="1"/>
  <c r="AM69" i="3"/>
  <c r="AO69" i="3" s="1"/>
  <c r="AQ69" i="3" s="1"/>
  <c r="AM128" i="3"/>
  <c r="AO128" i="3" s="1"/>
  <c r="AQ128" i="3" s="1"/>
  <c r="M71" i="3"/>
  <c r="O71" i="3" s="1"/>
  <c r="Q71" i="3" s="1"/>
  <c r="M111" i="3"/>
  <c r="O111" i="3" s="1"/>
  <c r="Q111" i="3" s="1"/>
  <c r="AM68" i="3"/>
  <c r="AO68" i="3" s="1"/>
  <c r="AQ68" i="3" s="1"/>
  <c r="AM77" i="3"/>
  <c r="AO77" i="3" s="1"/>
  <c r="AQ77" i="3" s="1"/>
  <c r="AM114" i="3"/>
  <c r="AO114" i="3" s="1"/>
  <c r="AQ114" i="3" s="1"/>
  <c r="M108" i="3"/>
  <c r="O108" i="3" s="1"/>
  <c r="Q108" i="3" s="1"/>
  <c r="AM126" i="3"/>
  <c r="AO126" i="3" s="1"/>
  <c r="AQ126" i="3" s="1"/>
  <c r="M130" i="3"/>
  <c r="O130" i="3" s="1"/>
  <c r="Q130" i="3" s="1"/>
  <c r="AM111" i="3"/>
  <c r="AO111" i="3" s="1"/>
  <c r="AQ111" i="3" s="1"/>
  <c r="AM82" i="3"/>
  <c r="AO82" i="3" s="1"/>
  <c r="AQ82" i="3" s="1"/>
  <c r="AM73" i="3"/>
  <c r="AO73" i="3" s="1"/>
  <c r="AQ73" i="3" s="1"/>
  <c r="AM109" i="3"/>
  <c r="AO109" i="3" s="1"/>
  <c r="AQ109" i="3" s="1"/>
  <c r="M117" i="3"/>
  <c r="O117" i="3" s="1"/>
  <c r="Q117" i="3" s="1"/>
  <c r="AM129" i="3"/>
  <c r="AO129" i="3" s="1"/>
  <c r="AQ129" i="3" s="1"/>
  <c r="AM110" i="3"/>
  <c r="AO110" i="3" s="1"/>
  <c r="AQ110" i="3" s="1"/>
  <c r="AM84" i="3"/>
  <c r="AO84" i="3" s="1"/>
  <c r="AQ84" i="3" s="1"/>
  <c r="AM118" i="3"/>
  <c r="AO118" i="3" s="1"/>
  <c r="AQ118" i="3" s="1"/>
  <c r="M118" i="3"/>
  <c r="O118" i="3" s="1"/>
  <c r="Q118" i="3" s="1"/>
  <c r="M74" i="3"/>
  <c r="O74" i="3" s="1"/>
  <c r="Q74" i="3" s="1"/>
  <c r="M102" i="3"/>
  <c r="O102" i="3" s="1"/>
  <c r="Q102" i="3" s="1"/>
  <c r="M94" i="3"/>
  <c r="O94" i="3" s="1"/>
  <c r="Q94" i="3" s="1"/>
  <c r="M69" i="3"/>
  <c r="O69" i="3" s="1"/>
  <c r="Q69" i="3" s="1"/>
  <c r="AM98" i="3"/>
  <c r="AO98" i="3" s="1"/>
  <c r="AQ98" i="3" s="1"/>
  <c r="M88" i="3"/>
  <c r="O88" i="3" s="1"/>
  <c r="Q88" i="3" s="1"/>
  <c r="M121" i="3"/>
  <c r="O121" i="3" s="1"/>
  <c r="Q121" i="3" s="1"/>
  <c r="M120" i="3"/>
  <c r="O120" i="3" s="1"/>
  <c r="Q120" i="3" s="1"/>
  <c r="M125" i="3"/>
  <c r="O125" i="3" s="1"/>
  <c r="Q125" i="3" s="1"/>
  <c r="M98" i="3"/>
  <c r="O98" i="3" s="1"/>
  <c r="Q98" i="3" s="1"/>
  <c r="M132" i="3"/>
  <c r="O132" i="3" s="1"/>
  <c r="Q132" i="3" s="1"/>
  <c r="AM100" i="3"/>
  <c r="AO100" i="3" s="1"/>
  <c r="AQ100" i="3" s="1"/>
  <c r="M104" i="3"/>
  <c r="O104" i="3" s="1"/>
  <c r="Q104" i="3" s="1"/>
  <c r="M92" i="3"/>
  <c r="O92" i="3" s="1"/>
  <c r="Q92" i="3" s="1"/>
  <c r="M84" i="3"/>
  <c r="O84" i="3" s="1"/>
  <c r="Q84" i="3" s="1"/>
  <c r="AM79" i="3"/>
  <c r="AO79" i="3" s="1"/>
  <c r="AQ79" i="3" s="1"/>
  <c r="AM74" i="3"/>
  <c r="AO74" i="3" s="1"/>
  <c r="AQ74" i="3" s="1"/>
  <c r="AM127" i="3"/>
  <c r="AO127" i="3" s="1"/>
  <c r="AQ127" i="3" s="1"/>
  <c r="AM67" i="3"/>
  <c r="AO67" i="3" s="1"/>
  <c r="AQ67" i="3" s="1"/>
  <c r="AM101" i="3"/>
  <c r="AO101" i="3" s="1"/>
  <c r="AQ101" i="3" s="1"/>
  <c r="M81" i="3"/>
  <c r="O81" i="3" s="1"/>
  <c r="Q81" i="3" s="1"/>
  <c r="AM123" i="3"/>
  <c r="AO123" i="3" s="1"/>
  <c r="AQ123" i="3" s="1"/>
  <c r="M110" i="3"/>
  <c r="O110" i="3" s="1"/>
  <c r="Q110" i="3" s="1"/>
  <c r="M79" i="3"/>
  <c r="O79" i="3" s="1"/>
  <c r="Q79" i="3" s="1"/>
  <c r="M87" i="3"/>
  <c r="O87" i="3" s="1"/>
  <c r="Q87" i="3" s="1"/>
  <c r="M76" i="3"/>
  <c r="O76" i="3" s="1"/>
  <c r="Q76" i="3" s="1"/>
  <c r="AM103" i="3"/>
  <c r="AO103" i="3" s="1"/>
  <c r="AQ103" i="3" s="1"/>
  <c r="AM80" i="3"/>
  <c r="AO80" i="3" s="1"/>
  <c r="AQ80" i="3" s="1"/>
  <c r="AM125" i="3"/>
  <c r="AO125" i="3" s="1"/>
  <c r="AQ125" i="3" s="1"/>
  <c r="M116" i="3"/>
  <c r="O116" i="3" s="1"/>
  <c r="Q116" i="3" s="1"/>
  <c r="AM89" i="3"/>
  <c r="AO89" i="3" s="1"/>
  <c r="AQ89" i="3" s="1"/>
  <c r="AM75" i="3"/>
  <c r="AO75" i="3" s="1"/>
  <c r="AQ75" i="3" s="1"/>
  <c r="AM91" i="3"/>
  <c r="AO91" i="3" s="1"/>
  <c r="AQ91" i="3" s="1"/>
  <c r="AM106" i="3"/>
  <c r="AO106" i="3" s="1"/>
  <c r="AQ106" i="3" s="1"/>
  <c r="AM86" i="3"/>
  <c r="AO86" i="3" s="1"/>
  <c r="AQ86" i="3" s="1"/>
  <c r="AM88" i="3"/>
  <c r="AO88" i="3" s="1"/>
  <c r="AQ88" i="3" s="1"/>
  <c r="AM96" i="3"/>
  <c r="AO96" i="3" s="1"/>
  <c r="AQ96" i="3" s="1"/>
  <c r="AM132" i="3"/>
  <c r="AO132" i="3" s="1"/>
  <c r="AQ132" i="3" s="1"/>
  <c r="M93" i="3"/>
  <c r="O93" i="3" s="1"/>
  <c r="Q93" i="3" s="1"/>
  <c r="AM81" i="3"/>
  <c r="AO81" i="3" s="1"/>
  <c r="AQ81" i="3" s="1"/>
  <c r="M96" i="3"/>
  <c r="O96" i="3" s="1"/>
  <c r="Q96" i="3" s="1"/>
  <c r="AM104" i="3"/>
  <c r="AO104" i="3" s="1"/>
  <c r="AQ104" i="3" s="1"/>
  <c r="M100" i="3"/>
  <c r="O100" i="3" s="1"/>
  <c r="Q100" i="3" s="1"/>
  <c r="AM97" i="3"/>
  <c r="AO97" i="3" s="1"/>
  <c r="AQ97" i="3" s="1"/>
  <c r="M78" i="3"/>
  <c r="O78" i="3" s="1"/>
  <c r="Q78" i="3" s="1"/>
  <c r="M77" i="3"/>
  <c r="O77" i="3" s="1"/>
  <c r="Q77" i="3" s="1"/>
  <c r="M67" i="3"/>
  <c r="O67" i="3" s="1"/>
  <c r="Q67" i="3" s="1"/>
  <c r="M70" i="3"/>
  <c r="O70" i="3" s="1"/>
  <c r="Q70" i="3" s="1"/>
  <c r="AM130" i="3"/>
  <c r="AO130" i="3" s="1"/>
  <c r="AQ130" i="3" s="1"/>
  <c r="M99" i="3"/>
  <c r="O99" i="3" s="1"/>
  <c r="Q99" i="3" s="1"/>
  <c r="AM102" i="3"/>
  <c r="AO102" i="3" s="1"/>
  <c r="AQ102" i="3" s="1"/>
  <c r="AM71" i="3"/>
  <c r="AO71" i="3" s="1"/>
  <c r="AQ71" i="3" s="1"/>
  <c r="AM113" i="3"/>
  <c r="AO113" i="3" s="1"/>
  <c r="AQ113" i="3" s="1"/>
  <c r="AM83" i="3"/>
  <c r="AO83" i="3" s="1"/>
  <c r="AQ83" i="3" s="1"/>
  <c r="M75" i="3"/>
  <c r="O75" i="3" s="1"/>
  <c r="Q75" i="3" s="1"/>
  <c r="M83" i="3"/>
  <c r="O83" i="3" s="1"/>
  <c r="Q83" i="3" s="1"/>
  <c r="M124" i="3"/>
  <c r="O124" i="3" s="1"/>
  <c r="Q124" i="3" s="1"/>
  <c r="AM115" i="3"/>
  <c r="AO115" i="3" s="1"/>
  <c r="AQ115" i="3" s="1"/>
  <c r="AM124" i="3"/>
  <c r="AO124" i="3" s="1"/>
  <c r="AQ124" i="3" s="1"/>
  <c r="M85" i="3"/>
  <c r="O85" i="3" s="1"/>
  <c r="Q85" i="3" s="1"/>
  <c r="M65" i="3"/>
  <c r="O65" i="3" s="1"/>
  <c r="Q65" i="3" s="1"/>
  <c r="M126" i="3"/>
  <c r="O126" i="3" s="1"/>
  <c r="Q126" i="3" s="1"/>
  <c r="M112" i="3"/>
  <c r="O112" i="3" s="1"/>
  <c r="Q112" i="3" s="1"/>
  <c r="AM107" i="3"/>
  <c r="AO107" i="3" s="1"/>
  <c r="AQ107" i="3" s="1"/>
  <c r="AM119" i="3"/>
  <c r="AO119" i="3" s="1"/>
  <c r="AQ119" i="3" s="1"/>
  <c r="AM112" i="3"/>
  <c r="AO112" i="3" s="1"/>
  <c r="AQ112" i="3" s="1"/>
  <c r="M128" i="3"/>
  <c r="O128" i="3" s="1"/>
  <c r="Q128" i="3" s="1"/>
  <c r="AM131" i="3"/>
  <c r="AO131" i="3" s="1"/>
  <c r="AQ131" i="3" s="1"/>
  <c r="M109" i="3"/>
  <c r="O109" i="3" s="1"/>
  <c r="Q109" i="3" s="1"/>
  <c r="M80" i="3"/>
  <c r="O80" i="3" s="1"/>
  <c r="Q80" i="3" s="1"/>
  <c r="M97" i="3"/>
  <c r="O97" i="3" s="1"/>
  <c r="Q97" i="3" s="1"/>
  <c r="M115" i="3"/>
  <c r="O115" i="3" s="1"/>
  <c r="Q115" i="3" s="1"/>
  <c r="AE2" i="3"/>
  <c r="AM72" i="3"/>
  <c r="AO72" i="3" s="1"/>
  <c r="AQ72" i="3" s="1"/>
  <c r="AM66" i="3"/>
  <c r="AO66" i="3" s="1"/>
  <c r="AQ66" i="3" s="1"/>
  <c r="M86" i="3"/>
  <c r="O86" i="3" s="1"/>
  <c r="Q86" i="3" s="1"/>
  <c r="M106" i="3"/>
  <c r="O106" i="3" s="1"/>
  <c r="Q106" i="3" s="1"/>
  <c r="AM90" i="3"/>
  <c r="AO90" i="3" s="1"/>
  <c r="AQ90" i="3" s="1"/>
  <c r="M119" i="3"/>
  <c r="O119" i="3" s="1"/>
  <c r="Q119" i="3" s="1"/>
  <c r="AM95" i="3"/>
  <c r="AO95" i="3" s="1"/>
  <c r="AQ95" i="3" s="1"/>
  <c r="CF132" i="3"/>
  <c r="CG132" i="3" s="1"/>
  <c r="P11" i="3"/>
  <c r="A11" i="3"/>
  <c r="CF94" i="1"/>
  <c r="CG94" i="1" s="1"/>
  <c r="P48" i="3"/>
  <c r="A48" i="3"/>
  <c r="CF135" i="3"/>
  <c r="CG135" i="3" s="1"/>
  <c r="A54" i="3"/>
  <c r="P54" i="3"/>
  <c r="CF148" i="3"/>
  <c r="CG148" i="3" s="1"/>
  <c r="AP33" i="3"/>
  <c r="CF223" i="3"/>
  <c r="CG223" i="3" s="1"/>
  <c r="AP54" i="3"/>
  <c r="M23" i="3"/>
  <c r="O23" i="3" s="1"/>
  <c r="CF217" i="3"/>
  <c r="CG217" i="3" s="1"/>
  <c r="P59" i="1"/>
  <c r="CF10" i="3"/>
  <c r="CG10" i="3" s="1"/>
  <c r="AP43" i="1"/>
  <c r="P55" i="1"/>
  <c r="AP14" i="3"/>
  <c r="M62" i="3"/>
  <c r="O62" i="3" s="1"/>
  <c r="P20" i="1"/>
  <c r="AP6" i="3"/>
  <c r="AP46" i="3"/>
  <c r="A45" i="3"/>
  <c r="P45" i="3"/>
  <c r="AP37" i="1"/>
  <c r="M60" i="3"/>
  <c r="O60" i="3" s="1"/>
  <c r="Q60" i="3" s="1"/>
  <c r="AP33" i="1"/>
  <c r="P19" i="3"/>
  <c r="A19" i="3"/>
  <c r="CF243" i="3"/>
  <c r="CG243" i="3" s="1"/>
  <c r="AM32" i="3"/>
  <c r="AO32" i="3" s="1"/>
  <c r="AQ32" i="3" s="1"/>
  <c r="AP63" i="3"/>
  <c r="M7" i="3"/>
  <c r="O7" i="3" s="1"/>
  <c r="Q7" i="3" s="1"/>
  <c r="P44" i="1"/>
  <c r="AP40" i="1"/>
  <c r="AP57" i="1"/>
  <c r="P49" i="1"/>
  <c r="M53" i="3"/>
  <c r="O53" i="3" s="1"/>
  <c r="Q53" i="3" s="1"/>
  <c r="AM33" i="3"/>
  <c r="AO33" i="3" s="1"/>
  <c r="AQ33" i="3" s="1"/>
  <c r="AM60" i="3"/>
  <c r="AO60" i="3" s="1"/>
  <c r="A49" i="1"/>
  <c r="P40" i="3"/>
  <c r="A40" i="3"/>
  <c r="AP12" i="3"/>
  <c r="AP37" i="3"/>
  <c r="M44" i="3"/>
  <c r="O44" i="3" s="1"/>
  <c r="A46" i="3"/>
  <c r="P46" i="3"/>
  <c r="AP60" i="3"/>
  <c r="AM64" i="3"/>
  <c r="AO64" i="3" s="1"/>
  <c r="AP28" i="1"/>
  <c r="E2" i="3"/>
  <c r="A39" i="3"/>
  <c r="P39" i="3"/>
  <c r="A14" i="3"/>
  <c r="P14" i="3"/>
  <c r="AP53" i="3"/>
  <c r="A20" i="1"/>
  <c r="P51" i="1"/>
  <c r="CF107" i="3"/>
  <c r="CG107" i="3" s="1"/>
  <c r="CF7" i="3"/>
  <c r="CG7" i="3" s="1"/>
  <c r="CF41" i="3"/>
  <c r="CG41" i="3" s="1"/>
  <c r="CF212" i="3"/>
  <c r="CG212" i="3" s="1"/>
  <c r="CF126" i="3"/>
  <c r="CG126" i="3" s="1"/>
  <c r="CF173" i="3"/>
  <c r="CG173" i="3" s="1"/>
  <c r="A42" i="1"/>
  <c r="M54" i="3"/>
  <c r="O54" i="3" s="1"/>
  <c r="AP24" i="3"/>
  <c r="CF97" i="1"/>
  <c r="CG97" i="1" s="1"/>
  <c r="A30" i="1"/>
  <c r="M24" i="3"/>
  <c r="O24" i="3" s="1"/>
  <c r="Q24" i="3" s="1"/>
  <c r="M10" i="3"/>
  <c r="O10" i="3" s="1"/>
  <c r="M34" i="3"/>
  <c r="O34" i="3" s="1"/>
  <c r="Q34" i="3" s="1"/>
  <c r="A27" i="1"/>
  <c r="CF193" i="3"/>
  <c r="CG193" i="3" s="1"/>
  <c r="M13" i="3"/>
  <c r="O13" i="3" s="1"/>
  <c r="AP35" i="3"/>
  <c r="A29" i="1"/>
  <c r="AP62" i="1"/>
  <c r="P22" i="3"/>
  <c r="A22" i="3"/>
  <c r="CF29" i="3"/>
  <c r="CG29" i="3" s="1"/>
  <c r="AP22" i="1"/>
  <c r="M16" i="3"/>
  <c r="O16" i="3" s="1"/>
  <c r="Q16" i="3" s="1"/>
  <c r="AM49" i="3"/>
  <c r="AO49" i="3" s="1"/>
  <c r="AQ49" i="3" s="1"/>
  <c r="CF170" i="3"/>
  <c r="CG170" i="3" s="1"/>
  <c r="M8" i="3"/>
  <c r="O8" i="3" s="1"/>
  <c r="Q8" i="3" s="1"/>
  <c r="M18" i="3"/>
  <c r="O18" i="3" s="1"/>
  <c r="Q18" i="3" s="1"/>
  <c r="CF157" i="3"/>
  <c r="CG157" i="3" s="1"/>
  <c r="P63" i="3"/>
  <c r="A63" i="3"/>
  <c r="A44" i="3"/>
  <c r="P44" i="3"/>
  <c r="CF205" i="3"/>
  <c r="CG205" i="3" s="1"/>
  <c r="AM29" i="3"/>
  <c r="AO29" i="3" s="1"/>
  <c r="AQ29" i="3" s="1"/>
  <c r="A46" i="1"/>
  <c r="AP48" i="1"/>
  <c r="CF109" i="1"/>
  <c r="CG109" i="1" s="1"/>
  <c r="AP52" i="3"/>
  <c r="M51" i="3"/>
  <c r="O51" i="3" s="1"/>
  <c r="M64" i="3"/>
  <c r="O64" i="3" s="1"/>
  <c r="Q64" i="3" s="1"/>
  <c r="CF213" i="3"/>
  <c r="CG213" i="3" s="1"/>
  <c r="A36" i="1"/>
  <c r="CF41" i="1"/>
  <c r="CG41" i="1" s="1"/>
  <c r="A34" i="3"/>
  <c r="P34" i="3"/>
  <c r="P57" i="1"/>
  <c r="P46" i="1"/>
  <c r="AP24" i="1"/>
  <c r="P54" i="1"/>
  <c r="CF65" i="3"/>
  <c r="CG65" i="3" s="1"/>
  <c r="P30" i="1"/>
  <c r="CF171" i="3"/>
  <c r="CG171" i="3" s="1"/>
  <c r="CF210" i="3"/>
  <c r="CG210" i="3" s="1"/>
  <c r="A62" i="3"/>
  <c r="P62" i="3"/>
  <c r="CF87" i="3"/>
  <c r="CG87" i="3" s="1"/>
  <c r="AP36" i="1"/>
  <c r="AP22" i="3"/>
  <c r="AM28" i="3"/>
  <c r="AO28" i="3" s="1"/>
  <c r="AQ28" i="3" s="1"/>
  <c r="A33" i="1"/>
  <c r="AM38" i="3"/>
  <c r="AO38" i="3" s="1"/>
  <c r="AQ38" i="3" s="1"/>
  <c r="A52" i="1"/>
  <c r="P42" i="3"/>
  <c r="A42" i="3"/>
  <c r="CF93" i="3"/>
  <c r="CG93" i="3" s="1"/>
  <c r="AP51" i="1"/>
  <c r="AP16" i="3"/>
  <c r="P47" i="3"/>
  <c r="A47" i="3"/>
  <c r="AM21" i="3"/>
  <c r="AO21" i="3" s="1"/>
  <c r="AQ21" i="3" s="1"/>
  <c r="A38" i="3"/>
  <c r="P38" i="3"/>
  <c r="CF58" i="3"/>
  <c r="CG58" i="3" s="1"/>
  <c r="CF24" i="3"/>
  <c r="CG24" i="3" s="1"/>
  <c r="CF83" i="3"/>
  <c r="CG83" i="3" s="1"/>
  <c r="A57" i="3"/>
  <c r="P57" i="3"/>
  <c r="A37" i="1"/>
  <c r="AM57" i="3"/>
  <c r="AO57" i="3" s="1"/>
  <c r="CF246" i="3"/>
  <c r="CG246" i="3" s="1"/>
  <c r="AP26" i="3"/>
  <c r="P40" i="1"/>
  <c r="AM31" i="3"/>
  <c r="AO31" i="3" s="1"/>
  <c r="AQ31" i="3" s="1"/>
  <c r="P47" i="1"/>
  <c r="M48" i="3"/>
  <c r="O48" i="3" s="1"/>
  <c r="AM7" i="3"/>
  <c r="AO7" i="3" s="1"/>
  <c r="AQ7" i="3" s="1"/>
  <c r="A13" i="3"/>
  <c r="P13" i="3"/>
  <c r="M58" i="3"/>
  <c r="O58" i="3" s="1"/>
  <c r="AM59" i="3"/>
  <c r="AO59" i="3" s="1"/>
  <c r="AQ59" i="3" s="1"/>
  <c r="A27" i="3"/>
  <c r="P27" i="3"/>
  <c r="AP57" i="3"/>
  <c r="AP50" i="3"/>
  <c r="CF11" i="1"/>
  <c r="CG11" i="1" s="1"/>
  <c r="AM43" i="3"/>
  <c r="AO43" i="3" s="1"/>
  <c r="AQ43" i="3" s="1"/>
  <c r="CF204" i="3"/>
  <c r="CG204" i="3" s="1"/>
  <c r="P48" i="1"/>
  <c r="CF251" i="3"/>
  <c r="CG251" i="3" s="1"/>
  <c r="CF250" i="3"/>
  <c r="CG250" i="3" s="1"/>
  <c r="CF234" i="3"/>
  <c r="CG234" i="3" s="1"/>
  <c r="P29" i="3"/>
  <c r="A29" i="3"/>
  <c r="CF175" i="3"/>
  <c r="CG175" i="3" s="1"/>
  <c r="AM55" i="3"/>
  <c r="AO55" i="3" s="1"/>
  <c r="AQ55" i="3" s="1"/>
  <c r="CF19" i="1"/>
  <c r="CG19" i="1" s="1"/>
  <c r="A15" i="3"/>
  <c r="P15" i="3"/>
  <c r="AP64" i="3"/>
  <c r="A59" i="1"/>
  <c r="AP30" i="3"/>
  <c r="A52" i="3"/>
  <c r="P52" i="3"/>
  <c r="AM62" i="3"/>
  <c r="AO62" i="3" s="1"/>
  <c r="AQ62" i="3" s="1"/>
  <c r="AM26" i="3"/>
  <c r="AO26" i="3" s="1"/>
  <c r="AP55" i="1"/>
  <c r="CF111" i="1"/>
  <c r="CG111" i="1" s="1"/>
  <c r="AM22" i="3"/>
  <c r="AO22" i="3" s="1"/>
  <c r="AP23" i="3"/>
  <c r="CF248" i="3"/>
  <c r="CG248" i="3" s="1"/>
  <c r="A49" i="3"/>
  <c r="P49" i="3"/>
  <c r="P61" i="1"/>
  <c r="CF203" i="3"/>
  <c r="CG203" i="3" s="1"/>
  <c r="AP53" i="1"/>
  <c r="AP17" i="3"/>
  <c r="AM18" i="3"/>
  <c r="AO18" i="3" s="1"/>
  <c r="AQ18" i="3" s="1"/>
  <c r="P32" i="3"/>
  <c r="A32" i="3"/>
  <c r="M6" i="3"/>
  <c r="O6" i="3" s="1"/>
  <c r="Q6" i="3" s="1"/>
  <c r="AP20" i="1"/>
  <c r="AM45" i="3"/>
  <c r="AO45" i="3" s="1"/>
  <c r="AQ45" i="3" s="1"/>
  <c r="AM23" i="3"/>
  <c r="AO23" i="3" s="1"/>
  <c r="CF23" i="3"/>
  <c r="CG23" i="3" s="1"/>
  <c r="A40" i="1"/>
  <c r="CF88" i="3"/>
  <c r="CG88" i="3" s="1"/>
  <c r="A55" i="1"/>
  <c r="AM14" i="3"/>
  <c r="AO14" i="3" s="1"/>
  <c r="AQ14" i="3" s="1"/>
  <c r="AP61" i="1"/>
  <c r="M11" i="3"/>
  <c r="O11" i="3" s="1"/>
  <c r="CF53" i="3"/>
  <c r="CG53" i="3" s="1"/>
  <c r="P36" i="1"/>
  <c r="AM44" i="3"/>
  <c r="AO44" i="3" s="1"/>
  <c r="AQ44" i="3" s="1"/>
  <c r="CF253" i="3"/>
  <c r="CG253" i="3" s="1"/>
  <c r="CF24" i="1"/>
  <c r="CG24" i="1" s="1"/>
  <c r="AP15" i="3"/>
  <c r="A53" i="1"/>
  <c r="CF50" i="1"/>
  <c r="CG50" i="1" s="1"/>
  <c r="CF108" i="1"/>
  <c r="CG108" i="1" s="1"/>
  <c r="CF99" i="1"/>
  <c r="CG99" i="1" s="1"/>
  <c r="CF10" i="1"/>
  <c r="CG10" i="1" s="1"/>
  <c r="CF16" i="1"/>
  <c r="CG16" i="1" s="1"/>
  <c r="CF51" i="1"/>
  <c r="CG51" i="1" s="1"/>
  <c r="CF115" i="1"/>
  <c r="CG115" i="1" s="1"/>
  <c r="CF33" i="1"/>
  <c r="CG33" i="1" s="1"/>
  <c r="CF66" i="1"/>
  <c r="CG66" i="1" s="1"/>
  <c r="CF96" i="1"/>
  <c r="CG96" i="1" s="1"/>
  <c r="CF116" i="1"/>
  <c r="CG116" i="1" s="1"/>
  <c r="CF22" i="1"/>
  <c r="CG22" i="1" s="1"/>
  <c r="CF20" i="1"/>
  <c r="CG20" i="1" s="1"/>
  <c r="CF60" i="1"/>
  <c r="CG60" i="1" s="1"/>
  <c r="CF44" i="1"/>
  <c r="CG44" i="1" s="1"/>
  <c r="CF38" i="1"/>
  <c r="CG38" i="1" s="1"/>
  <c r="CF95" i="1"/>
  <c r="CG95" i="1" s="1"/>
  <c r="CF46" i="1"/>
  <c r="CG46" i="1" s="1"/>
  <c r="CF93" i="1"/>
  <c r="CG93" i="1" s="1"/>
  <c r="CF67" i="1"/>
  <c r="CG67" i="1" s="1"/>
  <c r="CF103" i="1"/>
  <c r="CG103" i="1" s="1"/>
  <c r="CF106" i="1"/>
  <c r="CG106" i="1" s="1"/>
  <c r="CF39" i="1"/>
  <c r="CG39" i="1" s="1"/>
  <c r="CF107" i="1"/>
  <c r="CG107" i="1" s="1"/>
  <c r="CF25" i="1"/>
  <c r="CG25" i="1" s="1"/>
  <c r="BN98" i="3"/>
  <c r="BN100" i="3"/>
  <c r="BN91" i="3"/>
  <c r="BA91" i="3"/>
  <c r="BA100" i="3"/>
  <c r="BA108" i="3"/>
  <c r="BN115" i="3"/>
  <c r="BN129" i="3"/>
  <c r="BN79" i="3"/>
  <c r="BA93" i="3"/>
  <c r="BN119" i="3"/>
  <c r="BN118" i="3"/>
  <c r="BN121" i="3"/>
  <c r="BA118" i="3"/>
  <c r="BA121" i="3"/>
  <c r="BA129" i="3"/>
  <c r="BA68" i="3"/>
  <c r="BA98" i="3"/>
  <c r="BA79" i="3"/>
  <c r="BA119" i="3"/>
  <c r="BN69" i="3"/>
  <c r="BA115" i="3"/>
  <c r="BA69" i="3"/>
  <c r="BN68" i="3"/>
  <c r="BN108" i="3"/>
  <c r="BA130" i="3"/>
  <c r="B3" i="1"/>
  <c r="CF4" i="1"/>
  <c r="CF102" i="1"/>
  <c r="CG102" i="1" s="1"/>
  <c r="CF82" i="1"/>
  <c r="CG82" i="1" s="1"/>
  <c r="CF15" i="1"/>
  <c r="CG15" i="1" s="1"/>
  <c r="CF80" i="1"/>
  <c r="CG80" i="1" s="1"/>
  <c r="CF14" i="1"/>
  <c r="CG14" i="1" s="1"/>
  <c r="CF21" i="1"/>
  <c r="CG21" i="1" s="1"/>
  <c r="CF8" i="1"/>
  <c r="CG8" i="1" s="1"/>
  <c r="CF49" i="1"/>
  <c r="CG49" i="1" s="1"/>
  <c r="CF62" i="1"/>
  <c r="CG62" i="1" s="1"/>
  <c r="CF52" i="1"/>
  <c r="CG52" i="1" s="1"/>
  <c r="CF6" i="1"/>
  <c r="CG6" i="1" s="1"/>
  <c r="CF7" i="1"/>
  <c r="CG7" i="1" s="1"/>
  <c r="CF117" i="1"/>
  <c r="CG117" i="1" s="1"/>
  <c r="CF65" i="1"/>
  <c r="CG65" i="1" s="1"/>
  <c r="CF64" i="1"/>
  <c r="CG64" i="1" s="1"/>
  <c r="CF27" i="1"/>
  <c r="CG27" i="1" s="1"/>
  <c r="CF34" i="1"/>
  <c r="CG34" i="1" s="1"/>
  <c r="CF32" i="1"/>
  <c r="CG32" i="1" s="1"/>
  <c r="CF78" i="1"/>
  <c r="CG78" i="1" s="1"/>
  <c r="CF48" i="1"/>
  <c r="CG48" i="1" s="1"/>
  <c r="CF28" i="1"/>
  <c r="CG28" i="1" s="1"/>
  <c r="CF120" i="1"/>
  <c r="CG120" i="1" s="1"/>
  <c r="CF105" i="1"/>
  <c r="CG105" i="1" s="1"/>
  <c r="CF61" i="1"/>
  <c r="CG61" i="1" s="1"/>
  <c r="CF53" i="1"/>
  <c r="CG53" i="1" s="1"/>
  <c r="CF29" i="1"/>
  <c r="CG29" i="1" s="1"/>
  <c r="CF42" i="1"/>
  <c r="CG42" i="1" s="1"/>
  <c r="CF119" i="1"/>
  <c r="CG119" i="1" s="1"/>
  <c r="CF9" i="1"/>
  <c r="CG9" i="1" s="1"/>
  <c r="CF18" i="1"/>
  <c r="CG18" i="1" s="1"/>
  <c r="CF118" i="1"/>
  <c r="CG118" i="1" s="1"/>
  <c r="CF92" i="1"/>
  <c r="CG92" i="1" s="1"/>
  <c r="CF91" i="1"/>
  <c r="CG91" i="1" s="1"/>
  <c r="CF55" i="1"/>
  <c r="CG55" i="1" s="1"/>
  <c r="CF17" i="1"/>
  <c r="CG17" i="1" s="1"/>
  <c r="CF13" i="1"/>
  <c r="CG13" i="1" s="1"/>
  <c r="CF43" i="1"/>
  <c r="CG43" i="1" s="1"/>
  <c r="CF12" i="1"/>
  <c r="CG12" i="1" s="1"/>
  <c r="CF35" i="1"/>
  <c r="CG35" i="1" s="1"/>
  <c r="CF37" i="1"/>
  <c r="CG37" i="1" s="1"/>
  <c r="CF84" i="1"/>
  <c r="CG84" i="1" s="1"/>
  <c r="CF57" i="1"/>
  <c r="CG57" i="1" s="1"/>
  <c r="CF86" i="1"/>
  <c r="CG86" i="1" s="1"/>
  <c r="CF81" i="1"/>
  <c r="CG81" i="1" s="1"/>
  <c r="CF87" i="1"/>
  <c r="CG87" i="1" s="1"/>
  <c r="CF58" i="1"/>
  <c r="CG58" i="1" s="1"/>
  <c r="CF26" i="1"/>
  <c r="CG26" i="1" s="1"/>
  <c r="CF59" i="1"/>
  <c r="CG59" i="1" s="1"/>
  <c r="CF56" i="1"/>
  <c r="CG56" i="1" s="1"/>
  <c r="CF83" i="1"/>
  <c r="CG83" i="1" s="1"/>
  <c r="CF89" i="1"/>
  <c r="CG89" i="1" s="1"/>
  <c r="CF36" i="1"/>
  <c r="CF90" i="1"/>
  <c r="CG90" i="1" s="1"/>
  <c r="CF68" i="1"/>
  <c r="CG68" i="1" s="1"/>
  <c r="CF45" i="1"/>
  <c r="CG45" i="1" s="1"/>
  <c r="CF110" i="1"/>
  <c r="CG110" i="1" s="1"/>
  <c r="CF85" i="1"/>
  <c r="CG85" i="1" s="1"/>
  <c r="CF54" i="1"/>
  <c r="CG54" i="1" s="1"/>
  <c r="CF30" i="1"/>
  <c r="CG30" i="1" s="1"/>
  <c r="AR98" i="3"/>
  <c r="AR33" i="3"/>
  <c r="AR105" i="3"/>
  <c r="AR94" i="3"/>
  <c r="AR121" i="3"/>
  <c r="AR83" i="3"/>
  <c r="AR24" i="3"/>
  <c r="AR59" i="3"/>
  <c r="AR45" i="3"/>
  <c r="AR96" i="3"/>
  <c r="AR50" i="3"/>
  <c r="AR61" i="3"/>
  <c r="AR86" i="3"/>
  <c r="AR11" i="3"/>
  <c r="AR40" i="3"/>
  <c r="AR63" i="3"/>
  <c r="AR55" i="3"/>
  <c r="AR44" i="3"/>
  <c r="AR67" i="3"/>
  <c r="AR36" i="3"/>
  <c r="AR16" i="3"/>
  <c r="AR13" i="3"/>
  <c r="AR90" i="3"/>
  <c r="AR82" i="3"/>
  <c r="AR84" i="3"/>
  <c r="AR51" i="3"/>
  <c r="AR19" i="3"/>
  <c r="AR7" i="3"/>
  <c r="AR60" i="3"/>
  <c r="AR71" i="3"/>
  <c r="AR26" i="3"/>
  <c r="AR47" i="3"/>
  <c r="AR34" i="3"/>
  <c r="AR109" i="3"/>
  <c r="AR112" i="3"/>
  <c r="AR25" i="3"/>
  <c r="AR124" i="3"/>
  <c r="AR116" i="3"/>
  <c r="AR31" i="3"/>
  <c r="AR57" i="3"/>
  <c r="AR20" i="3"/>
  <c r="AR14" i="3"/>
  <c r="AR87" i="3"/>
  <c r="AR46" i="3"/>
  <c r="AR64" i="3"/>
  <c r="AR123" i="3"/>
  <c r="AR115" i="3"/>
  <c r="AR58" i="3"/>
  <c r="AR73" i="3"/>
  <c r="AR110" i="3"/>
  <c r="AR41" i="3"/>
  <c r="AR39" i="3"/>
  <c r="AR15" i="3"/>
  <c r="AR97" i="3"/>
  <c r="AR56" i="3"/>
  <c r="AR78" i="3"/>
  <c r="AR22" i="3"/>
  <c r="AR79" i="3"/>
  <c r="AR120" i="3"/>
  <c r="AR127" i="3"/>
  <c r="AR131" i="3"/>
  <c r="AR17" i="3"/>
  <c r="AR42" i="3"/>
  <c r="AR27" i="3"/>
  <c r="AR118" i="3"/>
  <c r="AR80" i="3"/>
  <c r="AR6" i="3"/>
  <c r="AR53" i="3"/>
  <c r="AR93" i="3"/>
  <c r="AR70" i="3"/>
  <c r="AR103" i="3"/>
  <c r="AR38" i="3"/>
  <c r="AR66" i="3"/>
  <c r="AR21" i="3"/>
  <c r="AR9" i="3"/>
  <c r="AR32" i="3"/>
  <c r="AR77" i="3"/>
  <c r="AR23" i="3"/>
  <c r="AR95" i="3"/>
  <c r="AR81" i="3"/>
  <c r="AR101" i="3"/>
  <c r="AR88" i="3"/>
  <c r="AR68" i="3"/>
  <c r="AR12" i="3"/>
  <c r="AR108" i="3"/>
  <c r="AR75" i="3"/>
  <c r="AR104" i="3"/>
  <c r="AR106" i="3"/>
  <c r="AR30" i="3"/>
  <c r="AR117" i="3"/>
  <c r="AR37" i="3"/>
  <c r="AR99" i="3"/>
  <c r="AR111" i="3"/>
  <c r="AR125" i="3"/>
  <c r="AR122" i="3"/>
  <c r="AR107" i="3"/>
  <c r="AR35" i="3"/>
  <c r="AR76" i="3"/>
  <c r="AR52" i="3"/>
  <c r="AR128" i="3"/>
  <c r="AR100" i="3"/>
  <c r="AR43" i="3"/>
  <c r="AR62" i="3"/>
  <c r="AR114" i="3"/>
  <c r="AR54" i="3"/>
  <c r="AR113" i="3"/>
  <c r="AR10" i="3"/>
  <c r="AR48" i="3"/>
  <c r="AR69" i="3"/>
  <c r="AR18" i="3"/>
  <c r="AR65" i="3"/>
  <c r="AR28" i="3"/>
  <c r="AR74" i="3"/>
  <c r="AR130" i="3"/>
  <c r="AR85" i="3"/>
  <c r="AR91" i="3"/>
  <c r="AR8" i="3"/>
  <c r="AR119" i="3"/>
  <c r="AR72" i="3"/>
  <c r="AR29" i="3"/>
  <c r="AR89" i="3"/>
  <c r="AR92" i="3"/>
  <c r="AR49" i="3"/>
  <c r="AR132" i="3"/>
  <c r="AR129" i="3"/>
  <c r="AR126" i="3"/>
  <c r="AR102" i="3"/>
  <c r="BA126" i="3" l="1"/>
  <c r="BN126" i="3"/>
  <c r="BA38" i="3"/>
  <c r="BN112" i="3"/>
  <c r="BA10" i="3"/>
  <c r="BN124" i="3"/>
  <c r="BA124" i="3"/>
  <c r="BE124" i="3" s="1"/>
  <c r="BI124" i="3" s="1"/>
  <c r="BA112" i="3"/>
  <c r="BE112" i="3" s="1"/>
  <c r="BI112" i="3" s="1"/>
  <c r="BN110" i="3"/>
  <c r="BA110" i="3"/>
  <c r="BA81" i="3"/>
  <c r="BA127" i="3"/>
  <c r="BE127" i="3" s="1"/>
  <c r="BI127" i="3" s="1"/>
  <c r="BN81" i="3"/>
  <c r="BR81" i="3" s="1"/>
  <c r="BV81" i="3" s="1"/>
  <c r="BN125" i="3"/>
  <c r="BR125" i="3" s="1"/>
  <c r="BV125" i="3" s="1"/>
  <c r="BN127" i="3"/>
  <c r="BR127" i="3" s="1"/>
  <c r="BV127" i="3" s="1"/>
  <c r="BN42" i="3"/>
  <c r="BE123" i="3"/>
  <c r="BI123" i="3" s="1"/>
  <c r="BB48" i="3"/>
  <c r="BC84" i="3"/>
  <c r="BG84" i="3" s="1"/>
  <c r="BK84" i="3" s="1"/>
  <c r="BB123" i="3"/>
  <c r="BF123" i="3" s="1"/>
  <c r="BJ123" i="3" s="1"/>
  <c r="BB63" i="3"/>
  <c r="BP75" i="3"/>
  <c r="BT75" i="3" s="1"/>
  <c r="BX75" i="3" s="1"/>
  <c r="BA117" i="3"/>
  <c r="BE117" i="3" s="1"/>
  <c r="BI117" i="3" s="1"/>
  <c r="BB72" i="3"/>
  <c r="BF72" i="3" s="1"/>
  <c r="BJ72" i="3" s="1"/>
  <c r="BC61" i="3"/>
  <c r="BG61" i="3" s="1"/>
  <c r="BK61" i="3" s="1"/>
  <c r="BQ37" i="3"/>
  <c r="BA58" i="3"/>
  <c r="BC108" i="3"/>
  <c r="BG108" i="3" s="1"/>
  <c r="BK108" i="3" s="1"/>
  <c r="BQ128" i="3"/>
  <c r="BU128" i="3" s="1"/>
  <c r="BY128" i="3" s="1"/>
  <c r="BC59" i="3"/>
  <c r="BD61" i="3"/>
  <c r="BH61" i="3" s="1"/>
  <c r="BL61" i="3" s="1"/>
  <c r="BB71" i="3"/>
  <c r="BF71" i="3" s="1"/>
  <c r="BJ71" i="3" s="1"/>
  <c r="BP59" i="3"/>
  <c r="BT59" i="3" s="1"/>
  <c r="BX59" i="3" s="1"/>
  <c r="BN32" i="3"/>
  <c r="BR32" i="3" s="1"/>
  <c r="BV32" i="3" s="1"/>
  <c r="BB117" i="3"/>
  <c r="BF117" i="3" s="1"/>
  <c r="BJ117" i="3" s="1"/>
  <c r="BD76" i="3"/>
  <c r="BH76" i="3" s="1"/>
  <c r="BL76" i="3" s="1"/>
  <c r="BB19" i="3"/>
  <c r="BP40" i="3"/>
  <c r="BA92" i="3"/>
  <c r="BE92" i="3" s="1"/>
  <c r="BI92" i="3" s="1"/>
  <c r="BA76" i="3"/>
  <c r="BE76" i="3" s="1"/>
  <c r="BI76" i="3" s="1"/>
  <c r="BO96" i="3"/>
  <c r="BS96" i="3" s="1"/>
  <c r="BW96" i="3" s="1"/>
  <c r="BA24" i="3"/>
  <c r="BE24" i="3" s="1"/>
  <c r="BI24" i="3" s="1"/>
  <c r="BN92" i="3"/>
  <c r="BR92" i="3" s="1"/>
  <c r="BV92" i="3" s="1"/>
  <c r="BP113" i="3"/>
  <c r="BT113" i="3" s="1"/>
  <c r="BX113" i="3" s="1"/>
  <c r="BB28" i="3"/>
  <c r="BF28" i="3" s="1"/>
  <c r="BJ28" i="3" s="1"/>
  <c r="BC48" i="3"/>
  <c r="BA122" i="3"/>
  <c r="BE122" i="3" s="1"/>
  <c r="BI122" i="3" s="1"/>
  <c r="BB32" i="3"/>
  <c r="BN56" i="3"/>
  <c r="BA61" i="3"/>
  <c r="BE61" i="3" s="1"/>
  <c r="BI61" i="3" s="1"/>
  <c r="BO126" i="3"/>
  <c r="BS126" i="3" s="1"/>
  <c r="BW126" i="3" s="1"/>
  <c r="BN63" i="3"/>
  <c r="BA52" i="3"/>
  <c r="BQ113" i="3"/>
  <c r="BU113" i="3" s="1"/>
  <c r="BY113" i="3" s="1"/>
  <c r="BC30" i="3"/>
  <c r="BG30" i="3" s="1"/>
  <c r="BK30" i="3" s="1"/>
  <c r="BQ34" i="3"/>
  <c r="BN104" i="3"/>
  <c r="BR104" i="3" s="1"/>
  <c r="BV104" i="3" s="1"/>
  <c r="BN60" i="3"/>
  <c r="BA63" i="3"/>
  <c r="BQ15" i="3"/>
  <c r="BP130" i="3"/>
  <c r="BT130" i="3" s="1"/>
  <c r="BX130" i="3" s="1"/>
  <c r="BC77" i="3"/>
  <c r="BG77" i="3" s="1"/>
  <c r="BK77" i="3" s="1"/>
  <c r="BC121" i="3"/>
  <c r="BG121" i="3" s="1"/>
  <c r="BK121" i="3" s="1"/>
  <c r="BP86" i="3"/>
  <c r="BT86" i="3" s="1"/>
  <c r="BX86" i="3" s="1"/>
  <c r="BD28" i="3"/>
  <c r="BH28" i="3" s="1"/>
  <c r="BL28" i="3" s="1"/>
  <c r="BC7" i="3"/>
  <c r="BG7" i="3" s="1"/>
  <c r="BK7" i="3" s="1"/>
  <c r="BQ96" i="3"/>
  <c r="BU96" i="3" s="1"/>
  <c r="BY96" i="3" s="1"/>
  <c r="BA26" i="3"/>
  <c r="BO127" i="3"/>
  <c r="BS127" i="3" s="1"/>
  <c r="BW127" i="3" s="1"/>
  <c r="BC74" i="3"/>
  <c r="BG74" i="3" s="1"/>
  <c r="BK74" i="3" s="1"/>
  <c r="BN50" i="3"/>
  <c r="BN27" i="3"/>
  <c r="BA36" i="3"/>
  <c r="BE36" i="3" s="1"/>
  <c r="BI36" i="3" s="1"/>
  <c r="BC93" i="3"/>
  <c r="BG93" i="3" s="1"/>
  <c r="BK93" i="3" s="1"/>
  <c r="BA6" i="3"/>
  <c r="BE6" i="3" s="1"/>
  <c r="BI6" i="3" s="1"/>
  <c r="BQ61" i="3"/>
  <c r="BD26" i="3"/>
  <c r="BC36" i="3"/>
  <c r="BG36" i="3" s="1"/>
  <c r="BK36" i="3" s="1"/>
  <c r="BR67" i="3"/>
  <c r="BV67" i="3" s="1"/>
  <c r="BO58" i="3"/>
  <c r="BS58" i="3" s="1"/>
  <c r="BW58" i="3" s="1"/>
  <c r="BB59" i="3"/>
  <c r="BO97" i="3"/>
  <c r="BS97" i="3" s="1"/>
  <c r="BW97" i="3" s="1"/>
  <c r="BQ98" i="3"/>
  <c r="BU98" i="3" s="1"/>
  <c r="BY98" i="3" s="1"/>
  <c r="BB34" i="3"/>
  <c r="BF34" i="3" s="1"/>
  <c r="BJ34" i="3" s="1"/>
  <c r="BD131" i="3"/>
  <c r="BH131" i="3" s="1"/>
  <c r="BL131" i="3" s="1"/>
  <c r="BA83" i="3"/>
  <c r="BE83" i="3" s="1"/>
  <c r="BI83" i="3" s="1"/>
  <c r="BA53" i="3"/>
  <c r="BE53" i="3" s="1"/>
  <c r="BI53" i="3" s="1"/>
  <c r="BP100" i="3"/>
  <c r="BT100" i="3" s="1"/>
  <c r="BX100" i="3" s="1"/>
  <c r="BB14" i="3"/>
  <c r="BP112" i="3"/>
  <c r="BT112" i="3" s="1"/>
  <c r="BX112" i="3" s="1"/>
  <c r="BC124" i="3"/>
  <c r="BG124" i="3" s="1"/>
  <c r="BK124" i="3" s="1"/>
  <c r="BD109" i="3"/>
  <c r="BH109" i="3" s="1"/>
  <c r="BL109" i="3" s="1"/>
  <c r="BP37" i="3"/>
  <c r="BB99" i="3"/>
  <c r="BF99" i="3" s="1"/>
  <c r="BJ99" i="3" s="1"/>
  <c r="BB110" i="3"/>
  <c r="BF110" i="3" s="1"/>
  <c r="BJ110" i="3" s="1"/>
  <c r="BD57" i="3"/>
  <c r="BN18" i="3"/>
  <c r="BR18" i="3" s="1"/>
  <c r="BV18" i="3" s="1"/>
  <c r="BB113" i="3"/>
  <c r="BF113" i="3" s="1"/>
  <c r="BJ113" i="3" s="1"/>
  <c r="BA101" i="3"/>
  <c r="BE101" i="3" s="1"/>
  <c r="BI101" i="3" s="1"/>
  <c r="BQ119" i="3"/>
  <c r="BU119" i="3" s="1"/>
  <c r="BY119" i="3" s="1"/>
  <c r="BC116" i="3"/>
  <c r="BG116" i="3" s="1"/>
  <c r="BK116" i="3" s="1"/>
  <c r="BA99" i="3"/>
  <c r="BE99" i="3" s="1"/>
  <c r="BI99" i="3" s="1"/>
  <c r="BN96" i="3"/>
  <c r="BR96" i="3" s="1"/>
  <c r="BV96" i="3" s="1"/>
  <c r="BN14" i="3"/>
  <c r="BR14" i="3" s="1"/>
  <c r="BV14" i="3" s="1"/>
  <c r="BN99" i="3"/>
  <c r="BR99" i="3" s="1"/>
  <c r="BV99" i="3" s="1"/>
  <c r="BD65" i="3"/>
  <c r="BH65" i="3" s="1"/>
  <c r="BL65" i="3" s="1"/>
  <c r="BQ110" i="3"/>
  <c r="BU110" i="3" s="1"/>
  <c r="BY110" i="3" s="1"/>
  <c r="BD77" i="3"/>
  <c r="BH77" i="3" s="1"/>
  <c r="BL77" i="3" s="1"/>
  <c r="BN44" i="3"/>
  <c r="BR44" i="3" s="1"/>
  <c r="BV44" i="3" s="1"/>
  <c r="BQ45" i="3"/>
  <c r="BU45" i="3" s="1"/>
  <c r="BY45" i="3" s="1"/>
  <c r="BP68" i="3"/>
  <c r="BT68" i="3" s="1"/>
  <c r="BX68" i="3" s="1"/>
  <c r="BC20" i="3"/>
  <c r="BN72" i="3"/>
  <c r="BR72" i="3" s="1"/>
  <c r="BV72" i="3" s="1"/>
  <c r="BB122" i="3"/>
  <c r="BF122" i="3" s="1"/>
  <c r="BJ122" i="3" s="1"/>
  <c r="BQ80" i="3"/>
  <c r="BU80" i="3" s="1"/>
  <c r="BY80" i="3" s="1"/>
  <c r="BA90" i="3"/>
  <c r="BE90" i="3" s="1"/>
  <c r="BI90" i="3" s="1"/>
  <c r="BO27" i="3"/>
  <c r="BB41" i="3"/>
  <c r="BA72" i="3"/>
  <c r="BE72" i="3" s="1"/>
  <c r="BI72" i="3" s="1"/>
  <c r="BC41" i="3"/>
  <c r="BA106" i="3"/>
  <c r="BE106" i="3" s="1"/>
  <c r="BI106" i="3" s="1"/>
  <c r="BO11" i="3"/>
  <c r="BC123" i="3"/>
  <c r="BG123" i="3" s="1"/>
  <c r="BK123" i="3" s="1"/>
  <c r="BC114" i="3"/>
  <c r="BG114" i="3" s="1"/>
  <c r="BK114" i="3" s="1"/>
  <c r="BC101" i="3"/>
  <c r="BG101" i="3" s="1"/>
  <c r="BK101" i="3" s="1"/>
  <c r="BO66" i="3"/>
  <c r="BS66" i="3" s="1"/>
  <c r="BW66" i="3" s="1"/>
  <c r="BQ38" i="3"/>
  <c r="BU38" i="3" s="1"/>
  <c r="BY38" i="3" s="1"/>
  <c r="BN11" i="3"/>
  <c r="BD102" i="3"/>
  <c r="BH102" i="3" s="1"/>
  <c r="BL102" i="3" s="1"/>
  <c r="BC24" i="3"/>
  <c r="BG24" i="3" s="1"/>
  <c r="BK24" i="3" s="1"/>
  <c r="BO62" i="3"/>
  <c r="BS62" i="3" s="1"/>
  <c r="BW62" i="3" s="1"/>
  <c r="BO48" i="3"/>
  <c r="BN65" i="3"/>
  <c r="BR65" i="3" s="1"/>
  <c r="BV65" i="3" s="1"/>
  <c r="BD83" i="3"/>
  <c r="BH83" i="3" s="1"/>
  <c r="BL83" i="3" s="1"/>
  <c r="BQ35" i="3"/>
  <c r="BC130" i="3"/>
  <c r="BG130" i="3" s="1"/>
  <c r="BK130" i="3" s="1"/>
  <c r="BA77" i="3"/>
  <c r="BE77" i="3" s="1"/>
  <c r="BI77" i="3" s="1"/>
  <c r="BO98" i="3"/>
  <c r="BS98" i="3" s="1"/>
  <c r="BW98" i="3" s="1"/>
  <c r="BB53" i="3"/>
  <c r="BF53" i="3" s="1"/>
  <c r="BJ53" i="3" s="1"/>
  <c r="BP42" i="3"/>
  <c r="BD91" i="3"/>
  <c r="BH91" i="3" s="1"/>
  <c r="BL91" i="3" s="1"/>
  <c r="BQ114" i="3"/>
  <c r="BU114" i="3" s="1"/>
  <c r="BY114" i="3" s="1"/>
  <c r="BO36" i="3"/>
  <c r="BS36" i="3" s="1"/>
  <c r="BW36" i="3" s="1"/>
  <c r="BD85" i="3"/>
  <c r="BH85" i="3" s="1"/>
  <c r="BL85" i="3" s="1"/>
  <c r="BD66" i="3"/>
  <c r="BH66" i="3" s="1"/>
  <c r="BL66" i="3" s="1"/>
  <c r="BQ109" i="3"/>
  <c r="BU109" i="3" s="1"/>
  <c r="BY109" i="3" s="1"/>
  <c r="BC60" i="3"/>
  <c r="BG60" i="3" s="1"/>
  <c r="BK60" i="3" s="1"/>
  <c r="BA64" i="3"/>
  <c r="BE64" i="3" s="1"/>
  <c r="BI64" i="3" s="1"/>
  <c r="BN58" i="3"/>
  <c r="BR58" i="3" s="1"/>
  <c r="BV58" i="3" s="1"/>
  <c r="BO74" i="3"/>
  <c r="BS74" i="3" s="1"/>
  <c r="BW74" i="3" s="1"/>
  <c r="BB47" i="3"/>
  <c r="BA102" i="3"/>
  <c r="BE102" i="3" s="1"/>
  <c r="BI102" i="3" s="1"/>
  <c r="BO20" i="3"/>
  <c r="BA94" i="3"/>
  <c r="BE94" i="3" s="1"/>
  <c r="BI94" i="3" s="1"/>
  <c r="BB13" i="3"/>
  <c r="BC26" i="3"/>
  <c r="BC97" i="3"/>
  <c r="BG97" i="3" s="1"/>
  <c r="BK97" i="3" s="1"/>
  <c r="BN84" i="3"/>
  <c r="BR84" i="3" s="1"/>
  <c r="BV84" i="3" s="1"/>
  <c r="BA9" i="3"/>
  <c r="BE9" i="3" s="1"/>
  <c r="BI9" i="3" s="1"/>
  <c r="BQ41" i="3"/>
  <c r="BA95" i="3"/>
  <c r="BE95" i="3" s="1"/>
  <c r="BI95" i="3" s="1"/>
  <c r="BR129" i="3"/>
  <c r="BV129" i="3" s="1"/>
  <c r="BP17" i="3"/>
  <c r="BA74" i="3"/>
  <c r="BE74" i="3" s="1"/>
  <c r="BI74" i="3" s="1"/>
  <c r="BO12" i="3"/>
  <c r="BC35" i="3"/>
  <c r="BQ64" i="3"/>
  <c r="BQ103" i="3"/>
  <c r="BU103" i="3" s="1"/>
  <c r="BY103" i="3" s="1"/>
  <c r="BB38" i="3"/>
  <c r="BD64" i="3"/>
  <c r="BH64" i="3" s="1"/>
  <c r="BL64" i="3" s="1"/>
  <c r="BP70" i="3"/>
  <c r="BT70" i="3" s="1"/>
  <c r="BX70" i="3" s="1"/>
  <c r="BP11" i="3"/>
  <c r="BC8" i="3"/>
  <c r="BG8" i="3" s="1"/>
  <c r="BK8" i="3" s="1"/>
  <c r="BB18" i="3"/>
  <c r="BF18" i="3" s="1"/>
  <c r="BJ18" i="3" s="1"/>
  <c r="BP36" i="3"/>
  <c r="BT36" i="3" s="1"/>
  <c r="BX36" i="3" s="1"/>
  <c r="BD36" i="3"/>
  <c r="BH36" i="3" s="1"/>
  <c r="BL36" i="3" s="1"/>
  <c r="BB45" i="3"/>
  <c r="BP22" i="3"/>
  <c r="BD97" i="3"/>
  <c r="BH97" i="3" s="1"/>
  <c r="BL97" i="3" s="1"/>
  <c r="BD8" i="3"/>
  <c r="BH8" i="3" s="1"/>
  <c r="BL8" i="3" s="1"/>
  <c r="BB10" i="3"/>
  <c r="BP88" i="3"/>
  <c r="BT88" i="3" s="1"/>
  <c r="BX88" i="3" s="1"/>
  <c r="BC9" i="3"/>
  <c r="BG9" i="3" s="1"/>
  <c r="BK9" i="3" s="1"/>
  <c r="BC29" i="3"/>
  <c r="BP123" i="3"/>
  <c r="BT123" i="3" s="1"/>
  <c r="BX123" i="3" s="1"/>
  <c r="BQ48" i="3"/>
  <c r="AB3" i="3"/>
  <c r="BN83" i="3"/>
  <c r="BR83" i="3" s="1"/>
  <c r="BV83" i="3" s="1"/>
  <c r="BQ20" i="3"/>
  <c r="BQ97" i="3"/>
  <c r="BU97" i="3" s="1"/>
  <c r="BY97" i="3" s="1"/>
  <c r="BC22" i="3"/>
  <c r="BC100" i="3"/>
  <c r="BG100" i="3" s="1"/>
  <c r="BK100" i="3" s="1"/>
  <c r="BN61" i="3"/>
  <c r="BN114" i="3"/>
  <c r="BR114" i="3" s="1"/>
  <c r="BV114" i="3" s="1"/>
  <c r="BA39" i="3"/>
  <c r="BQ27" i="3"/>
  <c r="BQ132" i="3"/>
  <c r="BU132" i="3" s="1"/>
  <c r="BY132" i="3" s="1"/>
  <c r="BP6" i="3"/>
  <c r="BD127" i="3"/>
  <c r="BH127" i="3" s="1"/>
  <c r="BL127" i="3" s="1"/>
  <c r="BO35" i="3"/>
  <c r="BO61" i="3"/>
  <c r="BA30" i="3"/>
  <c r="BE30" i="3" s="1"/>
  <c r="BI30" i="3" s="1"/>
  <c r="BC76" i="3"/>
  <c r="BG76" i="3" s="1"/>
  <c r="BK76" i="3" s="1"/>
  <c r="BC21" i="3"/>
  <c r="BG21" i="3" s="1"/>
  <c r="BK21" i="3" s="1"/>
  <c r="BP30" i="3"/>
  <c r="BP82" i="3"/>
  <c r="BT82" i="3" s="1"/>
  <c r="BX82" i="3" s="1"/>
  <c r="BQ53" i="3"/>
  <c r="BC94" i="3"/>
  <c r="BG94" i="3" s="1"/>
  <c r="BK94" i="3" s="1"/>
  <c r="BB54" i="3"/>
  <c r="BB37" i="3"/>
  <c r="BP110" i="3"/>
  <c r="BT110" i="3" s="1"/>
  <c r="BX110" i="3" s="1"/>
  <c r="BA113" i="3"/>
  <c r="BE113" i="3" s="1"/>
  <c r="BI113" i="3" s="1"/>
  <c r="BD130" i="3"/>
  <c r="BH130" i="3" s="1"/>
  <c r="BL130" i="3" s="1"/>
  <c r="BA22" i="3"/>
  <c r="BP34" i="3"/>
  <c r="BO92" i="3"/>
  <c r="BS92" i="3" s="1"/>
  <c r="BW92" i="3" s="1"/>
  <c r="BD74" i="3"/>
  <c r="BH74" i="3" s="1"/>
  <c r="BL74" i="3" s="1"/>
  <c r="BA107" i="3"/>
  <c r="BE107" i="3" s="1"/>
  <c r="BI107" i="3" s="1"/>
  <c r="BP116" i="3"/>
  <c r="BT116" i="3" s="1"/>
  <c r="BX116" i="3" s="1"/>
  <c r="BN95" i="3"/>
  <c r="BR95" i="3" s="1"/>
  <c r="BV95" i="3" s="1"/>
  <c r="BQ69" i="3"/>
  <c r="BU69" i="3" s="1"/>
  <c r="BY69" i="3" s="1"/>
  <c r="BC99" i="3"/>
  <c r="BG99" i="3" s="1"/>
  <c r="BK99" i="3" s="1"/>
  <c r="BQ65" i="3"/>
  <c r="BU65" i="3" s="1"/>
  <c r="BY65" i="3" s="1"/>
  <c r="BN90" i="3"/>
  <c r="BR90" i="3" s="1"/>
  <c r="BV90" i="3" s="1"/>
  <c r="BN132" i="3"/>
  <c r="BR132" i="3" s="1"/>
  <c r="BV132" i="3" s="1"/>
  <c r="BQ102" i="3"/>
  <c r="BU102" i="3" s="1"/>
  <c r="BY102" i="3" s="1"/>
  <c r="BP69" i="3"/>
  <c r="BT69" i="3" s="1"/>
  <c r="BX69" i="3" s="1"/>
  <c r="BQ126" i="3"/>
  <c r="BU126" i="3" s="1"/>
  <c r="BY126" i="3" s="1"/>
  <c r="BB112" i="3"/>
  <c r="BF112" i="3" s="1"/>
  <c r="BJ112" i="3" s="1"/>
  <c r="BO47" i="3"/>
  <c r="BP78" i="3"/>
  <c r="BT78" i="3" s="1"/>
  <c r="BX78" i="3" s="1"/>
  <c r="BC73" i="3"/>
  <c r="BG73" i="3" s="1"/>
  <c r="BK73" i="3" s="1"/>
  <c r="BP67" i="3"/>
  <c r="BT67" i="3" s="1"/>
  <c r="BX67" i="3" s="1"/>
  <c r="BD100" i="3"/>
  <c r="BH100" i="3" s="1"/>
  <c r="BL100" i="3" s="1"/>
  <c r="BC70" i="3"/>
  <c r="BG70" i="3" s="1"/>
  <c r="BK70" i="3" s="1"/>
  <c r="BO90" i="3"/>
  <c r="BS90" i="3" s="1"/>
  <c r="BW90" i="3" s="1"/>
  <c r="BO70" i="3"/>
  <c r="BS70" i="3" s="1"/>
  <c r="BW70" i="3" s="1"/>
  <c r="BN24" i="3"/>
  <c r="BO18" i="3"/>
  <c r="BS18" i="3" s="1"/>
  <c r="BW18" i="3" s="1"/>
  <c r="BB77" i="3"/>
  <c r="BF77" i="3" s="1"/>
  <c r="BJ77" i="3" s="1"/>
  <c r="BQ118" i="3"/>
  <c r="BU118" i="3" s="1"/>
  <c r="BY118" i="3" s="1"/>
  <c r="BC128" i="3"/>
  <c r="BG128" i="3" s="1"/>
  <c r="BK128" i="3" s="1"/>
  <c r="BP8" i="3"/>
  <c r="BN16" i="3"/>
  <c r="BP72" i="3"/>
  <c r="BT72" i="3" s="1"/>
  <c r="BX72" i="3" s="1"/>
  <c r="BD50" i="3"/>
  <c r="BC110" i="3"/>
  <c r="BG110" i="3" s="1"/>
  <c r="BK110" i="3" s="1"/>
  <c r="BB105" i="3"/>
  <c r="BF105" i="3" s="1"/>
  <c r="BJ105" i="3" s="1"/>
  <c r="BN41" i="3"/>
  <c r="BD22" i="3"/>
  <c r="BP87" i="3"/>
  <c r="BT87" i="3" s="1"/>
  <c r="BX87" i="3" s="1"/>
  <c r="BD86" i="3"/>
  <c r="BH86" i="3" s="1"/>
  <c r="BL86" i="3" s="1"/>
  <c r="BB83" i="3"/>
  <c r="BF83" i="3" s="1"/>
  <c r="BJ83" i="3" s="1"/>
  <c r="BA28" i="3"/>
  <c r="BE28" i="3" s="1"/>
  <c r="BI28" i="3" s="1"/>
  <c r="BB80" i="3"/>
  <c r="BF80" i="3" s="1"/>
  <c r="BJ80" i="3" s="1"/>
  <c r="BP81" i="3"/>
  <c r="BT81" i="3" s="1"/>
  <c r="BX81" i="3" s="1"/>
  <c r="BQ122" i="3"/>
  <c r="BU122" i="3" s="1"/>
  <c r="BY122" i="3" s="1"/>
  <c r="BN13" i="3"/>
  <c r="BC34" i="3"/>
  <c r="BG34" i="3" s="1"/>
  <c r="BK34" i="3" s="1"/>
  <c r="BD9" i="3"/>
  <c r="BH9" i="3" s="1"/>
  <c r="BL9" i="3" s="1"/>
  <c r="BB46" i="3"/>
  <c r="BD51" i="3"/>
  <c r="BC11" i="3"/>
  <c r="BA31" i="3"/>
  <c r="BN105" i="3"/>
  <c r="BR105" i="3" s="1"/>
  <c r="BV105" i="3" s="1"/>
  <c r="BD88" i="3"/>
  <c r="BH88" i="3" s="1"/>
  <c r="BL88" i="3" s="1"/>
  <c r="BD115" i="3"/>
  <c r="BH115" i="3" s="1"/>
  <c r="BL115" i="3" s="1"/>
  <c r="BQ57" i="3"/>
  <c r="BB97" i="3"/>
  <c r="BF97" i="3" s="1"/>
  <c r="BJ97" i="3" s="1"/>
  <c r="BP132" i="3"/>
  <c r="BT132" i="3" s="1"/>
  <c r="BX132" i="3" s="1"/>
  <c r="BD44" i="3"/>
  <c r="BD15" i="3"/>
  <c r="BA41" i="3"/>
  <c r="BP108" i="3"/>
  <c r="BT108" i="3" s="1"/>
  <c r="BX108" i="3" s="1"/>
  <c r="BB42" i="3"/>
  <c r="BA45" i="3"/>
  <c r="BB24" i="3"/>
  <c r="BF24" i="3" s="1"/>
  <c r="BJ24" i="3" s="1"/>
  <c r="BN48" i="3"/>
  <c r="BQ49" i="3"/>
  <c r="BU49" i="3" s="1"/>
  <c r="BY49" i="3" s="1"/>
  <c r="BP105" i="3"/>
  <c r="BT105" i="3" s="1"/>
  <c r="BX105" i="3" s="1"/>
  <c r="BP14" i="3"/>
  <c r="BT14" i="3" s="1"/>
  <c r="BX14" i="3" s="1"/>
  <c r="BP16" i="3"/>
  <c r="BN74" i="3"/>
  <c r="BR74" i="3" s="1"/>
  <c r="BV74" i="3" s="1"/>
  <c r="BB16" i="3"/>
  <c r="BF16" i="3" s="1"/>
  <c r="BJ16" i="3" s="1"/>
  <c r="BN43" i="3"/>
  <c r="BR43" i="3" s="1"/>
  <c r="BV43" i="3" s="1"/>
  <c r="BD45" i="3"/>
  <c r="BQ116" i="3"/>
  <c r="BU116" i="3" s="1"/>
  <c r="BY116" i="3" s="1"/>
  <c r="BP61" i="3"/>
  <c r="BA71" i="3"/>
  <c r="BE71" i="3" s="1"/>
  <c r="BI71" i="3" s="1"/>
  <c r="BA18" i="3"/>
  <c r="BE18" i="3" s="1"/>
  <c r="BI18" i="3" s="1"/>
  <c r="BO63" i="3"/>
  <c r="BD10" i="3"/>
  <c r="BD48" i="3"/>
  <c r="BO122" i="3"/>
  <c r="BS122" i="3" s="1"/>
  <c r="BW122" i="3" s="1"/>
  <c r="BC64" i="3"/>
  <c r="BG64" i="3" s="1"/>
  <c r="BK64" i="3" s="1"/>
  <c r="BO123" i="3"/>
  <c r="BS123" i="3" s="1"/>
  <c r="BW123" i="3" s="1"/>
  <c r="BP126" i="3"/>
  <c r="BT126" i="3" s="1"/>
  <c r="BX126" i="3" s="1"/>
  <c r="BC87" i="3"/>
  <c r="BG87" i="3" s="1"/>
  <c r="BK87" i="3" s="1"/>
  <c r="BD101" i="3"/>
  <c r="BH101" i="3" s="1"/>
  <c r="BL101" i="3" s="1"/>
  <c r="BB127" i="3"/>
  <c r="BF127" i="3" s="1"/>
  <c r="BJ127" i="3" s="1"/>
  <c r="BN113" i="3"/>
  <c r="BR113" i="3" s="1"/>
  <c r="BV113" i="3" s="1"/>
  <c r="BC103" i="3"/>
  <c r="BG103" i="3" s="1"/>
  <c r="BK103" i="3" s="1"/>
  <c r="BA48" i="3"/>
  <c r="BD49" i="3"/>
  <c r="BN80" i="3"/>
  <c r="BR80" i="3" s="1"/>
  <c r="BV80" i="3" s="1"/>
  <c r="BB91" i="3"/>
  <c r="BF91" i="3" s="1"/>
  <c r="BJ91" i="3" s="1"/>
  <c r="BD104" i="3"/>
  <c r="BH104" i="3" s="1"/>
  <c r="BL104" i="3" s="1"/>
  <c r="BD37" i="3"/>
  <c r="BN116" i="3"/>
  <c r="BR116" i="3" s="1"/>
  <c r="BV116" i="3" s="1"/>
  <c r="BD103" i="3"/>
  <c r="BH103" i="3" s="1"/>
  <c r="BL103" i="3" s="1"/>
  <c r="BA14" i="3"/>
  <c r="BC55" i="3"/>
  <c r="BO34" i="3"/>
  <c r="BD78" i="3"/>
  <c r="BH78" i="3" s="1"/>
  <c r="BL78" i="3" s="1"/>
  <c r="BQ101" i="3"/>
  <c r="BU101" i="3" s="1"/>
  <c r="BY101" i="3" s="1"/>
  <c r="BC104" i="3"/>
  <c r="BG104" i="3" s="1"/>
  <c r="BK104" i="3" s="1"/>
  <c r="BA27" i="3"/>
  <c r="BO103" i="3"/>
  <c r="BS103" i="3" s="1"/>
  <c r="BW103" i="3" s="1"/>
  <c r="BO130" i="3"/>
  <c r="BS130" i="3" s="1"/>
  <c r="BW130" i="3" s="1"/>
  <c r="BC98" i="3"/>
  <c r="BG98" i="3" s="1"/>
  <c r="BK98" i="3" s="1"/>
  <c r="BB100" i="3"/>
  <c r="BF100" i="3" s="1"/>
  <c r="BJ100" i="3" s="1"/>
  <c r="BD106" i="3"/>
  <c r="BH106" i="3" s="1"/>
  <c r="BL106" i="3" s="1"/>
  <c r="BB68" i="3"/>
  <c r="BF68" i="3" s="1"/>
  <c r="BJ68" i="3" s="1"/>
  <c r="BC125" i="3"/>
  <c r="BG125" i="3" s="1"/>
  <c r="BK125" i="3" s="1"/>
  <c r="BA50" i="3"/>
  <c r="BA75" i="3"/>
  <c r="BE75" i="3" s="1"/>
  <c r="BI75" i="3" s="1"/>
  <c r="BA120" i="3"/>
  <c r="BE120" i="3" s="1"/>
  <c r="BI120" i="3" s="1"/>
  <c r="BN52" i="3"/>
  <c r="BD71" i="3"/>
  <c r="BH71" i="3" s="1"/>
  <c r="BL71" i="3" s="1"/>
  <c r="BQ85" i="3"/>
  <c r="BU85" i="3" s="1"/>
  <c r="BY85" i="3" s="1"/>
  <c r="BO89" i="3"/>
  <c r="BS89" i="3" s="1"/>
  <c r="BW89" i="3" s="1"/>
  <c r="BC42" i="3"/>
  <c r="BQ23" i="3"/>
  <c r="BN59" i="3"/>
  <c r="BR59" i="3" s="1"/>
  <c r="BV59" i="3" s="1"/>
  <c r="BO6" i="3"/>
  <c r="BA29" i="3"/>
  <c r="BO80" i="3"/>
  <c r="BS80" i="3" s="1"/>
  <c r="BW80" i="3" s="1"/>
  <c r="BB101" i="3"/>
  <c r="BF101" i="3" s="1"/>
  <c r="BJ101" i="3" s="1"/>
  <c r="BB33" i="3"/>
  <c r="BQ6" i="3"/>
  <c r="BC37" i="3"/>
  <c r="BN102" i="3"/>
  <c r="BR102" i="3" s="1"/>
  <c r="BV102" i="3" s="1"/>
  <c r="BP26" i="3"/>
  <c r="BD59" i="3"/>
  <c r="BD105" i="3"/>
  <c r="BH105" i="3" s="1"/>
  <c r="BL105" i="3" s="1"/>
  <c r="BQ36" i="3"/>
  <c r="BU36" i="3" s="1"/>
  <c r="BY36" i="3" s="1"/>
  <c r="BP52" i="3"/>
  <c r="BP122" i="3"/>
  <c r="BT122" i="3" s="1"/>
  <c r="BX122" i="3" s="1"/>
  <c r="BP50" i="3"/>
  <c r="BC91" i="3"/>
  <c r="BG91" i="3" s="1"/>
  <c r="BK91" i="3" s="1"/>
  <c r="BO24" i="3"/>
  <c r="BP38" i="3"/>
  <c r="BT38" i="3" s="1"/>
  <c r="BX38" i="3" s="1"/>
  <c r="BC33" i="3"/>
  <c r="BO41" i="3"/>
  <c r="BB58" i="3"/>
  <c r="BP41" i="3"/>
  <c r="BQ87" i="3"/>
  <c r="BU87" i="3" s="1"/>
  <c r="BY87" i="3" s="1"/>
  <c r="BP64" i="3"/>
  <c r="BC6" i="3"/>
  <c r="BG6" i="3" s="1"/>
  <c r="BK6" i="3" s="1"/>
  <c r="BQ130" i="3"/>
  <c r="BU130" i="3" s="1"/>
  <c r="BY130" i="3" s="1"/>
  <c r="BC27" i="3"/>
  <c r="BQ16" i="3"/>
  <c r="BA13" i="3"/>
  <c r="BN111" i="3"/>
  <c r="BR111" i="3" s="1"/>
  <c r="BV111" i="3" s="1"/>
  <c r="BD56" i="3"/>
  <c r="BN25" i="3"/>
  <c r="BR25" i="3" s="1"/>
  <c r="BV25" i="3" s="1"/>
  <c r="BA87" i="3"/>
  <c r="BE87" i="3" s="1"/>
  <c r="BI87" i="3" s="1"/>
  <c r="BD11" i="3"/>
  <c r="BD70" i="3"/>
  <c r="BH70" i="3" s="1"/>
  <c r="BL70" i="3" s="1"/>
  <c r="BN22" i="3"/>
  <c r="BO16" i="3"/>
  <c r="BO101" i="3"/>
  <c r="BS101" i="3" s="1"/>
  <c r="BW101" i="3" s="1"/>
  <c r="BP84" i="3"/>
  <c r="BT84" i="3" s="1"/>
  <c r="BX84" i="3" s="1"/>
  <c r="BB78" i="3"/>
  <c r="BF78" i="3" s="1"/>
  <c r="BJ78" i="3" s="1"/>
  <c r="BN49" i="3"/>
  <c r="BR49" i="3" s="1"/>
  <c r="BV49" i="3" s="1"/>
  <c r="BD20" i="3"/>
  <c r="BC82" i="3"/>
  <c r="BG82" i="3" s="1"/>
  <c r="BK82" i="3" s="1"/>
  <c r="BP111" i="3"/>
  <c r="BT111" i="3" s="1"/>
  <c r="BX111" i="3" s="1"/>
  <c r="BD93" i="3"/>
  <c r="BH93" i="3" s="1"/>
  <c r="BL93" i="3" s="1"/>
  <c r="BD92" i="3"/>
  <c r="BH92" i="3" s="1"/>
  <c r="BL92" i="3" s="1"/>
  <c r="BP121" i="3"/>
  <c r="BT121" i="3" s="1"/>
  <c r="BX121" i="3" s="1"/>
  <c r="BC72" i="3"/>
  <c r="BG72" i="3" s="1"/>
  <c r="BK72" i="3" s="1"/>
  <c r="BC117" i="3"/>
  <c r="BG117" i="3" s="1"/>
  <c r="BK117" i="3" s="1"/>
  <c r="BB124" i="3"/>
  <c r="BF124" i="3" s="1"/>
  <c r="BJ124" i="3" s="1"/>
  <c r="BN26" i="3"/>
  <c r="BA33" i="3"/>
  <c r="BN117" i="3"/>
  <c r="BR117" i="3" s="1"/>
  <c r="BV117" i="3" s="1"/>
  <c r="BB12" i="3"/>
  <c r="BP115" i="3"/>
  <c r="BT115" i="3" s="1"/>
  <c r="BX115" i="3" s="1"/>
  <c r="BQ12" i="3"/>
  <c r="BN107" i="3"/>
  <c r="BR107" i="3" s="1"/>
  <c r="BV107" i="3" s="1"/>
  <c r="BQ86" i="3"/>
  <c r="BU86" i="3" s="1"/>
  <c r="BY86" i="3" s="1"/>
  <c r="BP94" i="3"/>
  <c r="BT94" i="3" s="1"/>
  <c r="BX94" i="3" s="1"/>
  <c r="BA43" i="3"/>
  <c r="BP13" i="3"/>
  <c r="BD60" i="3"/>
  <c r="BH60" i="3" s="1"/>
  <c r="BL60" i="3" s="1"/>
  <c r="BC78" i="3"/>
  <c r="BG78" i="3" s="1"/>
  <c r="BK78" i="3" s="1"/>
  <c r="BO82" i="3"/>
  <c r="BS82" i="3" s="1"/>
  <c r="BW82" i="3" s="1"/>
  <c r="BP89" i="3"/>
  <c r="BT89" i="3" s="1"/>
  <c r="BX89" i="3" s="1"/>
  <c r="BC81" i="3"/>
  <c r="BG81" i="3" s="1"/>
  <c r="BK81" i="3" s="1"/>
  <c r="BO22" i="3"/>
  <c r="BC16" i="3"/>
  <c r="BG16" i="3" s="1"/>
  <c r="BK16" i="3" s="1"/>
  <c r="BP99" i="3"/>
  <c r="BT99" i="3" s="1"/>
  <c r="BX99" i="3" s="1"/>
  <c r="BB87" i="3"/>
  <c r="BF87" i="3" s="1"/>
  <c r="BJ87" i="3" s="1"/>
  <c r="BO76" i="3"/>
  <c r="BS76" i="3" s="1"/>
  <c r="BW76" i="3" s="1"/>
  <c r="BQ104" i="3"/>
  <c r="BU104" i="3" s="1"/>
  <c r="BY104" i="3" s="1"/>
  <c r="BB130" i="3"/>
  <c r="BF130" i="3" s="1"/>
  <c r="BJ130" i="3" s="1"/>
  <c r="BC32" i="3"/>
  <c r="BP85" i="3"/>
  <c r="BT85" i="3" s="1"/>
  <c r="BX85" i="3" s="1"/>
  <c r="BO121" i="3"/>
  <c r="BS121" i="3" s="1"/>
  <c r="BW121" i="3" s="1"/>
  <c r="BN77" i="3"/>
  <c r="BR77" i="3" s="1"/>
  <c r="BV77" i="3" s="1"/>
  <c r="BO33" i="3"/>
  <c r="BS33" i="3" s="1"/>
  <c r="BW33" i="3" s="1"/>
  <c r="BB17" i="3"/>
  <c r="BF17" i="3" s="1"/>
  <c r="BJ17" i="3" s="1"/>
  <c r="BP55" i="3"/>
  <c r="BT55" i="3" s="1"/>
  <c r="BX55" i="3" s="1"/>
  <c r="BQ93" i="3"/>
  <c r="BU93" i="3" s="1"/>
  <c r="BY93" i="3" s="1"/>
  <c r="BQ131" i="3"/>
  <c r="BU131" i="3" s="1"/>
  <c r="BY131" i="3" s="1"/>
  <c r="BN10" i="3"/>
  <c r="BB103" i="3"/>
  <c r="BF103" i="3" s="1"/>
  <c r="BJ103" i="3" s="1"/>
  <c r="BD111" i="3"/>
  <c r="BH111" i="3" s="1"/>
  <c r="BL111" i="3" s="1"/>
  <c r="BD96" i="3"/>
  <c r="BH96" i="3" s="1"/>
  <c r="BL96" i="3" s="1"/>
  <c r="BD33" i="3"/>
  <c r="BB55" i="3"/>
  <c r="BA128" i="3"/>
  <c r="BE128" i="3" s="1"/>
  <c r="BI128" i="3" s="1"/>
  <c r="BC44" i="3"/>
  <c r="BB22" i="3"/>
  <c r="BQ9" i="3"/>
  <c r="BN23" i="3"/>
  <c r="BQ84" i="3"/>
  <c r="BU84" i="3" s="1"/>
  <c r="BY84" i="3" s="1"/>
  <c r="BO17" i="3"/>
  <c r="BB119" i="3"/>
  <c r="BF119" i="3" s="1"/>
  <c r="BJ119" i="3" s="1"/>
  <c r="BQ11" i="3"/>
  <c r="BD63" i="3"/>
  <c r="BD47" i="3"/>
  <c r="BB25" i="3"/>
  <c r="BA89" i="3"/>
  <c r="BE89" i="3" s="1"/>
  <c r="BI89" i="3" s="1"/>
  <c r="BB26" i="3"/>
  <c r="BP60" i="3"/>
  <c r="BB111" i="3"/>
  <c r="BF111" i="3" s="1"/>
  <c r="BJ111" i="3" s="1"/>
  <c r="BQ46" i="3"/>
  <c r="BC109" i="3"/>
  <c r="BG109" i="3" s="1"/>
  <c r="BK109" i="3" s="1"/>
  <c r="BN12" i="3"/>
  <c r="BD90" i="3"/>
  <c r="BH90" i="3" s="1"/>
  <c r="BL90" i="3" s="1"/>
  <c r="BO71" i="3"/>
  <c r="BS71" i="3" s="1"/>
  <c r="BW71" i="3" s="1"/>
  <c r="BN97" i="3"/>
  <c r="BR97" i="3" s="1"/>
  <c r="BV97" i="3" s="1"/>
  <c r="BN19" i="3"/>
  <c r="BD34" i="3"/>
  <c r="BH34" i="3" s="1"/>
  <c r="BL34" i="3" s="1"/>
  <c r="BO125" i="3"/>
  <c r="BS125" i="3" s="1"/>
  <c r="BW125" i="3" s="1"/>
  <c r="BP107" i="3"/>
  <c r="BT107" i="3" s="1"/>
  <c r="BX107" i="3" s="1"/>
  <c r="BD87" i="3"/>
  <c r="BH87" i="3" s="1"/>
  <c r="BL87" i="3" s="1"/>
  <c r="BQ79" i="3"/>
  <c r="BU79" i="3" s="1"/>
  <c r="BY79" i="3" s="1"/>
  <c r="BO111" i="3"/>
  <c r="BS111" i="3" s="1"/>
  <c r="BW111" i="3" s="1"/>
  <c r="BN35" i="3"/>
  <c r="BQ73" i="3"/>
  <c r="BU73" i="3" s="1"/>
  <c r="BY73" i="3" s="1"/>
  <c r="BQ112" i="3"/>
  <c r="BU112" i="3" s="1"/>
  <c r="BY112" i="3" s="1"/>
  <c r="BO78" i="3"/>
  <c r="BS78" i="3" s="1"/>
  <c r="BW78" i="3" s="1"/>
  <c r="BA57" i="3"/>
  <c r="BC83" i="3"/>
  <c r="BG83" i="3" s="1"/>
  <c r="BK83" i="3" s="1"/>
  <c r="BP124" i="3"/>
  <c r="BT124" i="3" s="1"/>
  <c r="BX124" i="3" s="1"/>
  <c r="BQ92" i="3"/>
  <c r="BU92" i="3" s="1"/>
  <c r="BY92" i="3" s="1"/>
  <c r="BB85" i="3"/>
  <c r="BF85" i="3" s="1"/>
  <c r="BJ85" i="3" s="1"/>
  <c r="BD58" i="3"/>
  <c r="BN36" i="3"/>
  <c r="BR36" i="3" s="1"/>
  <c r="BV36" i="3" s="1"/>
  <c r="BA16" i="3"/>
  <c r="BE16" i="3" s="1"/>
  <c r="BI16" i="3" s="1"/>
  <c r="BP114" i="3"/>
  <c r="BT114" i="3" s="1"/>
  <c r="BX114" i="3" s="1"/>
  <c r="BC80" i="3"/>
  <c r="BG80" i="3" s="1"/>
  <c r="BK80" i="3" s="1"/>
  <c r="BO91" i="3"/>
  <c r="BS91" i="3" s="1"/>
  <c r="BW91" i="3" s="1"/>
  <c r="BA84" i="3"/>
  <c r="BE84" i="3" s="1"/>
  <c r="BI84" i="3" s="1"/>
  <c r="BA116" i="3"/>
  <c r="BE116" i="3" s="1"/>
  <c r="BI116" i="3" s="1"/>
  <c r="BC90" i="3"/>
  <c r="BG90" i="3" s="1"/>
  <c r="BK90" i="3" s="1"/>
  <c r="BN9" i="3"/>
  <c r="BQ117" i="3"/>
  <c r="BU117" i="3" s="1"/>
  <c r="BY117" i="3" s="1"/>
  <c r="BB126" i="3"/>
  <c r="BF126" i="3" s="1"/>
  <c r="BJ126" i="3" s="1"/>
  <c r="BC132" i="3"/>
  <c r="BG132" i="3" s="1"/>
  <c r="BK132" i="3" s="1"/>
  <c r="BD124" i="3"/>
  <c r="BH124" i="3" s="1"/>
  <c r="BL124" i="3" s="1"/>
  <c r="BP101" i="3"/>
  <c r="BT101" i="3" s="1"/>
  <c r="BX101" i="3" s="1"/>
  <c r="BA59" i="3"/>
  <c r="BN45" i="3"/>
  <c r="BR45" i="3" s="1"/>
  <c r="BV45" i="3" s="1"/>
  <c r="BO104" i="3"/>
  <c r="BS104" i="3" s="1"/>
  <c r="BW104" i="3" s="1"/>
  <c r="BD55" i="3"/>
  <c r="BD112" i="3"/>
  <c r="BH112" i="3" s="1"/>
  <c r="BL112" i="3" s="1"/>
  <c r="BN109" i="3"/>
  <c r="BR109" i="3" s="1"/>
  <c r="BV109" i="3" s="1"/>
  <c r="BQ21" i="3"/>
  <c r="BU21" i="3" s="1"/>
  <c r="BY21" i="3" s="1"/>
  <c r="BN33" i="3"/>
  <c r="BR33" i="3" s="1"/>
  <c r="BV33" i="3" s="1"/>
  <c r="BD128" i="3"/>
  <c r="BH128" i="3" s="1"/>
  <c r="BL128" i="3" s="1"/>
  <c r="BO31" i="3"/>
  <c r="BS31" i="3" s="1"/>
  <c r="BW31" i="3" s="1"/>
  <c r="BD52" i="3"/>
  <c r="BO43" i="3"/>
  <c r="BS43" i="3" s="1"/>
  <c r="BW43" i="3" s="1"/>
  <c r="BO57" i="3"/>
  <c r="BQ90" i="3"/>
  <c r="BU90" i="3" s="1"/>
  <c r="BY90" i="3" s="1"/>
  <c r="BC65" i="3"/>
  <c r="BG65" i="3" s="1"/>
  <c r="BK65" i="3" s="1"/>
  <c r="BD114" i="3"/>
  <c r="BH114" i="3" s="1"/>
  <c r="BL114" i="3" s="1"/>
  <c r="BA103" i="3"/>
  <c r="BE103" i="3" s="1"/>
  <c r="BI103" i="3" s="1"/>
  <c r="BP18" i="3"/>
  <c r="BT18" i="3" s="1"/>
  <c r="BX18" i="3" s="1"/>
  <c r="BO25" i="3"/>
  <c r="BS25" i="3" s="1"/>
  <c r="BW25" i="3" s="1"/>
  <c r="BA114" i="3"/>
  <c r="BE114" i="3" s="1"/>
  <c r="BI114" i="3" s="1"/>
  <c r="BC23" i="3"/>
  <c r="BQ19" i="3"/>
  <c r="BN87" i="3"/>
  <c r="BR87" i="3" s="1"/>
  <c r="BV87" i="3" s="1"/>
  <c r="BB96" i="3"/>
  <c r="BF96" i="3" s="1"/>
  <c r="BJ96" i="3" s="1"/>
  <c r="BQ32" i="3"/>
  <c r="BU32" i="3" s="1"/>
  <c r="BY32" i="3" s="1"/>
  <c r="BD108" i="3"/>
  <c r="BH108" i="3" s="1"/>
  <c r="BL108" i="3" s="1"/>
  <c r="BA97" i="3"/>
  <c r="BE97" i="3" s="1"/>
  <c r="BI97" i="3" s="1"/>
  <c r="BQ105" i="3"/>
  <c r="BU105" i="3" s="1"/>
  <c r="BY105" i="3" s="1"/>
  <c r="BO84" i="3"/>
  <c r="BS84" i="3" s="1"/>
  <c r="BW84" i="3" s="1"/>
  <c r="BN89" i="3"/>
  <c r="BR89" i="3" s="1"/>
  <c r="BV89" i="3" s="1"/>
  <c r="BB102" i="3"/>
  <c r="BF102" i="3" s="1"/>
  <c r="BJ102" i="3" s="1"/>
  <c r="BO114" i="3"/>
  <c r="BS114" i="3" s="1"/>
  <c r="BW114" i="3" s="1"/>
  <c r="BD110" i="3"/>
  <c r="BH110" i="3" s="1"/>
  <c r="BL110" i="3" s="1"/>
  <c r="BQ99" i="3"/>
  <c r="BU99" i="3" s="1"/>
  <c r="BY99" i="3" s="1"/>
  <c r="BO65" i="3"/>
  <c r="BS65" i="3" s="1"/>
  <c r="BW65" i="3" s="1"/>
  <c r="BD27" i="3"/>
  <c r="BD94" i="3"/>
  <c r="BH94" i="3" s="1"/>
  <c r="BL94" i="3" s="1"/>
  <c r="BQ124" i="3"/>
  <c r="BU124" i="3" s="1"/>
  <c r="BY124" i="3" s="1"/>
  <c r="BC120" i="3"/>
  <c r="BG120" i="3" s="1"/>
  <c r="BK120" i="3" s="1"/>
  <c r="BP120" i="3"/>
  <c r="BT120" i="3" s="1"/>
  <c r="BX120" i="3" s="1"/>
  <c r="BN120" i="3"/>
  <c r="BR120" i="3" s="1"/>
  <c r="BV120" i="3" s="1"/>
  <c r="BO94" i="3"/>
  <c r="BS94" i="3" s="1"/>
  <c r="BW94" i="3" s="1"/>
  <c r="BO93" i="3"/>
  <c r="BS93" i="3" s="1"/>
  <c r="BW93" i="3" s="1"/>
  <c r="BP73" i="3"/>
  <c r="BT73" i="3" s="1"/>
  <c r="BX73" i="3" s="1"/>
  <c r="BP118" i="3"/>
  <c r="BT118" i="3" s="1"/>
  <c r="BX118" i="3" s="1"/>
  <c r="BA86" i="3"/>
  <c r="BE86" i="3" s="1"/>
  <c r="BI86" i="3" s="1"/>
  <c r="BO13" i="3"/>
  <c r="BQ106" i="3"/>
  <c r="BU106" i="3" s="1"/>
  <c r="BY106" i="3" s="1"/>
  <c r="BP76" i="3"/>
  <c r="BT76" i="3" s="1"/>
  <c r="BX76" i="3" s="1"/>
  <c r="BO124" i="3"/>
  <c r="BS124" i="3" s="1"/>
  <c r="BW124" i="3" s="1"/>
  <c r="BD53" i="3"/>
  <c r="BH53" i="3" s="1"/>
  <c r="BL53" i="3" s="1"/>
  <c r="BA25" i="3"/>
  <c r="BO49" i="3"/>
  <c r="BS49" i="3" s="1"/>
  <c r="BW49" i="3" s="1"/>
  <c r="BO88" i="3"/>
  <c r="BS88" i="3" s="1"/>
  <c r="BW88" i="3" s="1"/>
  <c r="BB114" i="3"/>
  <c r="BF114" i="3" s="1"/>
  <c r="BJ114" i="3" s="1"/>
  <c r="BP79" i="3"/>
  <c r="BT79" i="3" s="1"/>
  <c r="BX79" i="3" s="1"/>
  <c r="BC52" i="3"/>
  <c r="BP28" i="3"/>
  <c r="BT28" i="3" s="1"/>
  <c r="BX28" i="3" s="1"/>
  <c r="BQ47" i="3"/>
  <c r="BO110" i="3"/>
  <c r="BS110" i="3" s="1"/>
  <c r="BW110" i="3" s="1"/>
  <c r="BO106" i="3"/>
  <c r="BS106" i="3" s="1"/>
  <c r="BW106" i="3" s="1"/>
  <c r="BB89" i="3"/>
  <c r="BF89" i="3" s="1"/>
  <c r="BJ89" i="3" s="1"/>
  <c r="BQ30" i="3"/>
  <c r="BD82" i="3"/>
  <c r="BH82" i="3" s="1"/>
  <c r="BL82" i="3" s="1"/>
  <c r="BC56" i="3"/>
  <c r="BQ72" i="3"/>
  <c r="BU72" i="3" s="1"/>
  <c r="BY72" i="3" s="1"/>
  <c r="BQ100" i="3"/>
  <c r="BU100" i="3" s="1"/>
  <c r="BY100" i="3" s="1"/>
  <c r="BO115" i="3"/>
  <c r="BS115" i="3" s="1"/>
  <c r="BW115" i="3" s="1"/>
  <c r="BA105" i="3"/>
  <c r="BE105" i="3" s="1"/>
  <c r="BI105" i="3" s="1"/>
  <c r="BB90" i="3"/>
  <c r="BF90" i="3" s="1"/>
  <c r="BJ90" i="3" s="1"/>
  <c r="BB49" i="3"/>
  <c r="BC75" i="3"/>
  <c r="BG75" i="3" s="1"/>
  <c r="BK75" i="3" s="1"/>
  <c r="BD39" i="3"/>
  <c r="BD126" i="3"/>
  <c r="BH126" i="3" s="1"/>
  <c r="BL126" i="3" s="1"/>
  <c r="BP109" i="3"/>
  <c r="BT109" i="3" s="1"/>
  <c r="BX109" i="3" s="1"/>
  <c r="BC105" i="3"/>
  <c r="BG105" i="3" s="1"/>
  <c r="BK105" i="3" s="1"/>
  <c r="BD79" i="3"/>
  <c r="BH79" i="3" s="1"/>
  <c r="BL79" i="3" s="1"/>
  <c r="BA60" i="3"/>
  <c r="BE60" i="3" s="1"/>
  <c r="BI60" i="3" s="1"/>
  <c r="BP10" i="3"/>
  <c r="BC47" i="3"/>
  <c r="BP129" i="3"/>
  <c r="BT129" i="3" s="1"/>
  <c r="BX129" i="3" s="1"/>
  <c r="BD118" i="3"/>
  <c r="BH118" i="3" s="1"/>
  <c r="BL118" i="3" s="1"/>
  <c r="BO79" i="3"/>
  <c r="BS79" i="3" s="1"/>
  <c r="BW79" i="3" s="1"/>
  <c r="BB30" i="3"/>
  <c r="BF30" i="3" s="1"/>
  <c r="BJ30" i="3" s="1"/>
  <c r="BB131" i="3"/>
  <c r="BF131" i="3" s="1"/>
  <c r="BJ131" i="3" s="1"/>
  <c r="BO77" i="3"/>
  <c r="BS77" i="3" s="1"/>
  <c r="BW77" i="3" s="1"/>
  <c r="BO55" i="3"/>
  <c r="BS55" i="3" s="1"/>
  <c r="BW55" i="3" s="1"/>
  <c r="BP35" i="3"/>
  <c r="BC31" i="3"/>
  <c r="BA82" i="3"/>
  <c r="BE82" i="3" s="1"/>
  <c r="BI82" i="3" s="1"/>
  <c r="BD75" i="3"/>
  <c r="BH75" i="3" s="1"/>
  <c r="BL75" i="3" s="1"/>
  <c r="BC106" i="3"/>
  <c r="BG106" i="3" s="1"/>
  <c r="BK106" i="3" s="1"/>
  <c r="BO102" i="3"/>
  <c r="BS102" i="3" s="1"/>
  <c r="BW102" i="3" s="1"/>
  <c r="BC79" i="3"/>
  <c r="BG79" i="3" s="1"/>
  <c r="BK79" i="3" s="1"/>
  <c r="BN20" i="3"/>
  <c r="BP98" i="3"/>
  <c r="BT98" i="3" s="1"/>
  <c r="BX98" i="3" s="1"/>
  <c r="BQ111" i="3"/>
  <c r="BU111" i="3" s="1"/>
  <c r="BY111" i="3" s="1"/>
  <c r="BO85" i="3"/>
  <c r="BS85" i="3" s="1"/>
  <c r="BW85" i="3" s="1"/>
  <c r="BO37" i="3"/>
  <c r="BB95" i="3"/>
  <c r="BF95" i="3" s="1"/>
  <c r="BJ95" i="3" s="1"/>
  <c r="BN47" i="3"/>
  <c r="BD113" i="3"/>
  <c r="BH113" i="3" s="1"/>
  <c r="BL113" i="3" s="1"/>
  <c r="BQ22" i="3"/>
  <c r="BQ24" i="3"/>
  <c r="BN29" i="3"/>
  <c r="BR29" i="3" s="1"/>
  <c r="BV29" i="3" s="1"/>
  <c r="BD54" i="3"/>
  <c r="BN128" i="3"/>
  <c r="BR128" i="3" s="1"/>
  <c r="BV128" i="3" s="1"/>
  <c r="BA44" i="3"/>
  <c r="BP102" i="3"/>
  <c r="BT102" i="3" s="1"/>
  <c r="BX102" i="3" s="1"/>
  <c r="BA46" i="3"/>
  <c r="BA54" i="3"/>
  <c r="BB8" i="3"/>
  <c r="BF8" i="3" s="1"/>
  <c r="BJ8" i="3" s="1"/>
  <c r="BC18" i="3"/>
  <c r="BG18" i="3" s="1"/>
  <c r="BK18" i="3" s="1"/>
  <c r="BC45" i="3"/>
  <c r="BC113" i="3"/>
  <c r="BG113" i="3" s="1"/>
  <c r="BK113" i="3" s="1"/>
  <c r="BQ13" i="3"/>
  <c r="BO32" i="3"/>
  <c r="BS32" i="3" s="1"/>
  <c r="BW32" i="3" s="1"/>
  <c r="BD13" i="3"/>
  <c r="BB44" i="3"/>
  <c r="BN62" i="3"/>
  <c r="BR62" i="3" s="1"/>
  <c r="BV62" i="3" s="1"/>
  <c r="BA23" i="3"/>
  <c r="BQ108" i="3"/>
  <c r="BU108" i="3" s="1"/>
  <c r="BY108" i="3" s="1"/>
  <c r="BQ129" i="3"/>
  <c r="BU129" i="3" s="1"/>
  <c r="BY129" i="3" s="1"/>
  <c r="BQ7" i="3"/>
  <c r="BU7" i="3" s="1"/>
  <c r="BY7" i="3" s="1"/>
  <c r="BB64" i="3"/>
  <c r="BF64" i="3" s="1"/>
  <c r="BJ64" i="3" s="1"/>
  <c r="BA62" i="3"/>
  <c r="BC46" i="3"/>
  <c r="BO128" i="3"/>
  <c r="BS128" i="3" s="1"/>
  <c r="BW128" i="3" s="1"/>
  <c r="BC58" i="3"/>
  <c r="BQ59" i="3"/>
  <c r="BU59" i="3" s="1"/>
  <c r="BY59" i="3" s="1"/>
  <c r="BN28" i="3"/>
  <c r="BR28" i="3" s="1"/>
  <c r="BV28" i="3" s="1"/>
  <c r="BQ70" i="3"/>
  <c r="BU70" i="3" s="1"/>
  <c r="BY70" i="3" s="1"/>
  <c r="BO51" i="3"/>
  <c r="BB52" i="3"/>
  <c r="BC111" i="3"/>
  <c r="BG111" i="3" s="1"/>
  <c r="BK111" i="3" s="1"/>
  <c r="BB62" i="3"/>
  <c r="BD95" i="3"/>
  <c r="BH95" i="3" s="1"/>
  <c r="BL95" i="3" s="1"/>
  <c r="BP65" i="3"/>
  <c r="BT65" i="3" s="1"/>
  <c r="BX65" i="3" s="1"/>
  <c r="BP83" i="3"/>
  <c r="BT83" i="3" s="1"/>
  <c r="BX83" i="3" s="1"/>
  <c r="BO8" i="3"/>
  <c r="BQ31" i="3"/>
  <c r="BU31" i="3" s="1"/>
  <c r="BY31" i="3" s="1"/>
  <c r="BO81" i="3"/>
  <c r="BS81" i="3" s="1"/>
  <c r="BW81" i="3" s="1"/>
  <c r="BN8" i="3"/>
  <c r="BB39" i="3"/>
  <c r="BD38" i="3"/>
  <c r="BQ52" i="3"/>
  <c r="BA66" i="3"/>
  <c r="BE66" i="3" s="1"/>
  <c r="BI66" i="3" s="1"/>
  <c r="BO120" i="3"/>
  <c r="BS120" i="3" s="1"/>
  <c r="BW120" i="3" s="1"/>
  <c r="BQ127" i="3"/>
  <c r="BU127" i="3" s="1"/>
  <c r="BY127" i="3" s="1"/>
  <c r="BC68" i="3"/>
  <c r="BG68" i="3" s="1"/>
  <c r="BK68" i="3" s="1"/>
  <c r="BO30" i="3"/>
  <c r="BO9" i="3"/>
  <c r="BP71" i="3"/>
  <c r="BT71" i="3" s="1"/>
  <c r="BX71" i="3" s="1"/>
  <c r="BB67" i="3"/>
  <c r="BF67" i="3" s="1"/>
  <c r="BJ67" i="3" s="1"/>
  <c r="BB86" i="3"/>
  <c r="BF86" i="3" s="1"/>
  <c r="BJ86" i="3" s="1"/>
  <c r="BQ77" i="3"/>
  <c r="BU77" i="3" s="1"/>
  <c r="BY77" i="3" s="1"/>
  <c r="BD107" i="3"/>
  <c r="BH107" i="3" s="1"/>
  <c r="BL107" i="3" s="1"/>
  <c r="BQ60" i="3"/>
  <c r="BP47" i="3"/>
  <c r="BP80" i="3"/>
  <c r="BT80" i="3" s="1"/>
  <c r="BX80" i="3" s="1"/>
  <c r="BO68" i="3"/>
  <c r="BS68" i="3" s="1"/>
  <c r="BW68" i="3" s="1"/>
  <c r="BQ10" i="3"/>
  <c r="BN15" i="3"/>
  <c r="BB57" i="3"/>
  <c r="BN39" i="3"/>
  <c r="BC89" i="3"/>
  <c r="BG89" i="3" s="1"/>
  <c r="BK89" i="3" s="1"/>
  <c r="BN75" i="3"/>
  <c r="BR75" i="3" s="1"/>
  <c r="BV75" i="3" s="1"/>
  <c r="BQ74" i="3"/>
  <c r="BU74" i="3" s="1"/>
  <c r="BY74" i="3" s="1"/>
  <c r="BC14" i="3"/>
  <c r="BN73" i="3"/>
  <c r="BR73" i="3" s="1"/>
  <c r="BV73" i="3" s="1"/>
  <c r="BB109" i="3"/>
  <c r="BF109" i="3" s="1"/>
  <c r="BJ109" i="3" s="1"/>
  <c r="BP7" i="3"/>
  <c r="BT7" i="3" s="1"/>
  <c r="BX7" i="3" s="1"/>
  <c r="BC85" i="3"/>
  <c r="BG85" i="3" s="1"/>
  <c r="BK85" i="3" s="1"/>
  <c r="BP131" i="3"/>
  <c r="BT131" i="3" s="1"/>
  <c r="BX131" i="3" s="1"/>
  <c r="BP33" i="3"/>
  <c r="BT33" i="3" s="1"/>
  <c r="BX33" i="3" s="1"/>
  <c r="BQ8" i="3"/>
  <c r="BO69" i="3"/>
  <c r="BS69" i="3" s="1"/>
  <c r="BW69" i="3" s="1"/>
  <c r="BA47" i="3"/>
  <c r="BP46" i="3"/>
  <c r="BP51" i="3"/>
  <c r="BB104" i="3"/>
  <c r="BF104" i="3" s="1"/>
  <c r="BJ104" i="3" s="1"/>
  <c r="BP56" i="3"/>
  <c r="BQ94" i="3"/>
  <c r="BU94" i="3" s="1"/>
  <c r="BY94" i="3" s="1"/>
  <c r="BB23" i="3"/>
  <c r="BB94" i="3"/>
  <c r="BF94" i="3" s="1"/>
  <c r="BJ94" i="3" s="1"/>
  <c r="BQ76" i="3"/>
  <c r="BU76" i="3" s="1"/>
  <c r="BY76" i="3" s="1"/>
  <c r="BO53" i="3"/>
  <c r="BP104" i="3"/>
  <c r="BT104" i="3" s="1"/>
  <c r="BX104" i="3" s="1"/>
  <c r="BP24" i="3"/>
  <c r="BB70" i="3"/>
  <c r="BF70" i="3" s="1"/>
  <c r="BJ70" i="3" s="1"/>
  <c r="BN103" i="3"/>
  <c r="BR103" i="3" s="1"/>
  <c r="BV103" i="3" s="1"/>
  <c r="BQ18" i="3"/>
  <c r="BU18" i="3" s="1"/>
  <c r="BY18" i="3" s="1"/>
  <c r="BC38" i="3"/>
  <c r="BQ26" i="3"/>
  <c r="BD123" i="3"/>
  <c r="BH123" i="3" s="1"/>
  <c r="BL123" i="3" s="1"/>
  <c r="BN106" i="3"/>
  <c r="BR106" i="3" s="1"/>
  <c r="BV106" i="3" s="1"/>
  <c r="BD119" i="3"/>
  <c r="BH119" i="3" s="1"/>
  <c r="BL119" i="3" s="1"/>
  <c r="BB108" i="3"/>
  <c r="BF108" i="3" s="1"/>
  <c r="BJ108" i="3" s="1"/>
  <c r="BD18" i="3"/>
  <c r="BH18" i="3" s="1"/>
  <c r="BL18" i="3" s="1"/>
  <c r="BD35" i="3"/>
  <c r="BP21" i="3"/>
  <c r="BT21" i="3" s="1"/>
  <c r="BX21" i="3" s="1"/>
  <c r="BD89" i="3"/>
  <c r="BH89" i="3" s="1"/>
  <c r="BL89" i="3" s="1"/>
  <c r="BD31" i="3"/>
  <c r="BC66" i="3"/>
  <c r="BG66" i="3" s="1"/>
  <c r="BK66" i="3" s="1"/>
  <c r="BQ43" i="3"/>
  <c r="BU43" i="3" s="1"/>
  <c r="BY43" i="3" s="1"/>
  <c r="BN37" i="3"/>
  <c r="BQ33" i="3"/>
  <c r="BU33" i="3" s="1"/>
  <c r="BY33" i="3" s="1"/>
  <c r="BP91" i="3"/>
  <c r="BT91" i="3" s="1"/>
  <c r="BX91" i="3" s="1"/>
  <c r="BB7" i="3"/>
  <c r="BF7" i="3" s="1"/>
  <c r="BJ7" i="3" s="1"/>
  <c r="BC53" i="3"/>
  <c r="BG53" i="3" s="1"/>
  <c r="BK53" i="3" s="1"/>
  <c r="BN122" i="3"/>
  <c r="BR122" i="3" s="1"/>
  <c r="BV122" i="3" s="1"/>
  <c r="BN88" i="3"/>
  <c r="BR88" i="3" s="1"/>
  <c r="BV88" i="3" s="1"/>
  <c r="BC86" i="3"/>
  <c r="BG86" i="3" s="1"/>
  <c r="BK86" i="3" s="1"/>
  <c r="BC54" i="3"/>
  <c r="BD23" i="3"/>
  <c r="BQ55" i="3"/>
  <c r="BU55" i="3" s="1"/>
  <c r="BY55" i="3" s="1"/>
  <c r="BD98" i="3"/>
  <c r="BH98" i="3" s="1"/>
  <c r="BL98" i="3" s="1"/>
  <c r="BC63" i="3"/>
  <c r="BC40" i="3"/>
  <c r="BB81" i="3"/>
  <c r="BF81" i="3" s="1"/>
  <c r="BJ81" i="3" s="1"/>
  <c r="BD41" i="3"/>
  <c r="BD14" i="3"/>
  <c r="BQ14" i="3"/>
  <c r="BU14" i="3" s="1"/>
  <c r="BY14" i="3" s="1"/>
  <c r="BC96" i="3"/>
  <c r="BG96" i="3" s="1"/>
  <c r="BK96" i="3" s="1"/>
  <c r="BD132" i="3"/>
  <c r="BH132" i="3" s="1"/>
  <c r="BL132" i="3" s="1"/>
  <c r="BN86" i="3"/>
  <c r="BR86" i="3" s="1"/>
  <c r="BV86" i="3" s="1"/>
  <c r="BO67" i="3"/>
  <c r="BS67" i="3" s="1"/>
  <c r="BW67" i="3" s="1"/>
  <c r="BB115" i="3"/>
  <c r="BF115" i="3" s="1"/>
  <c r="BJ115" i="3" s="1"/>
  <c r="BB129" i="3"/>
  <c r="BF129" i="3" s="1"/>
  <c r="BJ129" i="3" s="1"/>
  <c r="BA49" i="3"/>
  <c r="BP48" i="3"/>
  <c r="BO56" i="3"/>
  <c r="BQ107" i="3"/>
  <c r="BU107" i="3" s="1"/>
  <c r="BY107" i="3" s="1"/>
  <c r="BB121" i="3"/>
  <c r="BF121" i="3" s="1"/>
  <c r="BJ121" i="3" s="1"/>
  <c r="BQ67" i="3"/>
  <c r="BU67" i="3" s="1"/>
  <c r="BY67" i="3" s="1"/>
  <c r="BC118" i="3"/>
  <c r="BG118" i="3" s="1"/>
  <c r="BK118" i="3" s="1"/>
  <c r="BB84" i="3"/>
  <c r="BF84" i="3" s="1"/>
  <c r="BJ84" i="3" s="1"/>
  <c r="BC28" i="3"/>
  <c r="BG28" i="3" s="1"/>
  <c r="BK28" i="3" s="1"/>
  <c r="BB132" i="3"/>
  <c r="BF132" i="3" s="1"/>
  <c r="BJ132" i="3" s="1"/>
  <c r="BN82" i="3"/>
  <c r="BR82" i="3" s="1"/>
  <c r="BV82" i="3" s="1"/>
  <c r="BC112" i="3"/>
  <c r="BG112" i="3" s="1"/>
  <c r="BK112" i="3" s="1"/>
  <c r="BP29" i="3"/>
  <c r="BT29" i="3" s="1"/>
  <c r="BX29" i="3" s="1"/>
  <c r="BD19" i="3"/>
  <c r="BC122" i="3"/>
  <c r="BG122" i="3" s="1"/>
  <c r="BK122" i="3" s="1"/>
  <c r="BD125" i="3"/>
  <c r="BH125" i="3" s="1"/>
  <c r="BL125" i="3" s="1"/>
  <c r="BD68" i="3"/>
  <c r="BH68" i="3" s="1"/>
  <c r="BL68" i="3" s="1"/>
  <c r="BA32" i="3"/>
  <c r="BD25" i="3"/>
  <c r="BB106" i="3"/>
  <c r="BF106" i="3" s="1"/>
  <c r="BJ106" i="3" s="1"/>
  <c r="BB74" i="3"/>
  <c r="BF74" i="3" s="1"/>
  <c r="BJ74" i="3" s="1"/>
  <c r="BD42" i="3"/>
  <c r="BN46" i="3"/>
  <c r="BD24" i="3"/>
  <c r="BH24" i="3" s="1"/>
  <c r="BL24" i="3" s="1"/>
  <c r="BA7" i="3"/>
  <c r="BE7" i="3" s="1"/>
  <c r="BI7" i="3" s="1"/>
  <c r="BQ78" i="3"/>
  <c r="BU78" i="3" s="1"/>
  <c r="BY78" i="3" s="1"/>
  <c r="BQ56" i="3"/>
  <c r="BP125" i="3"/>
  <c r="BT125" i="3" s="1"/>
  <c r="BX125" i="3" s="1"/>
  <c r="BN54" i="3"/>
  <c r="BC13" i="3"/>
  <c r="BP58" i="3"/>
  <c r="BT58" i="3" s="1"/>
  <c r="BX58" i="3" s="1"/>
  <c r="BP25" i="3"/>
  <c r="BT25" i="3" s="1"/>
  <c r="BX25" i="3" s="1"/>
  <c r="BO64" i="3"/>
  <c r="BA96" i="3"/>
  <c r="BE96" i="3" s="1"/>
  <c r="BI96" i="3" s="1"/>
  <c r="BQ44" i="3"/>
  <c r="BU44" i="3" s="1"/>
  <c r="BY44" i="3" s="1"/>
  <c r="BO119" i="3"/>
  <c r="BS119" i="3" s="1"/>
  <c r="BW119" i="3" s="1"/>
  <c r="BP66" i="3"/>
  <c r="BT66" i="3" s="1"/>
  <c r="BX66" i="3" s="1"/>
  <c r="BQ50" i="3"/>
  <c r="BC57" i="3"/>
  <c r="BP93" i="3"/>
  <c r="BT93" i="3" s="1"/>
  <c r="BX93" i="3" s="1"/>
  <c r="BO86" i="3"/>
  <c r="BS86" i="3" s="1"/>
  <c r="BW86" i="3" s="1"/>
  <c r="BA51" i="3"/>
  <c r="BQ66" i="3"/>
  <c r="BU66" i="3" s="1"/>
  <c r="BY66" i="3" s="1"/>
  <c r="BD129" i="3"/>
  <c r="BH129" i="3" s="1"/>
  <c r="BL129" i="3" s="1"/>
  <c r="BN101" i="3"/>
  <c r="BR101" i="3" s="1"/>
  <c r="BV101" i="3" s="1"/>
  <c r="BB9" i="3"/>
  <c r="BF9" i="3" s="1"/>
  <c r="BJ9" i="3" s="1"/>
  <c r="BC19" i="3"/>
  <c r="BP106" i="3"/>
  <c r="BT106" i="3" s="1"/>
  <c r="BX106" i="3" s="1"/>
  <c r="BD67" i="3"/>
  <c r="BH67" i="3" s="1"/>
  <c r="BL67" i="3" s="1"/>
  <c r="BQ75" i="3"/>
  <c r="BU75" i="3" s="1"/>
  <c r="BY75" i="3" s="1"/>
  <c r="BD120" i="3"/>
  <c r="BH120" i="3" s="1"/>
  <c r="BL120" i="3" s="1"/>
  <c r="BC51" i="3"/>
  <c r="BO116" i="3"/>
  <c r="BS116" i="3" s="1"/>
  <c r="BW116" i="3" s="1"/>
  <c r="BO108" i="3"/>
  <c r="BS108" i="3" s="1"/>
  <c r="BW108" i="3" s="1"/>
  <c r="BO105" i="3"/>
  <c r="BS105" i="3" s="1"/>
  <c r="BW105" i="3" s="1"/>
  <c r="BC88" i="3"/>
  <c r="BG88" i="3" s="1"/>
  <c r="BK88" i="3" s="1"/>
  <c r="BB128" i="3"/>
  <c r="BF128" i="3" s="1"/>
  <c r="BJ128" i="3" s="1"/>
  <c r="BA35" i="3"/>
  <c r="BQ51" i="3"/>
  <c r="BO107" i="3"/>
  <c r="BS107" i="3" s="1"/>
  <c r="BW107" i="3" s="1"/>
  <c r="BQ25" i="3"/>
  <c r="BU25" i="3" s="1"/>
  <c r="BY25" i="3" s="1"/>
  <c r="BO45" i="3"/>
  <c r="BS45" i="3" s="1"/>
  <c r="BW45" i="3" s="1"/>
  <c r="BB60" i="3"/>
  <c r="BF60" i="3" s="1"/>
  <c r="BJ60" i="3" s="1"/>
  <c r="BD32" i="3"/>
  <c r="BQ40" i="3"/>
  <c r="BC92" i="3"/>
  <c r="BG92" i="3" s="1"/>
  <c r="BK92" i="3" s="1"/>
  <c r="BQ39" i="3"/>
  <c r="BP53" i="3"/>
  <c r="BO112" i="3"/>
  <c r="BS112" i="3" s="1"/>
  <c r="BW112" i="3" s="1"/>
  <c r="BA65" i="3"/>
  <c r="BE65" i="3" s="1"/>
  <c r="BI65" i="3" s="1"/>
  <c r="BD81" i="3"/>
  <c r="BH81" i="3" s="1"/>
  <c r="BL81" i="3" s="1"/>
  <c r="BC102" i="3"/>
  <c r="BG102" i="3" s="1"/>
  <c r="BK102" i="3" s="1"/>
  <c r="BP23" i="3"/>
  <c r="BA85" i="3"/>
  <c r="BE85" i="3" s="1"/>
  <c r="BI85" i="3" s="1"/>
  <c r="BB88" i="3"/>
  <c r="BF88" i="3" s="1"/>
  <c r="BJ88" i="3" s="1"/>
  <c r="BQ62" i="3"/>
  <c r="BU62" i="3" s="1"/>
  <c r="BY62" i="3" s="1"/>
  <c r="BN71" i="3"/>
  <c r="BR71" i="3" s="1"/>
  <c r="BV71" i="3" s="1"/>
  <c r="BO7" i="3"/>
  <c r="BS7" i="3" s="1"/>
  <c r="BW7" i="3" s="1"/>
  <c r="BC71" i="3"/>
  <c r="BG71" i="3" s="1"/>
  <c r="BK71" i="3" s="1"/>
  <c r="BO113" i="3"/>
  <c r="BS113" i="3" s="1"/>
  <c r="BW113" i="3" s="1"/>
  <c r="BB51" i="3"/>
  <c r="BN94" i="3"/>
  <c r="BR94" i="3" s="1"/>
  <c r="BV94" i="3" s="1"/>
  <c r="BP31" i="3"/>
  <c r="BT31" i="3" s="1"/>
  <c r="BX31" i="3" s="1"/>
  <c r="BP12" i="3"/>
  <c r="BO60" i="3"/>
  <c r="BA8" i="3"/>
  <c r="BE8" i="3" s="1"/>
  <c r="BI8" i="3" s="1"/>
  <c r="BC131" i="3"/>
  <c r="BG131" i="3" s="1"/>
  <c r="BK131" i="3" s="1"/>
  <c r="BQ115" i="3"/>
  <c r="BU115" i="3" s="1"/>
  <c r="BY115" i="3" s="1"/>
  <c r="BQ42" i="3"/>
  <c r="BO46" i="3"/>
  <c r="BB35" i="3"/>
  <c r="BO52" i="3"/>
  <c r="BP119" i="3"/>
  <c r="BT119" i="3" s="1"/>
  <c r="BX119" i="3" s="1"/>
  <c r="BP117" i="3"/>
  <c r="BT117" i="3" s="1"/>
  <c r="BX117" i="3" s="1"/>
  <c r="BP45" i="3"/>
  <c r="BT45" i="3" s="1"/>
  <c r="BX45" i="3" s="1"/>
  <c r="BB11" i="3"/>
  <c r="BO72" i="3"/>
  <c r="BS72" i="3" s="1"/>
  <c r="BW72" i="3" s="1"/>
  <c r="BN40" i="3"/>
  <c r="BD73" i="3"/>
  <c r="BH73" i="3" s="1"/>
  <c r="BL73" i="3" s="1"/>
  <c r="BA104" i="3"/>
  <c r="BE104" i="3" s="1"/>
  <c r="BI104" i="3" s="1"/>
  <c r="BB56" i="3"/>
  <c r="BO83" i="3"/>
  <c r="BS83" i="3" s="1"/>
  <c r="BW83" i="3" s="1"/>
  <c r="BB43" i="3"/>
  <c r="BC25" i="3"/>
  <c r="BB98" i="3"/>
  <c r="BF98" i="3" s="1"/>
  <c r="BJ98" i="3" s="1"/>
  <c r="BA12" i="3"/>
  <c r="BD21" i="3"/>
  <c r="BH21" i="3" s="1"/>
  <c r="BL21" i="3" s="1"/>
  <c r="BN70" i="3"/>
  <c r="BR70" i="3" s="1"/>
  <c r="BV70" i="3" s="1"/>
  <c r="BO10" i="3"/>
  <c r="BP92" i="3"/>
  <c r="BT92" i="3" s="1"/>
  <c r="BX92" i="3" s="1"/>
  <c r="BA17" i="3"/>
  <c r="BE17" i="3" s="1"/>
  <c r="BI17" i="3" s="1"/>
  <c r="BB65" i="3"/>
  <c r="BF65" i="3" s="1"/>
  <c r="BJ65" i="3" s="1"/>
  <c r="BA55" i="3"/>
  <c r="BO95" i="3"/>
  <c r="BS95" i="3" s="1"/>
  <c r="BW95" i="3" s="1"/>
  <c r="BO99" i="3"/>
  <c r="BS99" i="3" s="1"/>
  <c r="BW99" i="3" s="1"/>
  <c r="BB75" i="3"/>
  <c r="BF75" i="3" s="1"/>
  <c r="BJ75" i="3" s="1"/>
  <c r="BN64" i="3"/>
  <c r="BP32" i="3"/>
  <c r="BT32" i="3" s="1"/>
  <c r="BX32" i="3" s="1"/>
  <c r="BQ121" i="3"/>
  <c r="BU121" i="3" s="1"/>
  <c r="BY121" i="3" s="1"/>
  <c r="BC119" i="3"/>
  <c r="BG119" i="3" s="1"/>
  <c r="BK119" i="3" s="1"/>
  <c r="BQ29" i="3"/>
  <c r="BU29" i="3" s="1"/>
  <c r="BY29" i="3" s="1"/>
  <c r="BO26" i="3"/>
  <c r="BN34" i="3"/>
  <c r="BD7" i="3"/>
  <c r="BH7" i="3" s="1"/>
  <c r="BL7" i="3" s="1"/>
  <c r="BA70" i="3"/>
  <c r="BE70" i="3" s="1"/>
  <c r="BI70" i="3" s="1"/>
  <c r="BO14" i="3"/>
  <c r="BS14" i="3" s="1"/>
  <c r="BW14" i="3" s="1"/>
  <c r="BQ88" i="3"/>
  <c r="BU88" i="3" s="1"/>
  <c r="BY88" i="3" s="1"/>
  <c r="BQ71" i="3"/>
  <c r="BU71" i="3" s="1"/>
  <c r="BY71" i="3" s="1"/>
  <c r="BN6" i="3"/>
  <c r="BB120" i="3"/>
  <c r="BF120" i="3" s="1"/>
  <c r="BJ120" i="3" s="1"/>
  <c r="BO40" i="3"/>
  <c r="BB79" i="3"/>
  <c r="BF79" i="3" s="1"/>
  <c r="BJ79" i="3" s="1"/>
  <c r="BQ89" i="3"/>
  <c r="BU89" i="3" s="1"/>
  <c r="BY89" i="3" s="1"/>
  <c r="BA111" i="3"/>
  <c r="BE111" i="3" s="1"/>
  <c r="BI111" i="3" s="1"/>
  <c r="BA78" i="3"/>
  <c r="BE78" i="3" s="1"/>
  <c r="BI78" i="3" s="1"/>
  <c r="BP39" i="3"/>
  <c r="BQ54" i="3"/>
  <c r="BB107" i="3"/>
  <c r="BF107" i="3" s="1"/>
  <c r="BJ107" i="3" s="1"/>
  <c r="BC12" i="3"/>
  <c r="BC49" i="3"/>
  <c r="BA34" i="3"/>
  <c r="BE34" i="3" s="1"/>
  <c r="BI34" i="3" s="1"/>
  <c r="BN31" i="3"/>
  <c r="BR31" i="3" s="1"/>
  <c r="BV31" i="3" s="1"/>
  <c r="BD17" i="3"/>
  <c r="BH17" i="3" s="1"/>
  <c r="BL17" i="3" s="1"/>
  <c r="BC17" i="3"/>
  <c r="BG17" i="3" s="1"/>
  <c r="BK17" i="3" s="1"/>
  <c r="BP74" i="3"/>
  <c r="BT74" i="3" s="1"/>
  <c r="BX74" i="3" s="1"/>
  <c r="BA15" i="3"/>
  <c r="BB31" i="3"/>
  <c r="BP27" i="3"/>
  <c r="BD117" i="3"/>
  <c r="BH117" i="3" s="1"/>
  <c r="BL117" i="3" s="1"/>
  <c r="BB61" i="3"/>
  <c r="BF61" i="3" s="1"/>
  <c r="BJ61" i="3" s="1"/>
  <c r="BB93" i="3"/>
  <c r="BF93" i="3" s="1"/>
  <c r="BJ93" i="3" s="1"/>
  <c r="BB6" i="3"/>
  <c r="BF6" i="3" s="1"/>
  <c r="BJ6" i="3" s="1"/>
  <c r="BB21" i="3"/>
  <c r="BF21" i="3" s="1"/>
  <c r="BJ21" i="3" s="1"/>
  <c r="BD99" i="3"/>
  <c r="BH99" i="3" s="1"/>
  <c r="BL99" i="3" s="1"/>
  <c r="BB29" i="3"/>
  <c r="BQ58" i="3"/>
  <c r="BU58" i="3" s="1"/>
  <c r="BY58" i="3" s="1"/>
  <c r="BA80" i="3"/>
  <c r="BE80" i="3" s="1"/>
  <c r="BI80" i="3" s="1"/>
  <c r="BO75" i="3"/>
  <c r="BS75" i="3" s="1"/>
  <c r="BW75" i="3" s="1"/>
  <c r="BP63" i="3"/>
  <c r="BO100" i="3"/>
  <c r="BS100" i="3" s="1"/>
  <c r="BW100" i="3" s="1"/>
  <c r="BP9" i="3"/>
  <c r="BC39" i="3"/>
  <c r="BD30" i="3"/>
  <c r="BH30" i="3" s="1"/>
  <c r="BL30" i="3" s="1"/>
  <c r="BB92" i="3"/>
  <c r="BF92" i="3" s="1"/>
  <c r="BJ92" i="3" s="1"/>
  <c r="BP128" i="3"/>
  <c r="BT128" i="3" s="1"/>
  <c r="BX128" i="3" s="1"/>
  <c r="BQ123" i="3"/>
  <c r="BU123" i="3" s="1"/>
  <c r="BY123" i="3" s="1"/>
  <c r="BA11" i="3"/>
  <c r="BO42" i="3"/>
  <c r="BB50" i="3"/>
  <c r="BN78" i="3"/>
  <c r="BR78" i="3" s="1"/>
  <c r="BV78" i="3" s="1"/>
  <c r="BP54" i="3"/>
  <c r="BB76" i="3"/>
  <c r="BF76" i="3" s="1"/>
  <c r="BJ76" i="3" s="1"/>
  <c r="BC95" i="3"/>
  <c r="BG95" i="3" s="1"/>
  <c r="BK95" i="3" s="1"/>
  <c r="BN51" i="3"/>
  <c r="BB116" i="3"/>
  <c r="BF116" i="3" s="1"/>
  <c r="BJ116" i="3" s="1"/>
  <c r="BD69" i="3"/>
  <c r="BH69" i="3" s="1"/>
  <c r="BL69" i="3" s="1"/>
  <c r="BO73" i="3"/>
  <c r="BS73" i="3" s="1"/>
  <c r="BW73" i="3" s="1"/>
  <c r="BD6" i="3"/>
  <c r="BH6" i="3" s="1"/>
  <c r="BL6" i="3" s="1"/>
  <c r="BO109" i="3"/>
  <c r="BS109" i="3" s="1"/>
  <c r="BW109" i="3" s="1"/>
  <c r="BQ81" i="3"/>
  <c r="BU81" i="3" s="1"/>
  <c r="BY81" i="3" s="1"/>
  <c r="BD121" i="3"/>
  <c r="BH121" i="3" s="1"/>
  <c r="BL121" i="3" s="1"/>
  <c r="BN55" i="3"/>
  <c r="BR55" i="3" s="1"/>
  <c r="BV55" i="3" s="1"/>
  <c r="BA21" i="3"/>
  <c r="BE21" i="3" s="1"/>
  <c r="BI21" i="3" s="1"/>
  <c r="BN17" i="3"/>
  <c r="BA56" i="3"/>
  <c r="BQ63" i="3"/>
  <c r="BQ68" i="3"/>
  <c r="BU68" i="3" s="1"/>
  <c r="BY68" i="3" s="1"/>
  <c r="BP57" i="3"/>
  <c r="BP103" i="3"/>
  <c r="BT103" i="3" s="1"/>
  <c r="BX103" i="3" s="1"/>
  <c r="BA19" i="3"/>
  <c r="BD40" i="3"/>
  <c r="BD16" i="3"/>
  <c r="BH16" i="3" s="1"/>
  <c r="BL16" i="3" s="1"/>
  <c r="BA73" i="3"/>
  <c r="BE73" i="3" s="1"/>
  <c r="BI73" i="3" s="1"/>
  <c r="BA40" i="3"/>
  <c r="BP15" i="3"/>
  <c r="BQ125" i="3"/>
  <c r="BU125" i="3" s="1"/>
  <c r="BY125" i="3" s="1"/>
  <c r="BQ91" i="3"/>
  <c r="BU91" i="3" s="1"/>
  <c r="BY91" i="3" s="1"/>
  <c r="BO44" i="3"/>
  <c r="BS44" i="3" s="1"/>
  <c r="BW44" i="3" s="1"/>
  <c r="BC67" i="3"/>
  <c r="BG67" i="3" s="1"/>
  <c r="BK67" i="3" s="1"/>
  <c r="BD80" i="3"/>
  <c r="BH80" i="3" s="1"/>
  <c r="BL80" i="3" s="1"/>
  <c r="BP96" i="3"/>
  <c r="BT96" i="3" s="1"/>
  <c r="BX96" i="3" s="1"/>
  <c r="BO118" i="3"/>
  <c r="BS118" i="3" s="1"/>
  <c r="BW118" i="3" s="1"/>
  <c r="BP90" i="3"/>
  <c r="BT90" i="3" s="1"/>
  <c r="BX90" i="3" s="1"/>
  <c r="BO59" i="3"/>
  <c r="BS59" i="3" s="1"/>
  <c r="BW59" i="3" s="1"/>
  <c r="BO19" i="3"/>
  <c r="BC107" i="3"/>
  <c r="BG107" i="3" s="1"/>
  <c r="BK107" i="3" s="1"/>
  <c r="BD122" i="3"/>
  <c r="BH122" i="3" s="1"/>
  <c r="BL122" i="3" s="1"/>
  <c r="BN30" i="3"/>
  <c r="BP20" i="3"/>
  <c r="BP43" i="3"/>
  <c r="BT43" i="3" s="1"/>
  <c r="BX43" i="3" s="1"/>
  <c r="BQ120" i="3"/>
  <c r="BU120" i="3" s="1"/>
  <c r="BY120" i="3" s="1"/>
  <c r="BC15" i="3"/>
  <c r="BB66" i="3"/>
  <c r="BF66" i="3" s="1"/>
  <c r="BJ66" i="3" s="1"/>
  <c r="BB36" i="3"/>
  <c r="BF36" i="3" s="1"/>
  <c r="BJ36" i="3" s="1"/>
  <c r="BB118" i="3"/>
  <c r="BF118" i="3" s="1"/>
  <c r="BJ118" i="3" s="1"/>
  <c r="BC62" i="3"/>
  <c r="BD46" i="3"/>
  <c r="BQ83" i="3"/>
  <c r="BU83" i="3" s="1"/>
  <c r="BY83" i="3" s="1"/>
  <c r="BD62" i="3"/>
  <c r="BD29" i="3"/>
  <c r="BO29" i="3"/>
  <c r="BS29" i="3" s="1"/>
  <c r="BW29" i="3" s="1"/>
  <c r="BB20" i="3"/>
  <c r="BP62" i="3"/>
  <c r="BT62" i="3" s="1"/>
  <c r="BX62" i="3" s="1"/>
  <c r="BQ95" i="3"/>
  <c r="BU95" i="3" s="1"/>
  <c r="BY95" i="3" s="1"/>
  <c r="BP77" i="3"/>
  <c r="BT77" i="3" s="1"/>
  <c r="BX77" i="3" s="1"/>
  <c r="BB73" i="3"/>
  <c r="BF73" i="3" s="1"/>
  <c r="BJ73" i="3" s="1"/>
  <c r="BB40" i="3"/>
  <c r="BP49" i="3"/>
  <c r="BT49" i="3" s="1"/>
  <c r="BX49" i="3" s="1"/>
  <c r="BB69" i="3"/>
  <c r="BF69" i="3" s="1"/>
  <c r="BJ69" i="3" s="1"/>
  <c r="BO87" i="3"/>
  <c r="BS87" i="3" s="1"/>
  <c r="BW87" i="3" s="1"/>
  <c r="BO54" i="3"/>
  <c r="BQ17" i="3"/>
  <c r="BD72" i="3"/>
  <c r="BH72" i="3" s="1"/>
  <c r="BL72" i="3" s="1"/>
  <c r="BP95" i="3"/>
  <c r="BT95" i="3" s="1"/>
  <c r="BX95" i="3" s="1"/>
  <c r="BO15" i="3"/>
  <c r="BQ82" i="3"/>
  <c r="BU82" i="3" s="1"/>
  <c r="BY82" i="3" s="1"/>
  <c r="BO23" i="3"/>
  <c r="BR126" i="3"/>
  <c r="BV126" i="3" s="1"/>
  <c r="BC43" i="3"/>
  <c r="BP19" i="3"/>
  <c r="BO39" i="3"/>
  <c r="BO131" i="3"/>
  <c r="BS131" i="3" s="1"/>
  <c r="BW131" i="3" s="1"/>
  <c r="BB27" i="3"/>
  <c r="BC115" i="3"/>
  <c r="BG115" i="3" s="1"/>
  <c r="BK115" i="3" s="1"/>
  <c r="BB125" i="3"/>
  <c r="BF125" i="3" s="1"/>
  <c r="BJ125" i="3" s="1"/>
  <c r="BC69" i="3"/>
  <c r="BG69" i="3" s="1"/>
  <c r="BK69" i="3" s="1"/>
  <c r="BA20" i="3"/>
  <c r="BD116" i="3"/>
  <c r="BH116" i="3" s="1"/>
  <c r="BL116" i="3" s="1"/>
  <c r="BC50" i="3"/>
  <c r="BO38" i="3"/>
  <c r="BS38" i="3" s="1"/>
  <c r="BW38" i="3" s="1"/>
  <c r="BO129" i="3"/>
  <c r="BS129" i="3" s="1"/>
  <c r="BW129" i="3" s="1"/>
  <c r="BN76" i="3"/>
  <c r="BR76" i="3" s="1"/>
  <c r="BV76" i="3" s="1"/>
  <c r="BP44" i="3"/>
  <c r="BT44" i="3" s="1"/>
  <c r="BX44" i="3" s="1"/>
  <c r="BQ28" i="3"/>
  <c r="BU28" i="3" s="1"/>
  <c r="BY28" i="3" s="1"/>
  <c r="BP97" i="3"/>
  <c r="BT97" i="3" s="1"/>
  <c r="BX97" i="3" s="1"/>
  <c r="BD12" i="3"/>
  <c r="BD43" i="3"/>
  <c r="BP127" i="3"/>
  <c r="BT127" i="3" s="1"/>
  <c r="BX127" i="3" s="1"/>
  <c r="BC126" i="3"/>
  <c r="BG126" i="3" s="1"/>
  <c r="BK126" i="3" s="1"/>
  <c r="BA88" i="3"/>
  <c r="BE88" i="3" s="1"/>
  <c r="BI88" i="3" s="1"/>
  <c r="BA132" i="3"/>
  <c r="BE132" i="3" s="1"/>
  <c r="BI132" i="3" s="1"/>
  <c r="BC10" i="3"/>
  <c r="BE69" i="3"/>
  <c r="BI69" i="3" s="1"/>
  <c r="BR98" i="3"/>
  <c r="BV98" i="3" s="1"/>
  <c r="BR110" i="3"/>
  <c r="BV110" i="3" s="1"/>
  <c r="BE81" i="3"/>
  <c r="BI81" i="3" s="1"/>
  <c r="BE100" i="3"/>
  <c r="BI100" i="3" s="1"/>
  <c r="BR69" i="3"/>
  <c r="BV69" i="3" s="1"/>
  <c r="BR121" i="3"/>
  <c r="BV121" i="3" s="1"/>
  <c r="BR124" i="3"/>
  <c r="BV124" i="3" s="1"/>
  <c r="BE68" i="3"/>
  <c r="BI68" i="3" s="1"/>
  <c r="AQ37" i="3"/>
  <c r="Q52" i="3"/>
  <c r="BE98" i="3"/>
  <c r="BI98" i="3" s="1"/>
  <c r="BR112" i="3"/>
  <c r="BV112" i="3" s="1"/>
  <c r="BR115" i="3"/>
  <c r="BV115" i="3" s="1"/>
  <c r="BR108" i="3"/>
  <c r="BV108" i="3" s="1"/>
  <c r="BE118" i="3"/>
  <c r="BI118" i="3" s="1"/>
  <c r="BE115" i="3"/>
  <c r="BI115" i="3" s="1"/>
  <c r="BE79" i="3"/>
  <c r="BI79" i="3" s="1"/>
  <c r="BR79" i="3"/>
  <c r="BV79" i="3" s="1"/>
  <c r="BE129" i="3"/>
  <c r="BI129" i="3" s="1"/>
  <c r="BE67" i="3"/>
  <c r="BI67" i="3" s="1"/>
  <c r="AQ50" i="3"/>
  <c r="Q47" i="3"/>
  <c r="BE91" i="3"/>
  <c r="BI91" i="3" s="1"/>
  <c r="BA37" i="3"/>
  <c r="BN131" i="3"/>
  <c r="BR131" i="3" s="1"/>
  <c r="BV131" i="3" s="1"/>
  <c r="BA131" i="3"/>
  <c r="BE131" i="3" s="1"/>
  <c r="BI131" i="3" s="1"/>
  <c r="BR123" i="3"/>
  <c r="BV123" i="3" s="1"/>
  <c r="BR93" i="3"/>
  <c r="BV93" i="3" s="1"/>
  <c r="BE93" i="3"/>
  <c r="BI93" i="3" s="1"/>
  <c r="Q51" i="3"/>
  <c r="Q13" i="3"/>
  <c r="AQ27" i="3"/>
  <c r="AQ9" i="3"/>
  <c r="AQ60" i="3"/>
  <c r="AQ15" i="3"/>
  <c r="AQ52" i="3"/>
  <c r="BR100" i="3"/>
  <c r="BV100" i="3" s="1"/>
  <c r="BR38" i="3"/>
  <c r="BV38" i="3" s="1"/>
  <c r="BE108" i="3"/>
  <c r="BI108" i="3" s="1"/>
  <c r="BN130" i="3"/>
  <c r="BR130" i="3" s="1"/>
  <c r="BV130" i="3" s="1"/>
  <c r="BA109" i="3"/>
  <c r="BE109" i="3" s="1"/>
  <c r="BI109" i="3" s="1"/>
  <c r="BN66" i="3"/>
  <c r="BR66" i="3" s="1"/>
  <c r="BV66" i="3" s="1"/>
  <c r="AQ13" i="3"/>
  <c r="Q43" i="3"/>
  <c r="Q26" i="3"/>
  <c r="CL24" i="3"/>
  <c r="Q33" i="3"/>
  <c r="BR118" i="3"/>
  <c r="BV118" i="3" s="1"/>
  <c r="BE119" i="3"/>
  <c r="BI119" i="3" s="1"/>
  <c r="BE121" i="3"/>
  <c r="BI121" i="3" s="1"/>
  <c r="BA125" i="3"/>
  <c r="BE125" i="3" s="1"/>
  <c r="BI125" i="3" s="1"/>
  <c r="BN85" i="3"/>
  <c r="BR85" i="3" s="1"/>
  <c r="BV85" i="3" s="1"/>
  <c r="BE110" i="3"/>
  <c r="BI110" i="3" s="1"/>
  <c r="BE130" i="3"/>
  <c r="BI130" i="3" s="1"/>
  <c r="BE126" i="3"/>
  <c r="BI126" i="3" s="1"/>
  <c r="Q10" i="3"/>
  <c r="BE10" i="3" s="1"/>
  <c r="BI10" i="3" s="1"/>
  <c r="AQ26" i="3"/>
  <c r="AQ48" i="3"/>
  <c r="CL65" i="3"/>
  <c r="Q63" i="3"/>
  <c r="Q14" i="3"/>
  <c r="Q38" i="3"/>
  <c r="AQ10" i="3"/>
  <c r="AQ40" i="3"/>
  <c r="CL99" i="3"/>
  <c r="AQ57" i="3"/>
  <c r="Q20" i="3"/>
  <c r="CL23" i="3"/>
  <c r="Q48" i="3"/>
  <c r="CL59" i="3"/>
  <c r="AR3" i="3"/>
  <c r="CL132" i="3"/>
  <c r="CL95" i="3"/>
  <c r="CL77" i="3"/>
  <c r="CL38" i="3"/>
  <c r="CL9" i="3"/>
  <c r="CL12" i="3"/>
  <c r="CL25" i="3"/>
  <c r="CL89" i="3"/>
  <c r="CL74" i="3"/>
  <c r="CL124" i="3"/>
  <c r="CL35" i="3"/>
  <c r="CL76" i="3"/>
  <c r="CL47" i="3"/>
  <c r="CL55" i="3"/>
  <c r="CL16" i="3"/>
  <c r="CL72" i="3"/>
  <c r="CL14" i="3"/>
  <c r="CL46" i="3"/>
  <c r="CL82" i="3"/>
  <c r="CL26" i="3"/>
  <c r="CL78" i="3"/>
  <c r="CL64" i="3"/>
  <c r="CL7" i="3"/>
  <c r="CL130" i="3"/>
  <c r="CL10" i="3"/>
  <c r="CL18" i="3"/>
  <c r="CL79" i="3"/>
  <c r="CL48" i="3"/>
  <c r="CL70" i="3"/>
  <c r="CL4" i="3"/>
  <c r="CL8" i="3"/>
  <c r="CL114" i="3"/>
  <c r="CL125" i="3"/>
  <c r="CL11" i="3"/>
  <c r="CL37" i="3"/>
  <c r="CL42" i="3"/>
  <c r="CL129" i="3"/>
  <c r="CL121" i="3"/>
  <c r="CL69" i="3"/>
  <c r="Q58" i="3"/>
  <c r="Q44" i="3"/>
  <c r="AQ16" i="3"/>
  <c r="Q27" i="3"/>
  <c r="AQ17" i="3"/>
  <c r="CL75" i="3"/>
  <c r="Q12" i="3"/>
  <c r="AQ63" i="3"/>
  <c r="BR119" i="3"/>
  <c r="BV119" i="3" s="1"/>
  <c r="CL68" i="3"/>
  <c r="CL86" i="3"/>
  <c r="CL58" i="3"/>
  <c r="CL39" i="3"/>
  <c r="CL17" i="3"/>
  <c r="CL57" i="3"/>
  <c r="CL108" i="3"/>
  <c r="CL119" i="3"/>
  <c r="CL33" i="3"/>
  <c r="CL112" i="3"/>
  <c r="CL88" i="3"/>
  <c r="AQ53" i="3"/>
  <c r="Q59" i="3"/>
  <c r="Q15" i="3"/>
  <c r="Q40" i="3"/>
  <c r="CL96" i="3"/>
  <c r="CL127" i="3"/>
  <c r="CL27" i="3"/>
  <c r="Q55" i="3"/>
  <c r="BR91" i="3"/>
  <c r="BV91" i="3" s="1"/>
  <c r="CL84" i="3"/>
  <c r="CL66" i="3"/>
  <c r="CL60" i="3"/>
  <c r="CL62" i="3"/>
  <c r="CL115" i="3"/>
  <c r="CL13" i="3"/>
  <c r="CL51" i="3"/>
  <c r="CL131" i="3"/>
  <c r="CL41" i="3"/>
  <c r="CL40" i="3"/>
  <c r="CL106" i="3"/>
  <c r="Q23" i="3"/>
  <c r="Q49" i="3"/>
  <c r="AQ12" i="3"/>
  <c r="AQ51" i="3"/>
  <c r="AQ19" i="3"/>
  <c r="Q29" i="3"/>
  <c r="AQ39" i="3"/>
  <c r="CL117" i="3"/>
  <c r="Q42" i="3"/>
  <c r="CL120" i="3"/>
  <c r="CL6" i="3"/>
  <c r="CL101" i="3"/>
  <c r="CL94" i="3"/>
  <c r="CL49" i="3"/>
  <c r="CL107" i="3"/>
  <c r="CL111" i="3"/>
  <c r="CL126" i="3"/>
  <c r="CL61" i="3"/>
  <c r="CL122" i="3"/>
  <c r="CL90" i="3"/>
  <c r="AQ22" i="3"/>
  <c r="Q54" i="3"/>
  <c r="Q62" i="3"/>
  <c r="BN21" i="3"/>
  <c r="BR21" i="3" s="1"/>
  <c r="BV21" i="3" s="1"/>
  <c r="BO132" i="3"/>
  <c r="BS132" i="3" s="1"/>
  <c r="BW132" i="3" s="1"/>
  <c r="BO21" i="3"/>
  <c r="BS21" i="3" s="1"/>
  <c r="BW21" i="3" s="1"/>
  <c r="BD84" i="3"/>
  <c r="BH84" i="3" s="1"/>
  <c r="BL84" i="3" s="1"/>
  <c r="BO50" i="3"/>
  <c r="BO117" i="3"/>
  <c r="BS117" i="3" s="1"/>
  <c r="BW117" i="3" s="1"/>
  <c r="BO28" i="3"/>
  <c r="BS28" i="3" s="1"/>
  <c r="BW28" i="3" s="1"/>
  <c r="BB15" i="3"/>
  <c r="BB82" i="3"/>
  <c r="BF82" i="3" s="1"/>
  <c r="BJ82" i="3" s="1"/>
  <c r="BN7" i="3"/>
  <c r="BR7" i="3" s="1"/>
  <c r="BV7" i="3" s="1"/>
  <c r="BC127" i="3"/>
  <c r="BG127" i="3" s="1"/>
  <c r="BK127" i="3" s="1"/>
  <c r="BA42" i="3"/>
  <c r="BN53" i="3"/>
  <c r="BC129" i="3"/>
  <c r="BG129" i="3" s="1"/>
  <c r="BK129" i="3" s="1"/>
  <c r="BN57" i="3"/>
  <c r="Q57" i="3"/>
  <c r="Q35" i="3"/>
  <c r="AQ61" i="3"/>
  <c r="Q19" i="3"/>
  <c r="Q31" i="3"/>
  <c r="BR68" i="3"/>
  <c r="BV68" i="3" s="1"/>
  <c r="CL92" i="3"/>
  <c r="CL91" i="3"/>
  <c r="CL104" i="3"/>
  <c r="CL34" i="3"/>
  <c r="CL116" i="3"/>
  <c r="CL19" i="3"/>
  <c r="CL123" i="3"/>
  <c r="CL71" i="3"/>
  <c r="CL118" i="3"/>
  <c r="CL43" i="3"/>
  <c r="CL52" i="3"/>
  <c r="CL15" i="3"/>
  <c r="CL53" i="3"/>
  <c r="AQ23" i="3"/>
  <c r="AQ64" i="3"/>
  <c r="Q45" i="3"/>
  <c r="AQ34" i="3"/>
  <c r="AQ8" i="3"/>
  <c r="AQ24" i="3"/>
  <c r="AQ20" i="3"/>
  <c r="Q41" i="3"/>
  <c r="CL28" i="3"/>
  <c r="AQ46" i="3"/>
  <c r="Q50" i="3"/>
  <c r="Q56" i="3"/>
  <c r="Q39" i="3"/>
  <c r="Q25" i="3"/>
  <c r="CL30" i="3"/>
  <c r="CL97" i="3"/>
  <c r="CL100" i="3"/>
  <c r="CL93" i="3"/>
  <c r="CL22" i="3"/>
  <c r="CL80" i="3"/>
  <c r="CL105" i="3"/>
  <c r="CL85" i="3"/>
  <c r="CL50" i="3"/>
  <c r="CL36" i="3"/>
  <c r="CL29" i="3"/>
  <c r="CL44" i="3"/>
  <c r="CL110" i="3"/>
  <c r="CL103" i="3"/>
  <c r="Q11" i="3"/>
  <c r="AQ30" i="3"/>
  <c r="Q22" i="3"/>
  <c r="Q37" i="3"/>
  <c r="AQ41" i="3"/>
  <c r="Q46" i="3"/>
  <c r="AQ56" i="3"/>
  <c r="AQ47" i="3"/>
  <c r="AQ35" i="3"/>
  <c r="CL81" i="3"/>
  <c r="CL102" i="3"/>
  <c r="CL87" i="3"/>
  <c r="CL20" i="3"/>
  <c r="CL98" i="3"/>
  <c r="CL83" i="3"/>
  <c r="CL54" i="3"/>
  <c r="CL73" i="3"/>
  <c r="CL67" i="3"/>
  <c r="CL63" i="3"/>
  <c r="CL31" i="3"/>
  <c r="CL109" i="3"/>
  <c r="CL21" i="3"/>
  <c r="CL128" i="3"/>
  <c r="AQ6" i="3"/>
  <c r="AQ54" i="3"/>
  <c r="CL113" i="3"/>
  <c r="CL32" i="3"/>
  <c r="AQ11" i="3"/>
  <c r="CL45" i="3"/>
  <c r="Q32" i="3"/>
  <c r="CL56" i="3"/>
  <c r="AQ42" i="3"/>
  <c r="CL104" i="1"/>
  <c r="CL47" i="1"/>
  <c r="CG36" i="1"/>
  <c r="CL61" i="1" s="1"/>
  <c r="CL48" i="1"/>
  <c r="CL6" i="1"/>
  <c r="CL89" i="1"/>
  <c r="CL31" i="1"/>
  <c r="CL105" i="1"/>
  <c r="CL63" i="1"/>
  <c r="CL83" i="1"/>
  <c r="CL82" i="1"/>
  <c r="CL81" i="1"/>
  <c r="CL80" i="1"/>
  <c r="CL79" i="1"/>
  <c r="CL55" i="1"/>
  <c r="CL49" i="1"/>
  <c r="CL108" i="1"/>
  <c r="CL20" i="1"/>
  <c r="CL78" i="1"/>
  <c r="CL106" i="1"/>
  <c r="CL107" i="1"/>
  <c r="CL68" i="1"/>
  <c r="CL43" i="1"/>
  <c r="CL120" i="1"/>
  <c r="CL33" i="1"/>
  <c r="CL37" i="1"/>
  <c r="CL67" i="1"/>
  <c r="CL66" i="1"/>
  <c r="CL8" i="1"/>
  <c r="CL95" i="1"/>
  <c r="CL115" i="1"/>
  <c r="CL10" i="1"/>
  <c r="CL93" i="1"/>
  <c r="CL50" i="1"/>
  <c r="CL54" i="1"/>
  <c r="CL57" i="1"/>
  <c r="CL91" i="1"/>
  <c r="CL21" i="1"/>
  <c r="CL119" i="1"/>
  <c r="CL51" i="1"/>
  <c r="CL62" i="1"/>
  <c r="CL64" i="1"/>
  <c r="CL92" i="1"/>
  <c r="CL59" i="1"/>
  <c r="CL14" i="1"/>
  <c r="CL22" i="1"/>
  <c r="CL30" i="1"/>
  <c r="CL110" i="1"/>
  <c r="CL32" i="1"/>
  <c r="CL13" i="1"/>
  <c r="CL103" i="1"/>
  <c r="CL34" i="1"/>
  <c r="CL70" i="1"/>
  <c r="CL97" i="1"/>
  <c r="CL73" i="1"/>
  <c r="CL15" i="1"/>
  <c r="CL18" i="1"/>
  <c r="CL72" i="1"/>
  <c r="CL102" i="1"/>
  <c r="CL113" i="1"/>
  <c r="CL112" i="1"/>
  <c r="CL109" i="1"/>
  <c r="CL11" i="1"/>
  <c r="CL27" i="1"/>
  <c r="CL69" i="1"/>
  <c r="CL26" i="1"/>
  <c r="CL101" i="1"/>
  <c r="CL98" i="1"/>
  <c r="CL94" i="1"/>
  <c r="CL88" i="1"/>
  <c r="CL65" i="1"/>
  <c r="CL90" i="1"/>
  <c r="CL121" i="1"/>
  <c r="CL84" i="1"/>
  <c r="CL45" i="1"/>
  <c r="CL12" i="1"/>
  <c r="CL71" i="1"/>
  <c r="CL28" i="1"/>
  <c r="CL74" i="1"/>
  <c r="CL52" i="1"/>
  <c r="CL58" i="1"/>
  <c r="CL76" i="1"/>
  <c r="CL56" i="1"/>
  <c r="CL100" i="1"/>
  <c r="CL41" i="1"/>
  <c r="CL29" i="1"/>
  <c r="CL19" i="1"/>
  <c r="CL77" i="1"/>
  <c r="CL117" i="1"/>
  <c r="CL23" i="1"/>
  <c r="CL114" i="1"/>
  <c r="CL40" i="1"/>
  <c r="CL111" i="1"/>
  <c r="CL75" i="1"/>
  <c r="CL24" i="1"/>
  <c r="CL35" i="1"/>
  <c r="CL118" i="1"/>
  <c r="CL46" i="1"/>
  <c r="CL60" i="1"/>
  <c r="CL86" i="1"/>
  <c r="CL25" i="1"/>
  <c r="CL16" i="1"/>
  <c r="CL38" i="1"/>
  <c r="CL42" i="1"/>
  <c r="CL96" i="1"/>
  <c r="CL87" i="1"/>
  <c r="CL17" i="1"/>
  <c r="CL99" i="1"/>
  <c r="CL7" i="1"/>
  <c r="CL9" i="1"/>
  <c r="CL116" i="1"/>
  <c r="CL39" i="1"/>
  <c r="CL53" i="1"/>
  <c r="CL85" i="1"/>
  <c r="CL44" i="1"/>
  <c r="CG4" i="1"/>
  <c r="CL4" i="1" s="1"/>
  <c r="BF63" i="3" l="1"/>
  <c r="BJ63" i="3" s="1"/>
  <c r="BF14" i="3"/>
  <c r="BJ14" i="3" s="1"/>
  <c r="BS27" i="3"/>
  <c r="BW27" i="3" s="1"/>
  <c r="BS6" i="3"/>
  <c r="BW6" i="3" s="1"/>
  <c r="BT42" i="3"/>
  <c r="BX42" i="3" s="1"/>
  <c r="BR11" i="3"/>
  <c r="BV11" i="3" s="1"/>
  <c r="BG25" i="3"/>
  <c r="BK25" i="3" s="1"/>
  <c r="BG57" i="3"/>
  <c r="BK57" i="3" s="1"/>
  <c r="BE48" i="3"/>
  <c r="BI48" i="3" s="1"/>
  <c r="BE39" i="3"/>
  <c r="BI39" i="3" s="1"/>
  <c r="BT63" i="3"/>
  <c r="BX63" i="3" s="1"/>
  <c r="BR39" i="3"/>
  <c r="BV39" i="3" s="1"/>
  <c r="BT60" i="3"/>
  <c r="BX60" i="3" s="1"/>
  <c r="BU50" i="3"/>
  <c r="BY50" i="3" s="1"/>
  <c r="BF12" i="3"/>
  <c r="BJ12" i="3" s="1"/>
  <c r="BE49" i="3"/>
  <c r="BI49" i="3" s="1"/>
  <c r="BF42" i="3"/>
  <c r="BJ42" i="3" s="1"/>
  <c r="BE46" i="3"/>
  <c r="BI46" i="3" s="1"/>
  <c r="BG33" i="3"/>
  <c r="BK33" i="3" s="1"/>
  <c r="BU57" i="3"/>
  <c r="BY57" i="3" s="1"/>
  <c r="BF26" i="3"/>
  <c r="BJ26" i="3" s="1"/>
  <c r="BR54" i="3"/>
  <c r="BV54" i="3" s="1"/>
  <c r="BU47" i="3"/>
  <c r="BY47" i="3" s="1"/>
  <c r="BF56" i="3"/>
  <c r="BJ56" i="3" s="1"/>
  <c r="BU26" i="3"/>
  <c r="BY26" i="3" s="1"/>
  <c r="BR15" i="3"/>
  <c r="BV15" i="3" s="1"/>
  <c r="BG45" i="3"/>
  <c r="BK45" i="3" s="1"/>
  <c r="BH23" i="3"/>
  <c r="BL23" i="3" s="1"/>
  <c r="BG13" i="3"/>
  <c r="BK13" i="3" s="1"/>
  <c r="BR9" i="3"/>
  <c r="BV9" i="3" s="1"/>
  <c r="BH19" i="3"/>
  <c r="BL19" i="3" s="1"/>
  <c r="BS61" i="3"/>
  <c r="BW61" i="3" s="1"/>
  <c r="BU20" i="3"/>
  <c r="BY20" i="3" s="1"/>
  <c r="BG35" i="3"/>
  <c r="BK35" i="3" s="1"/>
  <c r="BS19" i="3"/>
  <c r="BW19" i="3" s="1"/>
  <c r="BU52" i="3"/>
  <c r="BY52" i="3" s="1"/>
  <c r="BH47" i="3"/>
  <c r="BL47" i="3" s="1"/>
  <c r="BT10" i="3"/>
  <c r="BX10" i="3" s="1"/>
  <c r="BR41" i="3"/>
  <c r="BV41" i="3" s="1"/>
  <c r="BU8" i="3"/>
  <c r="BY8" i="3" s="1"/>
  <c r="BG27" i="3"/>
  <c r="BK27" i="3" s="1"/>
  <c r="BE62" i="3"/>
  <c r="BI62" i="3" s="1"/>
  <c r="BH43" i="3"/>
  <c r="BL43" i="3" s="1"/>
  <c r="BR37" i="3"/>
  <c r="BV37" i="3" s="1"/>
  <c r="BG22" i="3"/>
  <c r="BK22" i="3" s="1"/>
  <c r="BG50" i="3"/>
  <c r="BK50" i="3" s="1"/>
  <c r="BE54" i="3"/>
  <c r="BI54" i="3" s="1"/>
  <c r="BT51" i="3"/>
  <c r="BX51" i="3" s="1"/>
  <c r="BF40" i="3"/>
  <c r="BJ40" i="3" s="1"/>
  <c r="BU13" i="3"/>
  <c r="BY13" i="3" s="1"/>
  <c r="BU24" i="3"/>
  <c r="BY24" i="3" s="1"/>
  <c r="BS16" i="3"/>
  <c r="BW16" i="3" s="1"/>
  <c r="BU46" i="3"/>
  <c r="BY46" i="3" s="1"/>
  <c r="BU64" i="3"/>
  <c r="BY64" i="3" s="1"/>
  <c r="BR22" i="3"/>
  <c r="BV22" i="3" s="1"/>
  <c r="BR12" i="3"/>
  <c r="BV12" i="3" s="1"/>
  <c r="BF58" i="3"/>
  <c r="BJ58" i="3" s="1"/>
  <c r="BR23" i="3"/>
  <c r="BV23" i="3" s="1"/>
  <c r="BT48" i="3"/>
  <c r="BX48" i="3" s="1"/>
  <c r="BH38" i="3"/>
  <c r="BL38" i="3" s="1"/>
  <c r="BU56" i="3"/>
  <c r="BY56" i="3" s="1"/>
  <c r="BG31" i="3"/>
  <c r="BK31" i="3" s="1"/>
  <c r="BE59" i="3"/>
  <c r="BI59" i="3" s="1"/>
  <c r="BT53" i="3"/>
  <c r="BX53" i="3" s="1"/>
  <c r="BH29" i="3"/>
  <c r="BL29" i="3" s="1"/>
  <c r="BR34" i="3"/>
  <c r="BV34" i="3" s="1"/>
  <c r="BG51" i="3"/>
  <c r="BK51" i="3" s="1"/>
  <c r="BS40" i="3"/>
  <c r="BW40" i="3" s="1"/>
  <c r="BG52" i="3"/>
  <c r="BK52" i="3" s="1"/>
  <c r="BH41" i="3"/>
  <c r="BL41" i="3" s="1"/>
  <c r="BH15" i="3"/>
  <c r="BL15" i="3" s="1"/>
  <c r="BG44" i="3"/>
  <c r="BK44" i="3" s="1"/>
  <c r="BR30" i="3"/>
  <c r="BV30" i="3" s="1"/>
  <c r="BG55" i="3"/>
  <c r="BK55" i="3" s="1"/>
  <c r="BH32" i="3"/>
  <c r="BL32" i="3" s="1"/>
  <c r="BS35" i="3"/>
  <c r="BW35" i="3" s="1"/>
  <c r="BH11" i="3"/>
  <c r="BL11" i="3" s="1"/>
  <c r="BR17" i="3"/>
  <c r="BV17" i="3" s="1"/>
  <c r="BH20" i="3"/>
  <c r="BL20" i="3" s="1"/>
  <c r="BT50" i="3"/>
  <c r="BX50" i="3" s="1"/>
  <c r="BR50" i="3"/>
  <c r="BV50" i="3" s="1"/>
  <c r="BS50" i="3"/>
  <c r="BW50" i="3" s="1"/>
  <c r="BU37" i="3"/>
  <c r="BY37" i="3" s="1"/>
  <c r="BT37" i="3"/>
  <c r="BX37" i="3" s="1"/>
  <c r="BS37" i="3"/>
  <c r="BW37" i="3" s="1"/>
  <c r="BE13" i="3"/>
  <c r="BI13" i="3" s="1"/>
  <c r="BF59" i="3"/>
  <c r="BJ59" i="3" s="1"/>
  <c r="BH13" i="3"/>
  <c r="BL13" i="3" s="1"/>
  <c r="BF13" i="3"/>
  <c r="BJ13" i="3" s="1"/>
  <c r="BT12" i="3"/>
  <c r="BX12" i="3" s="1"/>
  <c r="BU15" i="3"/>
  <c r="BY15" i="3" s="1"/>
  <c r="BF47" i="3"/>
  <c r="BJ47" i="3" s="1"/>
  <c r="BE47" i="3"/>
  <c r="BI47" i="3" s="1"/>
  <c r="BG47" i="3"/>
  <c r="BK47" i="3" s="1"/>
  <c r="BE37" i="3"/>
  <c r="BI37" i="3" s="1"/>
  <c r="BF52" i="3"/>
  <c r="BJ52" i="3" s="1"/>
  <c r="BE52" i="3"/>
  <c r="BI52" i="3" s="1"/>
  <c r="BH52" i="3"/>
  <c r="BL52" i="3" s="1"/>
  <c r="BG14" i="3"/>
  <c r="BK14" i="3" s="1"/>
  <c r="BT15" i="3"/>
  <c r="BX15" i="3" s="1"/>
  <c r="BS60" i="3"/>
  <c r="BW60" i="3" s="1"/>
  <c r="BS15" i="3"/>
  <c r="BW15" i="3" s="1"/>
  <c r="BU60" i="3"/>
  <c r="BY60" i="3" s="1"/>
  <c r="BR60" i="3"/>
  <c r="BV60" i="3" s="1"/>
  <c r="BH26" i="3"/>
  <c r="BL26" i="3" s="1"/>
  <c r="BH14" i="3"/>
  <c r="BL14" i="3" s="1"/>
  <c r="BE14" i="3"/>
  <c r="BI14" i="3" s="1"/>
  <c r="BF51" i="3"/>
  <c r="BJ51" i="3" s="1"/>
  <c r="BE26" i="3"/>
  <c r="BI26" i="3" s="1"/>
  <c r="BG26" i="3"/>
  <c r="BK26" i="3" s="1"/>
  <c r="BS10" i="3"/>
  <c r="BW10" i="3" s="1"/>
  <c r="BE43" i="3"/>
  <c r="BI43" i="3" s="1"/>
  <c r="BG42" i="3"/>
  <c r="BK42" i="3" s="1"/>
  <c r="BR63" i="3"/>
  <c r="BV63" i="3" s="1"/>
  <c r="BG43" i="3"/>
  <c r="BK43" i="3" s="1"/>
  <c r="BT13" i="3"/>
  <c r="BX13" i="3" s="1"/>
  <c r="BR10" i="3"/>
  <c r="BV10" i="3" s="1"/>
  <c r="BE63" i="3"/>
  <c r="BI63" i="3" s="1"/>
  <c r="BS63" i="3"/>
  <c r="BW63" i="3" s="1"/>
  <c r="BU10" i="3"/>
  <c r="BY10" i="3" s="1"/>
  <c r="BE50" i="3"/>
  <c r="BI50" i="3" s="1"/>
  <c r="BR13" i="3"/>
  <c r="BV13" i="3" s="1"/>
  <c r="BS13" i="3"/>
  <c r="BW13" i="3" s="1"/>
  <c r="BH63" i="3"/>
  <c r="BL63" i="3" s="1"/>
  <c r="BF43" i="3"/>
  <c r="BJ43" i="3" s="1"/>
  <c r="BU63" i="3"/>
  <c r="BY63" i="3" s="1"/>
  <c r="BH51" i="3"/>
  <c r="BL51" i="3" s="1"/>
  <c r="BT52" i="3"/>
  <c r="BX52" i="3" s="1"/>
  <c r="BH49" i="3"/>
  <c r="BL49" i="3" s="1"/>
  <c r="BR16" i="3"/>
  <c r="BV16" i="3" s="1"/>
  <c r="BR57" i="3"/>
  <c r="BV57" i="3" s="1"/>
  <c r="BE12" i="3"/>
  <c r="BI12" i="3" s="1"/>
  <c r="BU27" i="3"/>
  <c r="BY27" i="3" s="1"/>
  <c r="BT27" i="3"/>
  <c r="BX27" i="3" s="1"/>
  <c r="BT40" i="3"/>
  <c r="BX40" i="3" s="1"/>
  <c r="BU40" i="3"/>
  <c r="BY40" i="3" s="1"/>
  <c r="BE55" i="3"/>
  <c r="BI55" i="3" s="1"/>
  <c r="BE51" i="3"/>
  <c r="BI51" i="3" s="1"/>
  <c r="BR40" i="3"/>
  <c r="BV40" i="3" s="1"/>
  <c r="BR52" i="3"/>
  <c r="BV52" i="3" s="1"/>
  <c r="BH58" i="3"/>
  <c r="BL58" i="3" s="1"/>
  <c r="BF55" i="3"/>
  <c r="BJ55" i="3" s="1"/>
  <c r="BH55" i="3"/>
  <c r="BL55" i="3" s="1"/>
  <c r="BS9" i="3"/>
  <c r="BW9" i="3" s="1"/>
  <c r="BU9" i="3"/>
  <c r="BY9" i="3" s="1"/>
  <c r="BT9" i="3"/>
  <c r="BX9" i="3" s="1"/>
  <c r="BS52" i="3"/>
  <c r="BW52" i="3" s="1"/>
  <c r="BR27" i="3"/>
  <c r="BV27" i="3" s="1"/>
  <c r="BU61" i="3"/>
  <c r="BY61" i="3" s="1"/>
  <c r="BF33" i="3"/>
  <c r="BJ33" i="3" s="1"/>
  <c r="BE42" i="3"/>
  <c r="BI42" i="3" s="1"/>
  <c r="BH33" i="3"/>
  <c r="BL33" i="3" s="1"/>
  <c r="BG15" i="3"/>
  <c r="BK15" i="3" s="1"/>
  <c r="BE33" i="3"/>
  <c r="BI33" i="3" s="1"/>
  <c r="BG63" i="3"/>
  <c r="BK63" i="3" s="1"/>
  <c r="BR51" i="3"/>
  <c r="BV51" i="3" s="1"/>
  <c r="BE15" i="3"/>
  <c r="BI15" i="3" s="1"/>
  <c r="BF27" i="3"/>
  <c r="BJ27" i="3" s="1"/>
  <c r="BF29" i="3"/>
  <c r="BJ29" i="3" s="1"/>
  <c r="BF57" i="3"/>
  <c r="BJ57" i="3" s="1"/>
  <c r="BT64" i="3"/>
  <c r="BX64" i="3" s="1"/>
  <c r="BF54" i="3"/>
  <c r="BJ54" i="3" s="1"/>
  <c r="BF62" i="3"/>
  <c r="BJ62" i="3" s="1"/>
  <c r="BH59" i="3"/>
  <c r="BL59" i="3" s="1"/>
  <c r="BG49" i="3"/>
  <c r="BK49" i="3" s="1"/>
  <c r="BR53" i="3"/>
  <c r="BV53" i="3" s="1"/>
  <c r="BF15" i="3"/>
  <c r="BJ15" i="3" s="1"/>
  <c r="BF25" i="3"/>
  <c r="BJ25" i="3" s="1"/>
  <c r="BG12" i="3"/>
  <c r="BK12" i="3" s="1"/>
  <c r="BG23" i="3"/>
  <c r="BK23" i="3" s="1"/>
  <c r="BG29" i="3"/>
  <c r="BK29" i="3" s="1"/>
  <c r="BF39" i="3"/>
  <c r="BJ39" i="3" s="1"/>
  <c r="BS17" i="3"/>
  <c r="BW17" i="3" s="1"/>
  <c r="BT17" i="3"/>
  <c r="BX17" i="3" s="1"/>
  <c r="BF10" i="3"/>
  <c r="BJ10" i="3" s="1"/>
  <c r="BH10" i="3"/>
  <c r="BL10" i="3" s="1"/>
  <c r="BE38" i="3"/>
  <c r="BI38" i="3" s="1"/>
  <c r="BS57" i="3"/>
  <c r="BW57" i="3" s="1"/>
  <c r="BG40" i="3"/>
  <c r="BK40" i="3" s="1"/>
  <c r="BG10" i="3"/>
  <c r="BK10" i="3" s="1"/>
  <c r="BR19" i="3"/>
  <c r="BV19" i="3" s="1"/>
  <c r="BG38" i="3"/>
  <c r="BK38" i="3" s="1"/>
  <c r="BH40" i="3"/>
  <c r="BL40" i="3" s="1"/>
  <c r="BG20" i="3"/>
  <c r="BK20" i="3" s="1"/>
  <c r="BS48" i="3"/>
  <c r="BW48" i="3" s="1"/>
  <c r="BE20" i="3"/>
  <c r="BI20" i="3" s="1"/>
  <c r="BG56" i="3"/>
  <c r="BK56" i="3" s="1"/>
  <c r="BE31" i="3"/>
  <c r="BI31" i="3" s="1"/>
  <c r="BF38" i="3"/>
  <c r="BJ38" i="3" s="1"/>
  <c r="BR48" i="3"/>
  <c r="BV48" i="3" s="1"/>
  <c r="BS26" i="3"/>
  <c r="BW26" i="3" s="1"/>
  <c r="BE35" i="3"/>
  <c r="BI35" i="3" s="1"/>
  <c r="BU48" i="3"/>
  <c r="BY48" i="3" s="1"/>
  <c r="BT57" i="3"/>
  <c r="BX57" i="3" s="1"/>
  <c r="BR26" i="3"/>
  <c r="BV26" i="3" s="1"/>
  <c r="BT8" i="3"/>
  <c r="BX8" i="3" s="1"/>
  <c r="BT26" i="3"/>
  <c r="BX26" i="3" s="1"/>
  <c r="BF48" i="3"/>
  <c r="BJ48" i="3" s="1"/>
  <c r="BF20" i="3"/>
  <c r="BJ20" i="3" s="1"/>
  <c r="BG59" i="3"/>
  <c r="BK59" i="3" s="1"/>
  <c r="BH48" i="3"/>
  <c r="BL48" i="3" s="1"/>
  <c r="BE58" i="3"/>
  <c r="BI58" i="3" s="1"/>
  <c r="BG58" i="3"/>
  <c r="BK58" i="3" s="1"/>
  <c r="BG48" i="3"/>
  <c r="BK48" i="3" s="1"/>
  <c r="BS11" i="3"/>
  <c r="BW11" i="3" s="1"/>
  <c r="BH50" i="3"/>
  <c r="BL50" i="3" s="1"/>
  <c r="BF35" i="3"/>
  <c r="BJ35" i="3" s="1"/>
  <c r="BT34" i="3"/>
  <c r="BX34" i="3" s="1"/>
  <c r="BS22" i="3"/>
  <c r="BW22" i="3" s="1"/>
  <c r="BU19" i="3"/>
  <c r="BY19" i="3" s="1"/>
  <c r="CL36" i="1"/>
  <c r="BF37" i="3"/>
  <c r="BJ37" i="3" s="1"/>
  <c r="BU42" i="3"/>
  <c r="BY42" i="3" s="1"/>
  <c r="BS47" i="3"/>
  <c r="BW47" i="3" s="1"/>
  <c r="BS46" i="3"/>
  <c r="BW46" i="3" s="1"/>
  <c r="BS64" i="3"/>
  <c r="BW64" i="3" s="1"/>
  <c r="BF45" i="3"/>
  <c r="BJ45" i="3" s="1"/>
  <c r="BS53" i="3"/>
  <c r="BW53" i="3" s="1"/>
  <c r="BE45" i="3"/>
  <c r="BI45" i="3" s="1"/>
  <c r="BE57" i="3"/>
  <c r="BI57" i="3" s="1"/>
  <c r="BF31" i="3"/>
  <c r="BJ31" i="3" s="1"/>
  <c r="BG39" i="3"/>
  <c r="BK39" i="3" s="1"/>
  <c r="BS51" i="3"/>
  <c r="BW51" i="3" s="1"/>
  <c r="BE40" i="3"/>
  <c r="BI40" i="3" s="1"/>
  <c r="BG62" i="3"/>
  <c r="BK62" i="3" s="1"/>
  <c r="BH31" i="3"/>
  <c r="BL31" i="3" s="1"/>
  <c r="BE44" i="3"/>
  <c r="BI44" i="3" s="1"/>
  <c r="BH44" i="3"/>
  <c r="BL44" i="3" s="1"/>
  <c r="BU17" i="3"/>
  <c r="BY17" i="3" s="1"/>
  <c r="BF32" i="3"/>
  <c r="BJ32" i="3" s="1"/>
  <c r="BH39" i="3"/>
  <c r="BL39" i="3" s="1"/>
  <c r="BT19" i="3"/>
  <c r="BX19" i="3" s="1"/>
  <c r="BT47" i="3"/>
  <c r="BX47" i="3" s="1"/>
  <c r="BF49" i="3"/>
  <c r="BJ49" i="3" s="1"/>
  <c r="BU22" i="3"/>
  <c r="BY22" i="3" s="1"/>
  <c r="BS56" i="3"/>
  <c r="BW56" i="3" s="1"/>
  <c r="BU23" i="3"/>
  <c r="BY23" i="3" s="1"/>
  <c r="BS24" i="3"/>
  <c r="BW24" i="3" s="1"/>
  <c r="BS23" i="3"/>
  <c r="BW23" i="3" s="1"/>
  <c r="BF46" i="3"/>
  <c r="BJ46" i="3" s="1"/>
  <c r="BU11" i="3"/>
  <c r="BY11" i="3" s="1"/>
  <c r="BS12" i="3"/>
  <c r="BW12" i="3" s="1"/>
  <c r="BT22" i="3"/>
  <c r="BX22" i="3" s="1"/>
  <c r="BE25" i="3"/>
  <c r="BI25" i="3" s="1"/>
  <c r="BH57" i="3"/>
  <c r="BL57" i="3" s="1"/>
  <c r="BT30" i="3"/>
  <c r="BX30" i="3" s="1"/>
  <c r="BU51" i="3"/>
  <c r="BY51" i="3" s="1"/>
  <c r="BT56" i="3"/>
  <c r="BX56" i="3" s="1"/>
  <c r="BT20" i="3"/>
  <c r="BX20" i="3" s="1"/>
  <c r="BE29" i="3"/>
  <c r="BI29" i="3" s="1"/>
  <c r="BT24" i="3"/>
  <c r="BX24" i="3" s="1"/>
  <c r="BE11" i="3"/>
  <c r="BI11" i="3" s="1"/>
  <c r="BH12" i="3"/>
  <c r="BL12" i="3" s="1"/>
  <c r="BU12" i="3"/>
  <c r="BY12" i="3" s="1"/>
  <c r="BF19" i="3"/>
  <c r="BJ19" i="3" s="1"/>
  <c r="BE27" i="3"/>
  <c r="BI27" i="3" s="1"/>
  <c r="BT35" i="3"/>
  <c r="BX35" i="3" s="1"/>
  <c r="BS41" i="3"/>
  <c r="BW41" i="3" s="1"/>
  <c r="BS42" i="3"/>
  <c r="BW42" i="3" s="1"/>
  <c r="BR24" i="3"/>
  <c r="BV24" i="3" s="1"/>
  <c r="BG11" i="3"/>
  <c r="BK11" i="3" s="1"/>
  <c r="BH35" i="3"/>
  <c r="BL35" i="3" s="1"/>
  <c r="BR8" i="3"/>
  <c r="BV8" i="3" s="1"/>
  <c r="BS8" i="3"/>
  <c r="BW8" i="3" s="1"/>
  <c r="BU53" i="3"/>
  <c r="BY53" i="3" s="1"/>
  <c r="BG32" i="3"/>
  <c r="BK32" i="3" s="1"/>
  <c r="BT39" i="3"/>
  <c r="BX39" i="3" s="1"/>
  <c r="BU16" i="3"/>
  <c r="BY16" i="3" s="1"/>
  <c r="BU39" i="3"/>
  <c r="BY39" i="3" s="1"/>
  <c r="BE41" i="3"/>
  <c r="BI41" i="3" s="1"/>
  <c r="BT16" i="3"/>
  <c r="BX16" i="3" s="1"/>
  <c r="BG19" i="3"/>
  <c r="BK19" i="3" s="1"/>
  <c r="BT23" i="3"/>
  <c r="BX23" i="3" s="1"/>
  <c r="BE56" i="3"/>
  <c r="BI56" i="3" s="1"/>
  <c r="BT46" i="3"/>
  <c r="BX46" i="3" s="1"/>
  <c r="BR64" i="3"/>
  <c r="BV64" i="3" s="1"/>
  <c r="BR20" i="3"/>
  <c r="BV20" i="3" s="1"/>
  <c r="BE22" i="3"/>
  <c r="BI22" i="3" s="1"/>
  <c r="BR56" i="3"/>
  <c r="BV56" i="3" s="1"/>
  <c r="BT41" i="3"/>
  <c r="BX41" i="3" s="1"/>
  <c r="BH25" i="3"/>
  <c r="BL25" i="3" s="1"/>
  <c r="BH45" i="3"/>
  <c r="BL45" i="3" s="1"/>
  <c r="BR6" i="3"/>
  <c r="BV6" i="3" s="1"/>
  <c r="BR61" i="3"/>
  <c r="BV61" i="3" s="1"/>
  <c r="BR46" i="3"/>
  <c r="BV46" i="3" s="1"/>
  <c r="BU34" i="3"/>
  <c r="BY34" i="3" s="1"/>
  <c r="BR47" i="3"/>
  <c r="BV47" i="3" s="1"/>
  <c r="BT54" i="3"/>
  <c r="BX54" i="3" s="1"/>
  <c r="BR35" i="3"/>
  <c r="BV35" i="3" s="1"/>
  <c r="BF11" i="3"/>
  <c r="BJ11" i="3" s="1"/>
  <c r="BU41" i="3"/>
  <c r="BY41" i="3" s="1"/>
  <c r="BE19" i="3"/>
  <c r="BI19" i="3" s="1"/>
  <c r="BT6" i="3"/>
  <c r="BX6" i="3" s="1"/>
  <c r="BS34" i="3"/>
  <c r="BW34" i="3" s="1"/>
  <c r="BF50" i="3"/>
  <c r="BJ50" i="3" s="1"/>
  <c r="BE32" i="3"/>
  <c r="BI32" i="3" s="1"/>
  <c r="BF44" i="3"/>
  <c r="BJ44" i="3" s="1"/>
  <c r="BF23" i="3"/>
  <c r="BJ23" i="3" s="1"/>
  <c r="BU6" i="3"/>
  <c r="BY6" i="3" s="1"/>
  <c r="BF41" i="3"/>
  <c r="BJ41" i="3" s="1"/>
  <c r="BG41" i="3"/>
  <c r="BK41" i="3" s="1"/>
  <c r="BT11" i="3"/>
  <c r="BX11" i="3" s="1"/>
  <c r="BH62" i="3"/>
  <c r="BL62" i="3" s="1"/>
  <c r="BS30" i="3"/>
  <c r="BW30" i="3" s="1"/>
  <c r="BR42" i="3"/>
  <c r="BV42" i="3" s="1"/>
  <c r="BU35" i="3"/>
  <c r="BY35" i="3" s="1"/>
  <c r="BE23" i="3"/>
  <c r="BI23" i="3" s="1"/>
  <c r="BS39" i="3"/>
  <c r="BW39" i="3" s="1"/>
  <c r="BG37" i="3"/>
  <c r="BK37" i="3" s="1"/>
  <c r="BF22" i="3"/>
  <c r="BJ22" i="3" s="1"/>
  <c r="BU30" i="3"/>
  <c r="BY30" i="3" s="1"/>
  <c r="BH46" i="3"/>
  <c r="BL46" i="3" s="1"/>
  <c r="BH56" i="3"/>
  <c r="BL56" i="3" s="1"/>
  <c r="BH42" i="3"/>
  <c r="BL42" i="3" s="1"/>
  <c r="BT61" i="3"/>
  <c r="BX61" i="3" s="1"/>
  <c r="BH27" i="3"/>
  <c r="BL27" i="3" s="1"/>
  <c r="BH22" i="3"/>
  <c r="BL22" i="3" s="1"/>
  <c r="BH54" i="3"/>
  <c r="BL54" i="3" s="1"/>
  <c r="BG54" i="3"/>
  <c r="BK54" i="3" s="1"/>
  <c r="BS20" i="3"/>
  <c r="BW20" i="3" s="1"/>
  <c r="BS54" i="3"/>
  <c r="BW54" i="3" s="1"/>
  <c r="BU54" i="3"/>
  <c r="BY54" i="3" s="1"/>
  <c r="BH37" i="3"/>
  <c r="BL37" i="3" s="1"/>
  <c r="BG46" i="3"/>
  <c r="BK46" i="3" s="1"/>
  <c r="BC5" i="1"/>
  <c r="BP5" i="1"/>
  <c r="E11" i="1"/>
  <c r="AL19" i="1"/>
  <c r="D14" i="1"/>
  <c r="AE12" i="1"/>
  <c r="AC9" i="1"/>
  <c r="AC8" i="1"/>
  <c r="AE11" i="1"/>
  <c r="E15" i="1"/>
  <c r="AL17" i="1"/>
  <c r="E18" i="1"/>
  <c r="AE19" i="1"/>
  <c r="E13" i="1"/>
  <c r="E9" i="1"/>
  <c r="AL15" i="1"/>
  <c r="AE16" i="1"/>
  <c r="AD18" i="1"/>
  <c r="AE7" i="1"/>
  <c r="AD15" i="1"/>
  <c r="D18" i="1"/>
  <c r="AD8" i="1"/>
  <c r="D9" i="1"/>
  <c r="AC19" i="1"/>
  <c r="AE18" i="1"/>
  <c r="D19" i="1"/>
  <c r="AL9" i="1"/>
  <c r="AE8" i="1"/>
  <c r="D12" i="1"/>
  <c r="AE10" i="1"/>
  <c r="AC15" i="1"/>
  <c r="AC11" i="1"/>
  <c r="D11" i="1"/>
  <c r="AE6" i="1"/>
  <c r="D8" i="1"/>
  <c r="AD11" i="1"/>
  <c r="AC12" i="1"/>
  <c r="E6" i="1"/>
  <c r="AD6" i="1"/>
  <c r="AD10" i="1"/>
  <c r="D13" i="1"/>
  <c r="AC13" i="1"/>
  <c r="E16" i="1"/>
  <c r="AL13" i="1"/>
  <c r="AL8" i="1"/>
  <c r="AD16" i="1"/>
  <c r="AD13" i="1"/>
  <c r="AD17" i="1"/>
  <c r="AD9" i="1"/>
  <c r="AC6" i="1"/>
  <c r="E17" i="1"/>
  <c r="AC10" i="1"/>
  <c r="AL16" i="1"/>
  <c r="AC18" i="1"/>
  <c r="D10" i="1"/>
  <c r="E8" i="1"/>
  <c r="AL12" i="1"/>
  <c r="D6" i="1"/>
  <c r="E7" i="1"/>
  <c r="AE14" i="1"/>
  <c r="AL11" i="1"/>
  <c r="L6" i="1"/>
  <c r="AL10" i="1"/>
  <c r="AC7" i="1"/>
  <c r="AL14" i="1"/>
  <c r="AL6" i="1"/>
  <c r="AD19" i="1"/>
  <c r="AE9" i="1"/>
  <c r="AL7" i="1"/>
  <c r="AD12" i="1"/>
  <c r="AD7" i="1"/>
  <c r="AD14" i="1"/>
  <c r="D17" i="1"/>
  <c r="E14" i="1"/>
  <c r="E10" i="1"/>
  <c r="AE15" i="1"/>
  <c r="AC16" i="1"/>
  <c r="AL18" i="1"/>
  <c r="AC14" i="1"/>
  <c r="E12" i="1"/>
  <c r="AE17" i="1"/>
  <c r="D15" i="1"/>
  <c r="AC17" i="1"/>
  <c r="E19" i="1"/>
  <c r="D16" i="1"/>
  <c r="D7" i="1"/>
  <c r="AE13" i="1"/>
  <c r="P7" i="1" l="1"/>
  <c r="P16" i="1"/>
  <c r="P15" i="1"/>
  <c r="P17" i="1"/>
  <c r="P10" i="1"/>
  <c r="P13" i="1"/>
  <c r="P8" i="1"/>
  <c r="P11" i="1"/>
  <c r="P12" i="1"/>
  <c r="P19" i="1"/>
  <c r="P9" i="1"/>
  <c r="P18" i="1"/>
  <c r="P14" i="1"/>
  <c r="BL3" i="3"/>
  <c r="BJ3" i="3"/>
  <c r="BY3" i="3"/>
  <c r="BK3" i="3"/>
  <c r="BW3" i="3"/>
  <c r="BV3" i="3"/>
  <c r="BX3" i="3"/>
  <c r="BI3" i="3"/>
  <c r="BS3" i="3"/>
  <c r="BG3" i="3"/>
  <c r="BT3" i="3"/>
  <c r="BU3" i="3"/>
  <c r="BH3" i="3"/>
  <c r="BR3" i="3"/>
  <c r="BF3" i="3"/>
  <c r="BE3" i="3"/>
  <c r="A8" i="1"/>
  <c r="A10" i="1"/>
  <c r="A15" i="1"/>
  <c r="A7" i="1"/>
  <c r="A14" i="1"/>
  <c r="A16" i="1"/>
  <c r="A12" i="1"/>
  <c r="A18" i="1"/>
  <c r="A19" i="1"/>
  <c r="A11" i="1"/>
  <c r="A17" i="1"/>
  <c r="A6" i="1"/>
  <c r="A13" i="1"/>
  <c r="A9" i="1"/>
  <c r="BY5" i="1"/>
  <c r="BW5" i="1"/>
  <c r="BV5" i="1"/>
  <c r="BU5" i="1"/>
  <c r="BS5" i="1"/>
  <c r="BR5" i="1"/>
  <c r="BT5" i="1"/>
  <c r="BP3" i="1"/>
  <c r="BP2" i="1"/>
  <c r="BX5" i="1" l="1"/>
  <c r="AG12" i="1"/>
  <c r="AJ18" i="1"/>
  <c r="AG10" i="1"/>
  <c r="AH18" i="1"/>
  <c r="J6" i="1"/>
  <c r="AG15" i="1"/>
  <c r="AJ14" i="1"/>
  <c r="AH12" i="1"/>
  <c r="AG8" i="1"/>
  <c r="AF8" i="1"/>
  <c r="AJ12" i="1"/>
  <c r="AK16" i="1"/>
  <c r="AH10" i="1"/>
  <c r="AF12" i="1"/>
  <c r="AH16" i="1"/>
  <c r="AK17" i="1"/>
  <c r="AJ6" i="1"/>
  <c r="AG6" i="1"/>
  <c r="AK12" i="1"/>
  <c r="AH11" i="1"/>
  <c r="AF10" i="1"/>
  <c r="AG11" i="1"/>
  <c r="AH6" i="1"/>
  <c r="AF18" i="1"/>
  <c r="AI11" i="1"/>
  <c r="AF16" i="1"/>
  <c r="AF11" i="1"/>
  <c r="AK6" i="1"/>
  <c r="AI7" i="1"/>
  <c r="AF14" i="1"/>
  <c r="I6" i="1"/>
  <c r="AI9" i="1"/>
  <c r="AH9" i="1"/>
  <c r="AG13" i="1"/>
  <c r="AF15" i="1"/>
  <c r="AG19" i="1"/>
  <c r="AK7" i="1"/>
  <c r="AK11" i="1"/>
  <c r="AH17" i="1"/>
  <c r="AF6" i="1"/>
  <c r="AK14" i="1"/>
  <c r="AI10" i="1"/>
  <c r="AI17" i="1"/>
  <c r="AF13" i="1"/>
  <c r="G6" i="1"/>
  <c r="AK8" i="1"/>
  <c r="AH8" i="1"/>
  <c r="AI12" i="1"/>
  <c r="AG16" i="1"/>
  <c r="AI13" i="1"/>
  <c r="AF9" i="1"/>
  <c r="AF7" i="1"/>
  <c r="AG9" i="1"/>
  <c r="AI18" i="1"/>
  <c r="AJ13" i="1"/>
  <c r="AH7" i="1"/>
  <c r="AH13" i="1"/>
  <c r="AF17" i="1"/>
  <c r="AF19" i="1"/>
  <c r="AK19" i="1"/>
  <c r="AJ15" i="1"/>
  <c r="AJ7" i="1"/>
  <c r="AJ11" i="1"/>
  <c r="AJ8" i="1"/>
  <c r="AH15" i="1"/>
  <c r="AI6" i="1"/>
  <c r="AJ9" i="1"/>
  <c r="AI14" i="1"/>
  <c r="AH19" i="1"/>
  <c r="AK15" i="1"/>
  <c r="AK13" i="1"/>
  <c r="AI19" i="1"/>
  <c r="AI15" i="1"/>
  <c r="AG14" i="1"/>
  <c r="AG17" i="1"/>
  <c r="AH14" i="1"/>
  <c r="AK18" i="1"/>
  <c r="AI8" i="1"/>
  <c r="AG7" i="1"/>
  <c r="AK10" i="1"/>
  <c r="AJ19" i="1"/>
  <c r="AJ16" i="1"/>
  <c r="AK9" i="1"/>
  <c r="AJ17" i="1"/>
  <c r="AG18" i="1"/>
  <c r="H6" i="1"/>
  <c r="AI16" i="1"/>
  <c r="AJ10" i="1"/>
  <c r="K6" i="1"/>
  <c r="G3" i="1" l="1"/>
  <c r="AI3" i="1"/>
  <c r="AK3" i="1"/>
  <c r="K3" i="1"/>
  <c r="I3" i="1"/>
  <c r="AG3" i="1"/>
  <c r="BQ19" i="1"/>
  <c r="BB19" i="1"/>
  <c r="BB18" i="1"/>
  <c r="BQ18" i="1"/>
  <c r="BQ15" i="1"/>
  <c r="BB15" i="1"/>
  <c r="BB17" i="1"/>
  <c r="BQ17" i="1"/>
  <c r="N8" i="1"/>
  <c r="N7" i="1"/>
  <c r="N17" i="1"/>
  <c r="N9" i="1"/>
  <c r="N18" i="1"/>
  <c r="N11" i="1"/>
  <c r="N13" i="1"/>
  <c r="N6" i="1"/>
  <c r="N10" i="1"/>
  <c r="N19" i="1"/>
  <c r="N12" i="1"/>
  <c r="N16" i="1"/>
  <c r="N15" i="1"/>
  <c r="N14" i="1"/>
  <c r="AP19" i="1"/>
  <c r="AP10" i="1"/>
  <c r="AP15" i="1"/>
  <c r="AP16" i="1"/>
  <c r="AP9" i="1"/>
  <c r="AP8" i="1"/>
  <c r="AP13" i="1"/>
  <c r="AP18" i="1"/>
  <c r="AP6" i="1"/>
  <c r="AP12" i="1"/>
  <c r="AP17" i="1"/>
  <c r="AP11" i="1"/>
  <c r="AP7" i="1"/>
  <c r="AP14" i="1"/>
  <c r="BG5" i="1"/>
  <c r="BC3" i="1"/>
  <c r="BP19" i="1" s="1"/>
  <c r="BL5" i="1"/>
  <c r="BJ5" i="1"/>
  <c r="BI5" i="1"/>
  <c r="BH5" i="1"/>
  <c r="BF5" i="1"/>
  <c r="BE5" i="1"/>
  <c r="R6" i="1"/>
  <c r="F6" i="1"/>
  <c r="BP17" i="1" l="1"/>
  <c r="BP15" i="1"/>
  <c r="BP18" i="1"/>
  <c r="R3" i="1"/>
  <c r="P6" i="1"/>
  <c r="BK5" i="1"/>
  <c r="AR17" i="1"/>
  <c r="AR25" i="1"/>
  <c r="AR40" i="1"/>
  <c r="AR55" i="1"/>
  <c r="AR9" i="1"/>
  <c r="AR6" i="1"/>
  <c r="AR11" i="1"/>
  <c r="AR45" i="1"/>
  <c r="AR47" i="1"/>
  <c r="AR58" i="1"/>
  <c r="AR62" i="1"/>
  <c r="AR13" i="1"/>
  <c r="AR54" i="1"/>
  <c r="AR52" i="1"/>
  <c r="AR48" i="1"/>
  <c r="AR35" i="1"/>
  <c r="AR18" i="1"/>
  <c r="AR53" i="1"/>
  <c r="AR27" i="1"/>
  <c r="AR46" i="1"/>
  <c r="AR36" i="1"/>
  <c r="AR16" i="1"/>
  <c r="AR30" i="1"/>
  <c r="AR44" i="1"/>
  <c r="AR20" i="1"/>
  <c r="AR50" i="1"/>
  <c r="AR29" i="1"/>
  <c r="AR37" i="1"/>
  <c r="AR32" i="1"/>
  <c r="AR34" i="1"/>
  <c r="AR57" i="1"/>
  <c r="AR21" i="1"/>
  <c r="AR41" i="1"/>
  <c r="AR59" i="1"/>
  <c r="AR23" i="1"/>
  <c r="AR39" i="1"/>
  <c r="AR33" i="1"/>
  <c r="AR8" i="1"/>
  <c r="AR61" i="1"/>
  <c r="AR22" i="1"/>
  <c r="AR15" i="1"/>
  <c r="AR56" i="1"/>
  <c r="AR10" i="1"/>
  <c r="AR38" i="1"/>
  <c r="AR26" i="1"/>
  <c r="AR51" i="1"/>
  <c r="AR49" i="1"/>
  <c r="AR7" i="1"/>
  <c r="AR12" i="1"/>
  <c r="AR14" i="1"/>
  <c r="AR28" i="1"/>
  <c r="AR31" i="1"/>
  <c r="AR24" i="1"/>
  <c r="AR43" i="1"/>
  <c r="AR42" i="1"/>
  <c r="AR60" i="1"/>
  <c r="AR19" i="1"/>
  <c r="AR3" i="1" l="1"/>
  <c r="BQ60" i="1"/>
  <c r="BQ44" i="1"/>
  <c r="BQ28" i="1"/>
  <c r="BP52" i="1"/>
  <c r="BP36" i="1"/>
  <c r="BP20" i="1"/>
  <c r="BO60" i="1"/>
  <c r="BO44" i="1"/>
  <c r="BO28" i="1"/>
  <c r="BN54" i="1"/>
  <c r="BN38" i="1"/>
  <c r="BN22" i="1"/>
  <c r="BQ47" i="1"/>
  <c r="BQ31" i="1"/>
  <c r="BP51" i="1"/>
  <c r="BP35" i="1"/>
  <c r="BO55" i="1"/>
  <c r="BO39" i="1"/>
  <c r="BO23" i="1"/>
  <c r="BN49" i="1"/>
  <c r="BN33" i="1"/>
  <c r="BD52" i="1"/>
  <c r="BD36" i="1"/>
  <c r="BD20" i="1"/>
  <c r="BC62" i="1"/>
  <c r="BC46" i="1"/>
  <c r="BC30" i="1"/>
  <c r="BB56" i="1"/>
  <c r="BB40" i="1"/>
  <c r="BB24" i="1"/>
  <c r="BA48" i="1"/>
  <c r="BA32" i="1"/>
  <c r="BD57" i="1"/>
  <c r="BD41" i="1"/>
  <c r="BD25" i="1"/>
  <c r="BC51" i="1"/>
  <c r="BC35" i="1"/>
  <c r="BB61" i="1"/>
  <c r="BB45" i="1"/>
  <c r="BB29" i="1"/>
  <c r="BA49" i="1"/>
  <c r="BA33" i="1"/>
  <c r="BQ58" i="1"/>
  <c r="BQ42" i="1"/>
  <c r="BQ26" i="1"/>
  <c r="BP50" i="1"/>
  <c r="BP34" i="1"/>
  <c r="BO58" i="1"/>
  <c r="BO42" i="1"/>
  <c r="BO26" i="1"/>
  <c r="BN52" i="1"/>
  <c r="BN36" i="1"/>
  <c r="BN20" i="1"/>
  <c r="BQ61" i="1"/>
  <c r="BQ45" i="1"/>
  <c r="BQ29" i="1"/>
  <c r="BP49" i="1"/>
  <c r="BP33" i="1"/>
  <c r="BO53" i="1"/>
  <c r="BO37" i="1"/>
  <c r="BO21" i="1"/>
  <c r="BN47" i="1"/>
  <c r="BN31" i="1"/>
  <c r="BD50" i="1"/>
  <c r="BD34" i="1"/>
  <c r="BC60" i="1"/>
  <c r="BC44" i="1"/>
  <c r="BC28" i="1"/>
  <c r="BB54" i="1"/>
  <c r="BB38" i="1"/>
  <c r="BB22" i="1"/>
  <c r="BA62" i="1"/>
  <c r="BA46" i="1"/>
  <c r="BA30" i="1"/>
  <c r="BD55" i="1"/>
  <c r="BD39" i="1"/>
  <c r="BD23" i="1"/>
  <c r="BC49" i="1"/>
  <c r="BC33" i="1"/>
  <c r="BB59" i="1"/>
  <c r="BB43" i="1"/>
  <c r="BB27" i="1"/>
  <c r="BA47" i="1"/>
  <c r="BA31" i="1"/>
  <c r="BQ56" i="1"/>
  <c r="BQ40" i="1"/>
  <c r="BQ24" i="1"/>
  <c r="BP48" i="1"/>
  <c r="BP32" i="1"/>
  <c r="BO56" i="1"/>
  <c r="BO40" i="1"/>
  <c r="BO24" i="1"/>
  <c r="BN50" i="1"/>
  <c r="BN34" i="1"/>
  <c r="BQ59" i="1"/>
  <c r="BQ43" i="1"/>
  <c r="BQ27" i="1"/>
  <c r="BP47" i="1"/>
  <c r="BP31" i="1"/>
  <c r="BO51" i="1"/>
  <c r="BO35" i="1"/>
  <c r="BN61" i="1"/>
  <c r="BN45" i="1"/>
  <c r="BN29" i="1"/>
  <c r="BD48" i="1"/>
  <c r="BD32" i="1"/>
  <c r="BC58" i="1"/>
  <c r="BC42" i="1"/>
  <c r="BC26" i="1"/>
  <c r="BB52" i="1"/>
  <c r="BB36" i="1"/>
  <c r="BB20" i="1"/>
  <c r="BA60" i="1"/>
  <c r="BA44" i="1"/>
  <c r="BA28" i="1"/>
  <c r="BD53" i="1"/>
  <c r="BD37" i="1"/>
  <c r="BD21" i="1"/>
  <c r="BC47" i="1"/>
  <c r="BC31" i="1"/>
  <c r="BB57" i="1"/>
  <c r="BB41" i="1"/>
  <c r="BB25" i="1"/>
  <c r="BA61" i="1"/>
  <c r="BA45" i="1"/>
  <c r="BA29" i="1"/>
  <c r="BQ54" i="1"/>
  <c r="BQ38" i="1"/>
  <c r="BQ22" i="1"/>
  <c r="BP62" i="1"/>
  <c r="BP46" i="1"/>
  <c r="BP30" i="1"/>
  <c r="BO54" i="1"/>
  <c r="BO38" i="1"/>
  <c r="BO22" i="1"/>
  <c r="BN48" i="1"/>
  <c r="BN32" i="1"/>
  <c r="BQ57" i="1"/>
  <c r="BQ41" i="1"/>
  <c r="BQ25" i="1"/>
  <c r="BP61" i="1"/>
  <c r="BP45" i="1"/>
  <c r="BP29" i="1"/>
  <c r="BO49" i="1"/>
  <c r="BO33" i="1"/>
  <c r="BN59" i="1"/>
  <c r="BN43" i="1"/>
  <c r="BN27" i="1"/>
  <c r="BD62" i="1"/>
  <c r="BD46" i="1"/>
  <c r="BD30" i="1"/>
  <c r="BC56" i="1"/>
  <c r="BC40" i="1"/>
  <c r="BC24" i="1"/>
  <c r="BB50" i="1"/>
  <c r="BB34" i="1"/>
  <c r="BA58" i="1"/>
  <c r="BA42" i="1"/>
  <c r="BA26" i="1"/>
  <c r="BD51" i="1"/>
  <c r="BD35" i="1"/>
  <c r="BC61" i="1"/>
  <c r="BC45" i="1"/>
  <c r="BC29" i="1"/>
  <c r="BB55" i="1"/>
  <c r="BB39" i="1"/>
  <c r="BB23" i="1"/>
  <c r="BA59" i="1"/>
  <c r="BA43" i="1"/>
  <c r="BA27" i="1"/>
  <c r="BQ52" i="1"/>
  <c r="BQ36" i="1"/>
  <c r="BQ20" i="1"/>
  <c r="BP60" i="1"/>
  <c r="BP44" i="1"/>
  <c r="BP28" i="1"/>
  <c r="BO52" i="1"/>
  <c r="BO36" i="1"/>
  <c r="BO20" i="1"/>
  <c r="BN62" i="1"/>
  <c r="BN46" i="1"/>
  <c r="BN30" i="1"/>
  <c r="BQ55" i="1"/>
  <c r="BQ39" i="1"/>
  <c r="BQ23" i="1"/>
  <c r="BP59" i="1"/>
  <c r="BP43" i="1"/>
  <c r="BP27" i="1"/>
  <c r="BO47" i="1"/>
  <c r="BO31" i="1"/>
  <c r="BN57" i="1"/>
  <c r="BN41" i="1"/>
  <c r="BN25" i="1"/>
  <c r="BD60" i="1"/>
  <c r="BD44" i="1"/>
  <c r="BD28" i="1"/>
  <c r="BC54" i="1"/>
  <c r="BC38" i="1"/>
  <c r="BC22" i="1"/>
  <c r="BB48" i="1"/>
  <c r="BB32" i="1"/>
  <c r="BA56" i="1"/>
  <c r="BA40" i="1"/>
  <c r="BA24" i="1"/>
  <c r="BD49" i="1"/>
  <c r="BD33" i="1"/>
  <c r="BC59" i="1"/>
  <c r="BC43" i="1"/>
  <c r="BC27" i="1"/>
  <c r="BB53" i="1"/>
  <c r="BB37" i="1"/>
  <c r="BB21" i="1"/>
  <c r="BA57" i="1"/>
  <c r="BA41" i="1"/>
  <c r="BA25" i="1"/>
  <c r="BQ50" i="1"/>
  <c r="BQ34" i="1"/>
  <c r="BP58" i="1"/>
  <c r="BP42" i="1"/>
  <c r="BP26" i="1"/>
  <c r="BO50" i="1"/>
  <c r="BO34" i="1"/>
  <c r="BN60" i="1"/>
  <c r="BN44" i="1"/>
  <c r="BN28" i="1"/>
  <c r="BQ53" i="1"/>
  <c r="BQ37" i="1"/>
  <c r="BQ21" i="1"/>
  <c r="BP57" i="1"/>
  <c r="BP41" i="1"/>
  <c r="BP25" i="1"/>
  <c r="BO61" i="1"/>
  <c r="BO45" i="1"/>
  <c r="BO29" i="1"/>
  <c r="BN55" i="1"/>
  <c r="BN39" i="1"/>
  <c r="BN23" i="1"/>
  <c r="BD58" i="1"/>
  <c r="BD42" i="1"/>
  <c r="BD26" i="1"/>
  <c r="BC52" i="1"/>
  <c r="BC36" i="1"/>
  <c r="BC20" i="1"/>
  <c r="BB62" i="1"/>
  <c r="BB46" i="1"/>
  <c r="BB30" i="1"/>
  <c r="BA54" i="1"/>
  <c r="BA38" i="1"/>
  <c r="BA22" i="1"/>
  <c r="BD47" i="1"/>
  <c r="BD31" i="1"/>
  <c r="BC57" i="1"/>
  <c r="BC41" i="1"/>
  <c r="BC25" i="1"/>
  <c r="BB51" i="1"/>
  <c r="BB35" i="1"/>
  <c r="BA55" i="1"/>
  <c r="BA39" i="1"/>
  <c r="BA23" i="1"/>
  <c r="BQ48" i="1"/>
  <c r="BQ32" i="1"/>
  <c r="BP56" i="1"/>
  <c r="BP40" i="1"/>
  <c r="BP24" i="1"/>
  <c r="BO48" i="1"/>
  <c r="BO32" i="1"/>
  <c r="BN58" i="1"/>
  <c r="BN42" i="1"/>
  <c r="BN26" i="1"/>
  <c r="BQ51" i="1"/>
  <c r="BQ35" i="1"/>
  <c r="BP55" i="1"/>
  <c r="BP39" i="1"/>
  <c r="BP23" i="1"/>
  <c r="BO59" i="1"/>
  <c r="BO43" i="1"/>
  <c r="BO27" i="1"/>
  <c r="BN53" i="1"/>
  <c r="BN37" i="1"/>
  <c r="BN21" i="1"/>
  <c r="BD56" i="1"/>
  <c r="BD40" i="1"/>
  <c r="BD24" i="1"/>
  <c r="BC50" i="1"/>
  <c r="BC34" i="1"/>
  <c r="BB60" i="1"/>
  <c r="BB44" i="1"/>
  <c r="BB28" i="1"/>
  <c r="BA52" i="1"/>
  <c r="BA36" i="1"/>
  <c r="BA20" i="1"/>
  <c r="BD61" i="1"/>
  <c r="BD45" i="1"/>
  <c r="BD29" i="1"/>
  <c r="BC55" i="1"/>
  <c r="BC39" i="1"/>
  <c r="BC23" i="1"/>
  <c r="BB49" i="1"/>
  <c r="BB33" i="1"/>
  <c r="BA53" i="1"/>
  <c r="BA37" i="1"/>
  <c r="BA21" i="1"/>
  <c r="BQ62" i="1"/>
  <c r="BQ46" i="1"/>
  <c r="BQ30" i="1"/>
  <c r="BP54" i="1"/>
  <c r="BP38" i="1"/>
  <c r="BP22" i="1"/>
  <c r="BO62" i="1"/>
  <c r="BO46" i="1"/>
  <c r="BO30" i="1"/>
  <c r="BN56" i="1"/>
  <c r="BN40" i="1"/>
  <c r="BN24" i="1"/>
  <c r="BQ49" i="1"/>
  <c r="BQ33" i="1"/>
  <c r="BP53" i="1"/>
  <c r="BP37" i="1"/>
  <c r="BP21" i="1"/>
  <c r="BO57" i="1"/>
  <c r="BO41" i="1"/>
  <c r="BO25" i="1"/>
  <c r="BN51" i="1"/>
  <c r="BN35" i="1"/>
  <c r="BD54" i="1"/>
  <c r="BD38" i="1"/>
  <c r="BD22" i="1"/>
  <c r="BC48" i="1"/>
  <c r="BC32" i="1"/>
  <c r="BB58" i="1"/>
  <c r="BB42" i="1"/>
  <c r="BB26" i="1"/>
  <c r="BA50" i="1"/>
  <c r="BA34" i="1"/>
  <c r="BD59" i="1"/>
  <c r="BD43" i="1"/>
  <c r="BD27" i="1"/>
  <c r="BC53" i="1"/>
  <c r="BC37" i="1"/>
  <c r="BC21" i="1"/>
  <c r="BB47" i="1"/>
  <c r="BB31" i="1"/>
  <c r="BA51" i="1"/>
  <c r="BA35" i="1"/>
  <c r="BB7" i="1"/>
  <c r="BN19" i="1"/>
  <c r="BO16" i="1"/>
  <c r="BC15" i="1"/>
  <c r="BA8" i="1"/>
  <c r="BD10" i="1"/>
  <c r="BA15" i="1"/>
  <c r="BA16" i="1"/>
  <c r="BA12" i="1"/>
  <c r="BN17" i="1"/>
  <c r="BC19" i="1"/>
  <c r="BQ7" i="1"/>
  <c r="BA19" i="1"/>
  <c r="BC16" i="1"/>
  <c r="BO15" i="1"/>
  <c r="BN8" i="1"/>
  <c r="BP14" i="1"/>
  <c r="BC11" i="1"/>
  <c r="BN16" i="1"/>
  <c r="BN12" i="1"/>
  <c r="BA17" i="1"/>
  <c r="BO19" i="1"/>
  <c r="BD16" i="1"/>
  <c r="BB9" i="1"/>
  <c r="BP7" i="1"/>
  <c r="BA10" i="1"/>
  <c r="BN13" i="1"/>
  <c r="BC17" i="1"/>
  <c r="BD15" i="1"/>
  <c r="BA14" i="1"/>
  <c r="BB14" i="1"/>
  <c r="BO11" i="1"/>
  <c r="BP12" i="1"/>
  <c r="BQ10" i="1"/>
  <c r="BC13" i="1"/>
  <c r="BO12" i="1"/>
  <c r="BD19" i="1"/>
  <c r="BQ11" i="1"/>
  <c r="BN18" i="1"/>
  <c r="BN10" i="1"/>
  <c r="BA13" i="1"/>
  <c r="BO17" i="1"/>
  <c r="BN11" i="1"/>
  <c r="BN14" i="1"/>
  <c r="BQ14" i="1"/>
  <c r="BD11" i="1"/>
  <c r="BB12" i="1"/>
  <c r="BP10" i="1"/>
  <c r="BO13" i="1"/>
  <c r="BC12" i="1"/>
  <c r="BN7" i="1"/>
  <c r="BP11" i="1"/>
  <c r="BQ13" i="1"/>
  <c r="BA18" i="1"/>
  <c r="BO6" i="1"/>
  <c r="BP16" i="1"/>
  <c r="BD17" i="1"/>
  <c r="BA11" i="1"/>
  <c r="BN9" i="1"/>
  <c r="BD18" i="1"/>
  <c r="BQ12" i="1"/>
  <c r="BB10" i="1"/>
  <c r="BD13" i="1"/>
  <c r="BD12" i="1"/>
  <c r="BA7" i="1"/>
  <c r="BB11" i="1"/>
  <c r="BQ9" i="1"/>
  <c r="BC7" i="1"/>
  <c r="BN15" i="1"/>
  <c r="BO9" i="1"/>
  <c r="BQ8" i="1"/>
  <c r="BD6" i="1"/>
  <c r="BB16" i="1"/>
  <c r="BO7" i="1"/>
  <c r="BO8" i="1"/>
  <c r="BA9" i="1"/>
  <c r="BO18" i="1"/>
  <c r="BP13" i="1"/>
  <c r="BD9" i="1"/>
  <c r="BC14" i="1"/>
  <c r="BB6" i="1"/>
  <c r="BB8" i="1"/>
  <c r="BD8" i="1"/>
  <c r="BO14" i="1"/>
  <c r="BP8" i="1"/>
  <c r="BC6" i="1"/>
  <c r="BQ16" i="1"/>
  <c r="BD7" i="1"/>
  <c r="BC8" i="1"/>
  <c r="BO10" i="1"/>
  <c r="BC18" i="1"/>
  <c r="BB13" i="1"/>
  <c r="BC9" i="1"/>
  <c r="BD14" i="1"/>
  <c r="BP9" i="1"/>
  <c r="BQ6" i="1"/>
  <c r="BC10" i="1"/>
  <c r="BP6" i="1"/>
  <c r="BN6" i="1"/>
  <c r="BA6" i="1"/>
  <c r="AM28" i="1"/>
  <c r="AO28" i="1" s="1"/>
  <c r="AQ28" i="1" s="1"/>
  <c r="AM31" i="1"/>
  <c r="AO31" i="1" s="1"/>
  <c r="AQ31" i="1" s="1"/>
  <c r="AM25" i="1"/>
  <c r="AO25" i="1" s="1"/>
  <c r="AQ25" i="1" s="1"/>
  <c r="AM21" i="1"/>
  <c r="AO21" i="1" s="1"/>
  <c r="AQ21" i="1" s="1"/>
  <c r="AM24" i="1"/>
  <c r="AO24" i="1" s="1"/>
  <c r="AQ24" i="1" s="1"/>
  <c r="AM39" i="1"/>
  <c r="AO39" i="1" s="1"/>
  <c r="AQ39" i="1" s="1"/>
  <c r="AM42" i="1"/>
  <c r="AO42" i="1" s="1"/>
  <c r="AQ42" i="1" s="1"/>
  <c r="AM49" i="1"/>
  <c r="AO49" i="1" s="1"/>
  <c r="AQ49" i="1" s="1"/>
  <c r="AM60" i="1"/>
  <c r="AO60" i="1" s="1"/>
  <c r="AQ60" i="1" s="1"/>
  <c r="AM53" i="1"/>
  <c r="AO53" i="1" s="1"/>
  <c r="AQ53" i="1" s="1"/>
  <c r="AM57" i="1"/>
  <c r="AO57" i="1" s="1"/>
  <c r="AQ57" i="1" s="1"/>
  <c r="AM50" i="1"/>
  <c r="AO50" i="1" s="1"/>
  <c r="AQ50" i="1" s="1"/>
  <c r="AM54" i="1"/>
  <c r="AO54" i="1" s="1"/>
  <c r="AQ54" i="1" s="1"/>
  <c r="AM32" i="1"/>
  <c r="AO32" i="1" s="1"/>
  <c r="AQ32" i="1" s="1"/>
  <c r="AM27" i="1"/>
  <c r="AO27" i="1" s="1"/>
  <c r="AQ27" i="1" s="1"/>
  <c r="AM26" i="1"/>
  <c r="AO26" i="1" s="1"/>
  <c r="AQ26" i="1" s="1"/>
  <c r="AM36" i="1"/>
  <c r="AO36" i="1" s="1"/>
  <c r="AQ36" i="1" s="1"/>
  <c r="AM47" i="1"/>
  <c r="AO47" i="1" s="1"/>
  <c r="AQ47" i="1" s="1"/>
  <c r="AM41" i="1"/>
  <c r="AO41" i="1" s="1"/>
  <c r="AQ41" i="1" s="1"/>
  <c r="AM44" i="1"/>
  <c r="AO44" i="1" s="1"/>
  <c r="AQ44" i="1" s="1"/>
  <c r="AM48" i="1"/>
  <c r="AO48" i="1" s="1"/>
  <c r="AQ48" i="1" s="1"/>
  <c r="AM58" i="1"/>
  <c r="AO58" i="1" s="1"/>
  <c r="AQ58" i="1" s="1"/>
  <c r="AM61" i="1"/>
  <c r="AO61" i="1" s="1"/>
  <c r="AQ61" i="1" s="1"/>
  <c r="AM52" i="1"/>
  <c r="AO52" i="1" s="1"/>
  <c r="AQ52" i="1" s="1"/>
  <c r="AM23" i="1"/>
  <c r="AO23" i="1" s="1"/>
  <c r="AQ23" i="1" s="1"/>
  <c r="AM30" i="1"/>
  <c r="AO30" i="1" s="1"/>
  <c r="AQ30" i="1" s="1"/>
  <c r="AM45" i="1"/>
  <c r="AO45" i="1" s="1"/>
  <c r="AQ45" i="1" s="1"/>
  <c r="AM51" i="1"/>
  <c r="AO51" i="1" s="1"/>
  <c r="AQ51" i="1" s="1"/>
  <c r="AM62" i="1"/>
  <c r="AO62" i="1" s="1"/>
  <c r="AQ62" i="1" s="1"/>
  <c r="AM55" i="1"/>
  <c r="AO55" i="1" s="1"/>
  <c r="AQ55" i="1" s="1"/>
  <c r="AM33" i="1"/>
  <c r="AO33" i="1" s="1"/>
  <c r="AQ33" i="1" s="1"/>
  <c r="AM20" i="1"/>
  <c r="AO20" i="1" s="1"/>
  <c r="AQ20" i="1" s="1"/>
  <c r="AM43" i="1"/>
  <c r="AO43" i="1" s="1"/>
  <c r="AQ43" i="1" s="1"/>
  <c r="AM40" i="1"/>
  <c r="AO40" i="1" s="1"/>
  <c r="AQ40" i="1" s="1"/>
  <c r="AM46" i="1"/>
  <c r="AO46" i="1" s="1"/>
  <c r="AQ46" i="1" s="1"/>
  <c r="AM35" i="1"/>
  <c r="AO35" i="1" s="1"/>
  <c r="AQ35" i="1" s="1"/>
  <c r="AM38" i="1"/>
  <c r="AO38" i="1" s="1"/>
  <c r="AQ38" i="1" s="1"/>
  <c r="AM22" i="1"/>
  <c r="AO22" i="1" s="1"/>
  <c r="AQ22" i="1" s="1"/>
  <c r="AM34" i="1"/>
  <c r="AO34" i="1" s="1"/>
  <c r="AQ34" i="1" s="1"/>
  <c r="AM37" i="1"/>
  <c r="AO37" i="1" s="1"/>
  <c r="AQ37" i="1" s="1"/>
  <c r="AM29" i="1"/>
  <c r="AO29" i="1" s="1"/>
  <c r="AQ29" i="1" s="1"/>
  <c r="AM56" i="1"/>
  <c r="AO56" i="1" s="1"/>
  <c r="AQ56" i="1" s="1"/>
  <c r="AM59" i="1"/>
  <c r="AO59" i="1" s="1"/>
  <c r="AQ59" i="1" s="1"/>
  <c r="M24" i="1"/>
  <c r="O24" i="1" s="1"/>
  <c r="Q24" i="1" s="1"/>
  <c r="M28" i="1"/>
  <c r="O28" i="1" s="1"/>
  <c r="Q28" i="1" s="1"/>
  <c r="M32" i="1"/>
  <c r="O32" i="1" s="1"/>
  <c r="Q32" i="1" s="1"/>
  <c r="M22" i="1"/>
  <c r="O22" i="1" s="1"/>
  <c r="Q22" i="1" s="1"/>
  <c r="M25" i="1"/>
  <c r="O25" i="1" s="1"/>
  <c r="Q25" i="1" s="1"/>
  <c r="M45" i="1"/>
  <c r="O45" i="1" s="1"/>
  <c r="Q45" i="1" s="1"/>
  <c r="M35" i="1"/>
  <c r="O35" i="1" s="1"/>
  <c r="Q35" i="1" s="1"/>
  <c r="M55" i="1"/>
  <c r="O55" i="1" s="1"/>
  <c r="Q55" i="1" s="1"/>
  <c r="M41" i="1"/>
  <c r="O41" i="1" s="1"/>
  <c r="Q41" i="1" s="1"/>
  <c r="M30" i="1"/>
  <c r="O30" i="1" s="1"/>
  <c r="Q30" i="1" s="1"/>
  <c r="M42" i="1"/>
  <c r="O42" i="1" s="1"/>
  <c r="Q42" i="1" s="1"/>
  <c r="M54" i="1"/>
  <c r="O54" i="1" s="1"/>
  <c r="Q54" i="1" s="1"/>
  <c r="M43" i="1"/>
  <c r="O43" i="1" s="1"/>
  <c r="Q43" i="1" s="1"/>
  <c r="M50" i="1"/>
  <c r="O50" i="1" s="1"/>
  <c r="Q50" i="1" s="1"/>
  <c r="M39" i="1"/>
  <c r="O39" i="1" s="1"/>
  <c r="Q39" i="1" s="1"/>
  <c r="M20" i="1"/>
  <c r="O20" i="1" s="1"/>
  <c r="Q20" i="1" s="1"/>
  <c r="M62" i="1"/>
  <c r="O62" i="1" s="1"/>
  <c r="Q62" i="1" s="1"/>
  <c r="M52" i="1"/>
  <c r="O52" i="1" s="1"/>
  <c r="Q52" i="1" s="1"/>
  <c r="M49" i="1"/>
  <c r="O49" i="1" s="1"/>
  <c r="Q49" i="1" s="1"/>
  <c r="M51" i="1"/>
  <c r="O51" i="1" s="1"/>
  <c r="Q51" i="1" s="1"/>
  <c r="M34" i="1"/>
  <c r="O34" i="1" s="1"/>
  <c r="Q34" i="1" s="1"/>
  <c r="M58" i="1"/>
  <c r="O58" i="1" s="1"/>
  <c r="Q58" i="1" s="1"/>
  <c r="M47" i="1"/>
  <c r="O47" i="1" s="1"/>
  <c r="Q47" i="1" s="1"/>
  <c r="M37" i="1"/>
  <c r="O37" i="1" s="1"/>
  <c r="Q37" i="1" s="1"/>
  <c r="M23" i="1"/>
  <c r="O23" i="1" s="1"/>
  <c r="Q23" i="1" s="1"/>
  <c r="M60" i="1"/>
  <c r="O60" i="1" s="1"/>
  <c r="Q60" i="1" s="1"/>
  <c r="M61" i="1"/>
  <c r="O61" i="1" s="1"/>
  <c r="Q61" i="1" s="1"/>
  <c r="M57" i="1"/>
  <c r="O57" i="1" s="1"/>
  <c r="Q57" i="1" s="1"/>
  <c r="M44" i="1"/>
  <c r="O44" i="1" s="1"/>
  <c r="Q44" i="1" s="1"/>
  <c r="M26" i="1"/>
  <c r="O26" i="1" s="1"/>
  <c r="Q26" i="1" s="1"/>
  <c r="M33" i="1"/>
  <c r="O33" i="1" s="1"/>
  <c r="Q33" i="1" s="1"/>
  <c r="M27" i="1"/>
  <c r="O27" i="1" s="1"/>
  <c r="Q27" i="1" s="1"/>
  <c r="M56" i="1"/>
  <c r="O56" i="1" s="1"/>
  <c r="Q56" i="1" s="1"/>
  <c r="M31" i="1"/>
  <c r="O31" i="1" s="1"/>
  <c r="Q31" i="1" s="1"/>
  <c r="M40" i="1"/>
  <c r="O40" i="1" s="1"/>
  <c r="Q40" i="1" s="1"/>
  <c r="M46" i="1"/>
  <c r="O46" i="1" s="1"/>
  <c r="Q46" i="1" s="1"/>
  <c r="M21" i="1"/>
  <c r="O21" i="1" s="1"/>
  <c r="Q21" i="1" s="1"/>
  <c r="M59" i="1"/>
  <c r="O59" i="1" s="1"/>
  <c r="Q59" i="1" s="1"/>
  <c r="M29" i="1"/>
  <c r="O29" i="1" s="1"/>
  <c r="Q29" i="1" s="1"/>
  <c r="M53" i="1"/>
  <c r="O53" i="1" s="1"/>
  <c r="Q53" i="1" s="1"/>
  <c r="M36" i="1"/>
  <c r="O36" i="1" s="1"/>
  <c r="Q36" i="1" s="1"/>
  <c r="M48" i="1"/>
  <c r="O48" i="1" s="1"/>
  <c r="Q48" i="1" s="1"/>
  <c r="M38" i="1"/>
  <c r="O38" i="1" s="1"/>
  <c r="Q38" i="1" s="1"/>
  <c r="M15" i="1"/>
  <c r="O15" i="1" s="1"/>
  <c r="Q15" i="1" s="1"/>
  <c r="M6" i="1"/>
  <c r="O6" i="1" s="1"/>
  <c r="Q6" i="1" s="1"/>
  <c r="M16" i="1"/>
  <c r="O16" i="1" s="1"/>
  <c r="Q16" i="1" s="1"/>
  <c r="M18" i="1"/>
  <c r="O18" i="1" s="1"/>
  <c r="Q18" i="1" s="1"/>
  <c r="BF18" i="1" s="1"/>
  <c r="M8" i="1"/>
  <c r="O8" i="1" s="1"/>
  <c r="Q8" i="1" s="1"/>
  <c r="M7" i="1"/>
  <c r="O7" i="1" s="1"/>
  <c r="Q7" i="1" s="1"/>
  <c r="M13" i="1"/>
  <c r="O13" i="1" s="1"/>
  <c r="Q13" i="1" s="1"/>
  <c r="M19" i="1"/>
  <c r="O19" i="1" s="1"/>
  <c r="Q19" i="1" s="1"/>
  <c r="BF19" i="1" s="1"/>
  <c r="M14" i="1"/>
  <c r="O14" i="1" s="1"/>
  <c r="Q14" i="1" s="1"/>
  <c r="M11" i="1"/>
  <c r="O11" i="1" s="1"/>
  <c r="Q11" i="1" s="1"/>
  <c r="M10" i="1"/>
  <c r="O10" i="1" s="1"/>
  <c r="Q10" i="1" s="1"/>
  <c r="M12" i="1"/>
  <c r="O12" i="1" s="1"/>
  <c r="Q12" i="1" s="1"/>
  <c r="M9" i="1"/>
  <c r="O9" i="1" s="1"/>
  <c r="Q9" i="1" s="1"/>
  <c r="M17" i="1"/>
  <c r="O17" i="1" s="1"/>
  <c r="Q17" i="1" s="1"/>
  <c r="AN6" i="1"/>
  <c r="AN18" i="1"/>
  <c r="AN7" i="1"/>
  <c r="AN13" i="1"/>
  <c r="AN8" i="1"/>
  <c r="AN12" i="1"/>
  <c r="AN19" i="1"/>
  <c r="AN17" i="1"/>
  <c r="AN9" i="1"/>
  <c r="AN14" i="1"/>
  <c r="AN15" i="1"/>
  <c r="AN16" i="1"/>
  <c r="AN11" i="1"/>
  <c r="AN10" i="1"/>
  <c r="AM8" i="1"/>
  <c r="AM12" i="1"/>
  <c r="AO12" i="1" s="1"/>
  <c r="AQ12" i="1" s="1"/>
  <c r="AM7" i="1"/>
  <c r="AO7" i="1" s="1"/>
  <c r="AQ7" i="1" s="1"/>
  <c r="AM13" i="1"/>
  <c r="AO13" i="1" s="1"/>
  <c r="AQ13" i="1" s="1"/>
  <c r="AM6" i="1"/>
  <c r="AM16" i="1"/>
  <c r="AO16" i="1" s="1"/>
  <c r="AQ16" i="1" s="1"/>
  <c r="AM15" i="1"/>
  <c r="AO15" i="1" s="1"/>
  <c r="AQ15" i="1" s="1"/>
  <c r="AM19" i="1"/>
  <c r="AM10" i="1"/>
  <c r="AM9" i="1"/>
  <c r="AM14" i="1"/>
  <c r="AO14" i="1" s="1"/>
  <c r="AQ14" i="1" s="1"/>
  <c r="AM11" i="1"/>
  <c r="AO11" i="1" s="1"/>
  <c r="AQ11" i="1" s="1"/>
  <c r="AM18" i="1"/>
  <c r="AM17" i="1"/>
  <c r="AO17" i="1" s="1"/>
  <c r="AQ17" i="1" s="1"/>
  <c r="BT44" i="1" l="1"/>
  <c r="BX44" i="1" s="1"/>
  <c r="BT46" i="1"/>
  <c r="BX46" i="1" s="1"/>
  <c r="BT45" i="1"/>
  <c r="BX45" i="1" s="1"/>
  <c r="BT50" i="1"/>
  <c r="BX50" i="1" s="1"/>
  <c r="BT41" i="1"/>
  <c r="BX41" i="1" s="1"/>
  <c r="BT56" i="1"/>
  <c r="BX56" i="1" s="1"/>
  <c r="BT43" i="1"/>
  <c r="BX43" i="1" s="1"/>
  <c r="BT62" i="1"/>
  <c r="BX62" i="1" s="1"/>
  <c r="BT51" i="1"/>
  <c r="BX51" i="1" s="1"/>
  <c r="BT59" i="1"/>
  <c r="BX59" i="1" s="1"/>
  <c r="BT47" i="1"/>
  <c r="BX47" i="1" s="1"/>
  <c r="BT42" i="1"/>
  <c r="BX42" i="1" s="1"/>
  <c r="BF10" i="1"/>
  <c r="BF30" i="1"/>
  <c r="BJ30" i="1" s="1"/>
  <c r="BF54" i="1"/>
  <c r="BJ54" i="1" s="1"/>
  <c r="BG10" i="1"/>
  <c r="BG30" i="1"/>
  <c r="BK30" i="1" s="1"/>
  <c r="BG54" i="1"/>
  <c r="BK54" i="1" s="1"/>
  <c r="BH10" i="1"/>
  <c r="BH30" i="1"/>
  <c r="BL30" i="1" s="1"/>
  <c r="BH54" i="1"/>
  <c r="BL54" i="1" s="1"/>
  <c r="BE11" i="1"/>
  <c r="BH33" i="1"/>
  <c r="BL33" i="1" s="1"/>
  <c r="BG58" i="1"/>
  <c r="BK58" i="1" s="1"/>
  <c r="BH15" i="1"/>
  <c r="BH36" i="1"/>
  <c r="BL36" i="1" s="1"/>
  <c r="BF62" i="1"/>
  <c r="BJ62" i="1" s="1"/>
  <c r="BF40" i="1"/>
  <c r="BJ40" i="1" s="1"/>
  <c r="BE19" i="1"/>
  <c r="BG40" i="1"/>
  <c r="BK40" i="1" s="1"/>
  <c r="BH21" i="1"/>
  <c r="BL21" i="1" s="1"/>
  <c r="BF44" i="1"/>
  <c r="BJ44" i="1" s="1"/>
  <c r="BF31" i="1"/>
  <c r="BJ31" i="1" s="1"/>
  <c r="BF47" i="1"/>
  <c r="BJ47" i="1" s="1"/>
  <c r="BG57" i="1"/>
  <c r="BK57" i="1" s="1"/>
  <c r="BE28" i="1"/>
  <c r="BI28" i="1" s="1"/>
  <c r="BE44" i="1"/>
  <c r="BI44" i="1" s="1"/>
  <c r="BE60" i="1"/>
  <c r="BI60" i="1" s="1"/>
  <c r="BE17" i="1"/>
  <c r="BF38" i="1"/>
  <c r="BJ38" i="1" s="1"/>
  <c r="BG17" i="1"/>
  <c r="BG42" i="1"/>
  <c r="BK42" i="1" s="1"/>
  <c r="BF12" i="1"/>
  <c r="BH32" i="1"/>
  <c r="BL32" i="1" s="1"/>
  <c r="BE57" i="1"/>
  <c r="BI57" i="1" s="1"/>
  <c r="BG12" i="1"/>
  <c r="BE33" i="1"/>
  <c r="BI33" i="1" s="1"/>
  <c r="BH57" i="1"/>
  <c r="BL57" i="1" s="1"/>
  <c r="BH12" i="1"/>
  <c r="BG33" i="1"/>
  <c r="BK33" i="1" s="1"/>
  <c r="BF58" i="1"/>
  <c r="BJ58" i="1" s="1"/>
  <c r="BE13" i="1"/>
  <c r="BG36" i="1"/>
  <c r="BK36" i="1" s="1"/>
  <c r="BH61" i="1"/>
  <c r="BL61" i="1" s="1"/>
  <c r="BG18" i="1"/>
  <c r="BH39" i="1"/>
  <c r="BL39" i="1" s="1"/>
  <c r="BE21" i="1"/>
  <c r="BI21" i="1" s="1"/>
  <c r="BE43" i="1"/>
  <c r="BI43" i="1" s="1"/>
  <c r="BG21" i="1"/>
  <c r="BK21" i="1" s="1"/>
  <c r="BH43" i="1"/>
  <c r="BL43" i="1" s="1"/>
  <c r="BG24" i="1"/>
  <c r="BK24" i="1" s="1"/>
  <c r="BE47" i="1"/>
  <c r="BI47" i="1" s="1"/>
  <c r="BF15" i="1"/>
  <c r="BF33" i="1"/>
  <c r="BJ33" i="1" s="1"/>
  <c r="BF49" i="1"/>
  <c r="BJ49" i="1" s="1"/>
  <c r="BG43" i="1"/>
  <c r="BK43" i="1" s="1"/>
  <c r="BG59" i="1"/>
  <c r="BK59" i="1" s="1"/>
  <c r="BE14" i="1"/>
  <c r="BE30" i="1"/>
  <c r="BI30" i="1" s="1"/>
  <c r="BE46" i="1"/>
  <c r="BI46" i="1" s="1"/>
  <c r="BE62" i="1"/>
  <c r="BI62" i="1" s="1"/>
  <c r="BT57" i="1"/>
  <c r="BX57" i="1" s="1"/>
  <c r="BG14" i="1"/>
  <c r="BG35" i="1"/>
  <c r="BK35" i="1" s="1"/>
  <c r="BG60" i="1"/>
  <c r="BK60" i="1" s="1"/>
  <c r="BH14" i="1"/>
  <c r="BH35" i="1"/>
  <c r="BL35" i="1" s="1"/>
  <c r="BH60" i="1"/>
  <c r="BL60" i="1" s="1"/>
  <c r="BE15" i="1"/>
  <c r="BF36" i="1"/>
  <c r="BJ36" i="1" s="1"/>
  <c r="BE61" i="1"/>
  <c r="BI61" i="1" s="1"/>
  <c r="BG15" i="1"/>
  <c r="BE39" i="1"/>
  <c r="BI39" i="1" s="1"/>
  <c r="BH20" i="1"/>
  <c r="BL20" i="1" s="1"/>
  <c r="BH42" i="1"/>
  <c r="BL42" i="1" s="1"/>
  <c r="BH23" i="1"/>
  <c r="BL23" i="1" s="1"/>
  <c r="BG46" i="1"/>
  <c r="BK46" i="1" s="1"/>
  <c r="BF24" i="1"/>
  <c r="BJ24" i="1" s="1"/>
  <c r="BH46" i="1"/>
  <c r="BL46" i="1" s="1"/>
  <c r="BE6" i="1"/>
  <c r="BE27" i="1"/>
  <c r="BI27" i="1" s="1"/>
  <c r="BG50" i="1"/>
  <c r="BK50" i="1" s="1"/>
  <c r="BF17" i="1"/>
  <c r="BF35" i="1"/>
  <c r="BJ35" i="1" s="1"/>
  <c r="BF51" i="1"/>
  <c r="BJ51" i="1" s="1"/>
  <c r="BG45" i="1"/>
  <c r="BK45" i="1" s="1"/>
  <c r="BG61" i="1"/>
  <c r="BK61" i="1" s="1"/>
  <c r="BE16" i="1"/>
  <c r="BE32" i="1"/>
  <c r="BI32" i="1" s="1"/>
  <c r="BE48" i="1"/>
  <c r="BI48" i="1" s="1"/>
  <c r="BG38" i="1"/>
  <c r="BK38" i="1" s="1"/>
  <c r="BH17" i="1"/>
  <c r="BH38" i="1"/>
  <c r="BL38" i="1" s="1"/>
  <c r="BG20" i="1"/>
  <c r="BK20" i="1" s="1"/>
  <c r="BG23" i="1"/>
  <c r="BK23" i="1" s="1"/>
  <c r="BF46" i="1"/>
  <c r="BJ46" i="1" s="1"/>
  <c r="BG7" i="1"/>
  <c r="BG26" i="1"/>
  <c r="BK26" i="1" s="1"/>
  <c r="BH49" i="1"/>
  <c r="BL49" i="1" s="1"/>
  <c r="BH7" i="1"/>
  <c r="BH26" i="1"/>
  <c r="BL26" i="1" s="1"/>
  <c r="BF50" i="1"/>
  <c r="BJ50" i="1" s="1"/>
  <c r="BE8" i="1"/>
  <c r="BH29" i="1"/>
  <c r="BL29" i="1" s="1"/>
  <c r="BH53" i="1"/>
  <c r="BL53" i="1" s="1"/>
  <c r="BF21" i="1"/>
  <c r="BJ21" i="1" s="1"/>
  <c r="BF37" i="1"/>
  <c r="BJ37" i="1" s="1"/>
  <c r="BF53" i="1"/>
  <c r="BJ53" i="1" s="1"/>
  <c r="BG47" i="1"/>
  <c r="BK47" i="1" s="1"/>
  <c r="BE18" i="1"/>
  <c r="BE34" i="1"/>
  <c r="BI34" i="1" s="1"/>
  <c r="BE50" i="1"/>
  <c r="BI50" i="1" s="1"/>
  <c r="BG19" i="1"/>
  <c r="BE41" i="1"/>
  <c r="BI41" i="1" s="1"/>
  <c r="BH19" i="1"/>
  <c r="BH41" i="1"/>
  <c r="BL41" i="1" s="1"/>
  <c r="BF20" i="1"/>
  <c r="BJ20" i="1" s="1"/>
  <c r="BF42" i="1"/>
  <c r="BJ42" i="1" s="1"/>
  <c r="BE23" i="1"/>
  <c r="BI23" i="1" s="1"/>
  <c r="BH45" i="1"/>
  <c r="BL45" i="1" s="1"/>
  <c r="BF7" i="1"/>
  <c r="BF26" i="1"/>
  <c r="BJ26" i="1" s="1"/>
  <c r="BE49" i="1"/>
  <c r="BI49" i="1" s="1"/>
  <c r="BG9" i="1"/>
  <c r="BE29" i="1"/>
  <c r="BI29" i="1" s="1"/>
  <c r="BH52" i="1"/>
  <c r="BL52" i="1" s="1"/>
  <c r="BH9" i="1"/>
  <c r="BG29" i="1"/>
  <c r="BK29" i="1" s="1"/>
  <c r="BE53" i="1"/>
  <c r="BI53" i="1" s="1"/>
  <c r="BE10" i="1"/>
  <c r="BG32" i="1"/>
  <c r="BK32" i="1" s="1"/>
  <c r="BH56" i="1"/>
  <c r="BL56" i="1" s="1"/>
  <c r="BF23" i="1"/>
  <c r="BJ23" i="1" s="1"/>
  <c r="BF39" i="1"/>
  <c r="BJ39" i="1" s="1"/>
  <c r="BF55" i="1"/>
  <c r="BJ55" i="1" s="1"/>
  <c r="BG49" i="1"/>
  <c r="BK49" i="1" s="1"/>
  <c r="BE20" i="1"/>
  <c r="BI20" i="1" s="1"/>
  <c r="BE36" i="1"/>
  <c r="BI36" i="1" s="1"/>
  <c r="BE52" i="1"/>
  <c r="BI52" i="1" s="1"/>
  <c r="BG41" i="1"/>
  <c r="BK41" i="1" s="1"/>
  <c r="BF22" i="1"/>
  <c r="BJ22" i="1" s="1"/>
  <c r="BG44" i="1"/>
  <c r="BK44" i="1" s="1"/>
  <c r="BG22" i="1"/>
  <c r="BK22" i="1" s="1"/>
  <c r="BH44" i="1"/>
  <c r="BL44" i="1" s="1"/>
  <c r="BH22" i="1"/>
  <c r="BL22" i="1" s="1"/>
  <c r="BE45" i="1"/>
  <c r="BI45" i="1" s="1"/>
  <c r="BH25" i="1"/>
  <c r="BL25" i="1" s="1"/>
  <c r="BH48" i="1"/>
  <c r="BL48" i="1" s="1"/>
  <c r="BF9" i="1"/>
  <c r="BH28" i="1"/>
  <c r="BL28" i="1" s="1"/>
  <c r="BG52" i="1"/>
  <c r="BK52" i="1" s="1"/>
  <c r="BG11" i="1"/>
  <c r="BH31" i="1"/>
  <c r="BL31" i="1" s="1"/>
  <c r="BF56" i="1"/>
  <c r="BJ56" i="1" s="1"/>
  <c r="BH11" i="1"/>
  <c r="BF32" i="1"/>
  <c r="BJ32" i="1" s="1"/>
  <c r="BG56" i="1"/>
  <c r="BK56" i="1" s="1"/>
  <c r="BE12" i="1"/>
  <c r="BE35" i="1"/>
  <c r="BI35" i="1" s="1"/>
  <c r="BF60" i="1"/>
  <c r="BJ60" i="1" s="1"/>
  <c r="BF25" i="1"/>
  <c r="BJ25" i="1" s="1"/>
  <c r="BF41" i="1"/>
  <c r="BJ41" i="1" s="1"/>
  <c r="BF57" i="1"/>
  <c r="BJ57" i="1" s="1"/>
  <c r="BG51" i="1"/>
  <c r="BK51" i="1" s="1"/>
  <c r="BE22" i="1"/>
  <c r="BI22" i="1" s="1"/>
  <c r="BE38" i="1"/>
  <c r="BI38" i="1" s="1"/>
  <c r="BE54" i="1"/>
  <c r="BI54" i="1" s="1"/>
  <c r="BH18" i="1"/>
  <c r="BT53" i="1"/>
  <c r="BX53" i="1" s="1"/>
  <c r="BF6" i="1"/>
  <c r="BH24" i="1"/>
  <c r="BL24" i="1" s="1"/>
  <c r="BH47" i="1"/>
  <c r="BL47" i="1" s="1"/>
  <c r="BG6" i="1"/>
  <c r="BE25" i="1"/>
  <c r="BI25" i="1" s="1"/>
  <c r="BF48" i="1"/>
  <c r="BJ48" i="1" s="1"/>
  <c r="BH6" i="1"/>
  <c r="BG25" i="1"/>
  <c r="BK25" i="1" s="1"/>
  <c r="BG48" i="1"/>
  <c r="BK48" i="1" s="1"/>
  <c r="BE7" i="1"/>
  <c r="BG28" i="1"/>
  <c r="BK28" i="1" s="1"/>
  <c r="BF52" i="1"/>
  <c r="BJ52" i="1" s="1"/>
  <c r="BF11" i="1"/>
  <c r="BG31" i="1"/>
  <c r="BK31" i="1" s="1"/>
  <c r="BH55" i="1"/>
  <c r="BL55" i="1" s="1"/>
  <c r="BG13" i="1"/>
  <c r="BG34" i="1"/>
  <c r="BK34" i="1" s="1"/>
  <c r="BE59" i="1"/>
  <c r="BI59" i="1" s="1"/>
  <c r="BH13" i="1"/>
  <c r="BH34" i="1"/>
  <c r="BL34" i="1" s="1"/>
  <c r="BH59" i="1"/>
  <c r="BL59" i="1" s="1"/>
  <c r="BF14" i="1"/>
  <c r="BH37" i="1"/>
  <c r="BL37" i="1" s="1"/>
  <c r="BF27" i="1"/>
  <c r="BJ27" i="1" s="1"/>
  <c r="BF43" i="1"/>
  <c r="BJ43" i="1" s="1"/>
  <c r="BF59" i="1"/>
  <c r="BJ59" i="1" s="1"/>
  <c r="BG53" i="1"/>
  <c r="BK53" i="1" s="1"/>
  <c r="BE24" i="1"/>
  <c r="BI24" i="1" s="1"/>
  <c r="BE40" i="1"/>
  <c r="BI40" i="1" s="1"/>
  <c r="BE56" i="1"/>
  <c r="BI56" i="1" s="1"/>
  <c r="BT55" i="1"/>
  <c r="BX55" i="1" s="1"/>
  <c r="BF8" i="1"/>
  <c r="BG27" i="1"/>
  <c r="BK27" i="1" s="1"/>
  <c r="BH50" i="1"/>
  <c r="BL50" i="1" s="1"/>
  <c r="BG8" i="1"/>
  <c r="BH27" i="1"/>
  <c r="BL27" i="1" s="1"/>
  <c r="BE51" i="1"/>
  <c r="BI51" i="1" s="1"/>
  <c r="BH8" i="1"/>
  <c r="BF28" i="1"/>
  <c r="BJ28" i="1" s="1"/>
  <c r="BH51" i="1"/>
  <c r="BL51" i="1" s="1"/>
  <c r="BE9" i="1"/>
  <c r="BE31" i="1"/>
  <c r="BI31" i="1" s="1"/>
  <c r="BE55" i="1"/>
  <c r="BI55" i="1" s="1"/>
  <c r="BF13" i="1"/>
  <c r="BF34" i="1"/>
  <c r="BJ34" i="1" s="1"/>
  <c r="BH58" i="1"/>
  <c r="BL58" i="1" s="1"/>
  <c r="BF16" i="1"/>
  <c r="BE37" i="1"/>
  <c r="BI37" i="1" s="1"/>
  <c r="BG62" i="1"/>
  <c r="BK62" i="1" s="1"/>
  <c r="BG16" i="1"/>
  <c r="BG37" i="1"/>
  <c r="BK37" i="1" s="1"/>
  <c r="BH62" i="1"/>
  <c r="BL62" i="1" s="1"/>
  <c r="BH16" i="1"/>
  <c r="BH40" i="1"/>
  <c r="BL40" i="1" s="1"/>
  <c r="BF29" i="1"/>
  <c r="BJ29" i="1" s="1"/>
  <c r="BF45" i="1"/>
  <c r="BJ45" i="1" s="1"/>
  <c r="BF61" i="1"/>
  <c r="BJ61" i="1" s="1"/>
  <c r="BG39" i="1"/>
  <c r="BK39" i="1" s="1"/>
  <c r="BG55" i="1"/>
  <c r="BK55" i="1" s="1"/>
  <c r="BE26" i="1"/>
  <c r="BI26" i="1" s="1"/>
  <c r="BE42" i="1"/>
  <c r="BI42" i="1" s="1"/>
  <c r="BE58" i="1"/>
  <c r="BI58" i="1" s="1"/>
  <c r="BR33" i="1"/>
  <c r="BV33" i="1" s="1"/>
  <c r="BT33" i="1"/>
  <c r="BX33" i="1" s="1"/>
  <c r="BU33" i="1"/>
  <c r="BY33" i="1" s="1"/>
  <c r="BS33" i="1"/>
  <c r="BW33" i="1" s="1"/>
  <c r="BS27" i="1"/>
  <c r="BW27" i="1" s="1"/>
  <c r="BR27" i="1"/>
  <c r="BV27" i="1" s="1"/>
  <c r="BU27" i="1"/>
  <c r="BY27" i="1" s="1"/>
  <c r="BT27" i="1"/>
  <c r="BX27" i="1" s="1"/>
  <c r="BU49" i="1"/>
  <c r="BY49" i="1" s="1"/>
  <c r="BS49" i="1"/>
  <c r="BW49" i="1" s="1"/>
  <c r="BR49" i="1"/>
  <c r="BV49" i="1" s="1"/>
  <c r="BS61" i="1"/>
  <c r="BW61" i="1" s="1"/>
  <c r="BR61" i="1"/>
  <c r="BV61" i="1" s="1"/>
  <c r="BU61" i="1"/>
  <c r="BY61" i="1" s="1"/>
  <c r="BS22" i="1"/>
  <c r="BW22" i="1" s="1"/>
  <c r="BU22" i="1"/>
  <c r="BY22" i="1" s="1"/>
  <c r="BT22" i="1"/>
  <c r="BX22" i="1" s="1"/>
  <c r="BR22" i="1"/>
  <c r="BV22" i="1" s="1"/>
  <c r="BU55" i="1"/>
  <c r="BY55" i="1" s="1"/>
  <c r="BS55" i="1"/>
  <c r="BW55" i="1" s="1"/>
  <c r="BR55" i="1"/>
  <c r="BV55" i="1" s="1"/>
  <c r="BS58" i="1"/>
  <c r="BW58" i="1" s="1"/>
  <c r="BR58" i="1"/>
  <c r="BV58" i="1" s="1"/>
  <c r="BT58" i="1"/>
  <c r="BX58" i="1" s="1"/>
  <c r="BU58" i="1"/>
  <c r="BY58" i="1" s="1"/>
  <c r="BU32" i="1"/>
  <c r="BY32" i="1" s="1"/>
  <c r="BR32" i="1"/>
  <c r="BV32" i="1" s="1"/>
  <c r="BS32" i="1"/>
  <c r="BW32" i="1" s="1"/>
  <c r="BT32" i="1"/>
  <c r="BX32" i="1" s="1"/>
  <c r="BS42" i="1"/>
  <c r="BW42" i="1" s="1"/>
  <c r="BR42" i="1"/>
  <c r="BV42" i="1" s="1"/>
  <c r="BU42" i="1"/>
  <c r="BY42" i="1" s="1"/>
  <c r="BS34" i="1"/>
  <c r="BW34" i="1" s="1"/>
  <c r="BR34" i="1"/>
  <c r="BV34" i="1" s="1"/>
  <c r="BU34" i="1"/>
  <c r="BY34" i="1" s="1"/>
  <c r="BT34" i="1"/>
  <c r="BX34" i="1" s="1"/>
  <c r="BT49" i="1"/>
  <c r="BX49" i="1" s="1"/>
  <c r="BS38" i="1"/>
  <c r="BW38" i="1" s="1"/>
  <c r="BT38" i="1"/>
  <c r="BX38" i="1" s="1"/>
  <c r="BU38" i="1"/>
  <c r="BY38" i="1" s="1"/>
  <c r="BR38" i="1"/>
  <c r="BV38" i="1" s="1"/>
  <c r="BU62" i="1"/>
  <c r="BY62" i="1" s="1"/>
  <c r="BR62" i="1"/>
  <c r="BV62" i="1" s="1"/>
  <c r="BS62" i="1"/>
  <c r="BW62" i="1" s="1"/>
  <c r="BT48" i="1"/>
  <c r="BX48" i="1" s="1"/>
  <c r="BU48" i="1"/>
  <c r="BY48" i="1" s="1"/>
  <c r="BS48" i="1"/>
  <c r="BW48" i="1" s="1"/>
  <c r="BR48" i="1"/>
  <c r="BV48" i="1" s="1"/>
  <c r="BU54" i="1"/>
  <c r="BY54" i="1" s="1"/>
  <c r="BR54" i="1"/>
  <c r="BV54" i="1" s="1"/>
  <c r="BS54" i="1"/>
  <c r="BW54" i="1" s="1"/>
  <c r="BT54" i="1"/>
  <c r="BX54" i="1" s="1"/>
  <c r="BR39" i="1"/>
  <c r="BV39" i="1" s="1"/>
  <c r="BT39" i="1"/>
  <c r="BX39" i="1" s="1"/>
  <c r="BU39" i="1"/>
  <c r="BY39" i="1" s="1"/>
  <c r="BS39" i="1"/>
  <c r="BW39" i="1" s="1"/>
  <c r="BS59" i="1"/>
  <c r="BW59" i="1" s="1"/>
  <c r="BR59" i="1"/>
  <c r="BV59" i="1" s="1"/>
  <c r="BU59" i="1"/>
  <c r="BY59" i="1" s="1"/>
  <c r="BR35" i="1"/>
  <c r="BV35" i="1" s="1"/>
  <c r="BU35" i="1"/>
  <c r="BY35" i="1" s="1"/>
  <c r="BS35" i="1"/>
  <c r="BW35" i="1" s="1"/>
  <c r="BT35" i="1"/>
  <c r="BX35" i="1" s="1"/>
  <c r="BR51" i="1"/>
  <c r="BV51" i="1" s="1"/>
  <c r="BS51" i="1"/>
  <c r="BW51" i="1" s="1"/>
  <c r="BU51" i="1"/>
  <c r="BY51" i="1" s="1"/>
  <c r="BS44" i="1"/>
  <c r="BW44" i="1" s="1"/>
  <c r="BU44" i="1"/>
  <c r="BY44" i="1" s="1"/>
  <c r="BR44" i="1"/>
  <c r="BV44" i="1" s="1"/>
  <c r="BS50" i="1"/>
  <c r="BW50" i="1" s="1"/>
  <c r="BU50" i="1"/>
  <c r="BY50" i="1" s="1"/>
  <c r="BR50" i="1"/>
  <c r="BV50" i="1" s="1"/>
  <c r="BS24" i="1"/>
  <c r="BW24" i="1" s="1"/>
  <c r="BU24" i="1"/>
  <c r="BY24" i="1" s="1"/>
  <c r="BT24" i="1"/>
  <c r="BX24" i="1" s="1"/>
  <c r="BR24" i="1"/>
  <c r="BV24" i="1" s="1"/>
  <c r="BR46" i="1"/>
  <c r="BV46" i="1" s="1"/>
  <c r="BS46" i="1"/>
  <c r="BW46" i="1" s="1"/>
  <c r="BU46" i="1"/>
  <c r="BY46" i="1" s="1"/>
  <c r="BS45" i="1"/>
  <c r="BW45" i="1" s="1"/>
  <c r="BR45" i="1"/>
  <c r="BV45" i="1" s="1"/>
  <c r="BU45" i="1"/>
  <c r="BY45" i="1" s="1"/>
  <c r="BR41" i="1"/>
  <c r="BV41" i="1" s="1"/>
  <c r="BS41" i="1"/>
  <c r="BW41" i="1" s="1"/>
  <c r="BU41" i="1"/>
  <c r="BY41" i="1" s="1"/>
  <c r="BR57" i="1"/>
  <c r="BV57" i="1" s="1"/>
  <c r="BU57" i="1"/>
  <c r="BY57" i="1" s="1"/>
  <c r="BS57" i="1"/>
  <c r="BW57" i="1" s="1"/>
  <c r="BR21" i="1"/>
  <c r="BV21" i="1" s="1"/>
  <c r="BS21" i="1"/>
  <c r="BW21" i="1" s="1"/>
  <c r="BU21" i="1"/>
  <c r="BY21" i="1" s="1"/>
  <c r="BT21" i="1"/>
  <c r="BX21" i="1" s="1"/>
  <c r="BS56" i="1"/>
  <c r="BW56" i="1" s="1"/>
  <c r="BR56" i="1"/>
  <c r="BV56" i="1" s="1"/>
  <c r="BU56" i="1"/>
  <c r="BY56" i="1" s="1"/>
  <c r="BT40" i="1"/>
  <c r="BX40" i="1" s="1"/>
  <c r="BU40" i="1"/>
  <c r="BY40" i="1" s="1"/>
  <c r="BS40" i="1"/>
  <c r="BW40" i="1" s="1"/>
  <c r="BR40" i="1"/>
  <c r="BV40" i="1" s="1"/>
  <c r="BS30" i="1"/>
  <c r="BW30" i="1" s="1"/>
  <c r="BR30" i="1"/>
  <c r="BV30" i="1" s="1"/>
  <c r="BU30" i="1"/>
  <c r="BY30" i="1" s="1"/>
  <c r="BT30" i="1"/>
  <c r="BX30" i="1" s="1"/>
  <c r="BS47" i="1"/>
  <c r="BW47" i="1" s="1"/>
  <c r="BU47" i="1"/>
  <c r="BY47" i="1" s="1"/>
  <c r="BR47" i="1"/>
  <c r="BV47" i="1" s="1"/>
  <c r="BU53" i="1"/>
  <c r="BY53" i="1" s="1"/>
  <c r="BR53" i="1"/>
  <c r="BV53" i="1" s="1"/>
  <c r="BS53" i="1"/>
  <c r="BW53" i="1" s="1"/>
  <c r="BS25" i="1"/>
  <c r="BW25" i="1" s="1"/>
  <c r="BU25" i="1"/>
  <c r="BY25" i="1" s="1"/>
  <c r="BT25" i="1"/>
  <c r="BX25" i="1" s="1"/>
  <c r="BR25" i="1"/>
  <c r="BV25" i="1" s="1"/>
  <c r="BT61" i="1"/>
  <c r="BX61" i="1" s="1"/>
  <c r="BU29" i="1"/>
  <c r="BY29" i="1" s="1"/>
  <c r="BR29" i="1"/>
  <c r="BV29" i="1" s="1"/>
  <c r="BT29" i="1"/>
  <c r="BX29" i="1" s="1"/>
  <c r="BS29" i="1"/>
  <c r="BW29" i="1" s="1"/>
  <c r="BS43" i="1"/>
  <c r="BW43" i="1" s="1"/>
  <c r="BR43" i="1"/>
  <c r="BV43" i="1" s="1"/>
  <c r="BU43" i="1"/>
  <c r="BY43" i="1" s="1"/>
  <c r="BR23" i="1"/>
  <c r="BV23" i="1" s="1"/>
  <c r="BU23" i="1"/>
  <c r="BY23" i="1" s="1"/>
  <c r="BS23" i="1"/>
  <c r="BW23" i="1" s="1"/>
  <c r="BT23" i="1"/>
  <c r="BX23" i="1" s="1"/>
  <c r="BT36" i="1"/>
  <c r="BX36" i="1" s="1"/>
  <c r="BR36" i="1"/>
  <c r="BV36" i="1" s="1"/>
  <c r="BS36" i="1"/>
  <c r="BW36" i="1" s="1"/>
  <c r="BU36" i="1"/>
  <c r="BY36" i="1" s="1"/>
  <c r="BS31" i="1"/>
  <c r="BW31" i="1" s="1"/>
  <c r="BR31" i="1"/>
  <c r="BV31" i="1" s="1"/>
  <c r="BU31" i="1"/>
  <c r="BY31" i="1" s="1"/>
  <c r="BT31" i="1"/>
  <c r="BX31" i="1" s="1"/>
  <c r="BR37" i="1"/>
  <c r="BV37" i="1" s="1"/>
  <c r="BS37" i="1"/>
  <c r="BW37" i="1" s="1"/>
  <c r="BU37" i="1"/>
  <c r="BY37" i="1" s="1"/>
  <c r="BT37" i="1"/>
  <c r="BX37" i="1" s="1"/>
  <c r="BT20" i="1"/>
  <c r="BX20" i="1" s="1"/>
  <c r="BR20" i="1"/>
  <c r="BV20" i="1" s="1"/>
  <c r="BS20" i="1"/>
  <c r="BW20" i="1" s="1"/>
  <c r="BU20" i="1"/>
  <c r="BY20" i="1" s="1"/>
  <c r="BR52" i="1"/>
  <c r="BV52" i="1" s="1"/>
  <c r="BS52" i="1"/>
  <c r="BW52" i="1" s="1"/>
  <c r="BT52" i="1"/>
  <c r="BX52" i="1" s="1"/>
  <c r="BU52" i="1"/>
  <c r="BY52" i="1" s="1"/>
  <c r="BS26" i="1"/>
  <c r="BW26" i="1" s="1"/>
  <c r="BT26" i="1"/>
  <c r="BX26" i="1" s="1"/>
  <c r="BU26" i="1"/>
  <c r="BY26" i="1" s="1"/>
  <c r="BR26" i="1"/>
  <c r="BV26" i="1" s="1"/>
  <c r="BR60" i="1"/>
  <c r="BV60" i="1" s="1"/>
  <c r="BT60" i="1"/>
  <c r="BX60" i="1" s="1"/>
  <c r="BS60" i="1"/>
  <c r="BW60" i="1" s="1"/>
  <c r="BU60" i="1"/>
  <c r="BY60" i="1" s="1"/>
  <c r="BT28" i="1"/>
  <c r="BX28" i="1" s="1"/>
  <c r="BU28" i="1"/>
  <c r="BY28" i="1" s="1"/>
  <c r="BS28" i="1"/>
  <c r="BW28" i="1" s="1"/>
  <c r="BR28" i="1"/>
  <c r="BV28" i="1" s="1"/>
  <c r="BU11" i="1"/>
  <c r="BY11" i="1" s="1"/>
  <c r="BT11" i="1"/>
  <c r="BX11" i="1" s="1"/>
  <c r="BR11" i="1"/>
  <c r="BV11" i="1" s="1"/>
  <c r="BS11" i="1"/>
  <c r="BW11" i="1" s="1"/>
  <c r="BS14" i="1"/>
  <c r="BW14" i="1" s="1"/>
  <c r="BT14" i="1"/>
  <c r="BX14" i="1" s="1"/>
  <c r="BU14" i="1"/>
  <c r="BY14" i="1" s="1"/>
  <c r="BR14" i="1"/>
  <c r="BV14" i="1" s="1"/>
  <c r="BU7" i="1"/>
  <c r="BY7" i="1" s="1"/>
  <c r="BR7" i="1"/>
  <c r="BV7" i="1" s="1"/>
  <c r="BS7" i="1"/>
  <c r="BW7" i="1" s="1"/>
  <c r="BT7" i="1"/>
  <c r="BX7" i="1" s="1"/>
  <c r="BR17" i="1"/>
  <c r="BV17" i="1" s="1"/>
  <c r="BU17" i="1"/>
  <c r="BY17" i="1" s="1"/>
  <c r="BT17" i="1"/>
  <c r="BX17" i="1" s="1"/>
  <c r="BS17" i="1"/>
  <c r="BW17" i="1" s="1"/>
  <c r="BS13" i="1"/>
  <c r="BW13" i="1" s="1"/>
  <c r="BR13" i="1"/>
  <c r="BV13" i="1" s="1"/>
  <c r="BT13" i="1"/>
  <c r="BX13" i="1" s="1"/>
  <c r="BU13" i="1"/>
  <c r="BY13" i="1" s="1"/>
  <c r="BS12" i="1"/>
  <c r="BW12" i="1" s="1"/>
  <c r="BT12" i="1"/>
  <c r="BX12" i="1" s="1"/>
  <c r="BU12" i="1"/>
  <c r="BY12" i="1" s="1"/>
  <c r="BR12" i="1"/>
  <c r="BV12" i="1" s="1"/>
  <c r="BR15" i="1"/>
  <c r="BV15" i="1" s="1"/>
  <c r="BS15" i="1"/>
  <c r="BW15" i="1" s="1"/>
  <c r="BT15" i="1"/>
  <c r="BX15" i="1" s="1"/>
  <c r="BU15" i="1"/>
  <c r="BY15" i="1" s="1"/>
  <c r="BT16" i="1"/>
  <c r="BX16" i="1" s="1"/>
  <c r="BS16" i="1"/>
  <c r="BW16" i="1" s="1"/>
  <c r="BR16" i="1"/>
  <c r="BV16" i="1" s="1"/>
  <c r="BU16" i="1"/>
  <c r="BY16" i="1" s="1"/>
  <c r="AO6" i="1"/>
  <c r="AQ6" i="1" s="1"/>
  <c r="AO9" i="1"/>
  <c r="AQ9" i="1" s="1"/>
  <c r="AO10" i="1"/>
  <c r="AQ10" i="1" s="1"/>
  <c r="AO19" i="1"/>
  <c r="AQ19" i="1" s="1"/>
  <c r="AO18" i="1"/>
  <c r="AQ18" i="1" s="1"/>
  <c r="AO8" i="1"/>
  <c r="AQ8" i="1" s="1"/>
  <c r="BR8" i="1" l="1"/>
  <c r="BV8" i="1" s="1"/>
  <c r="BS8" i="1"/>
  <c r="BW8" i="1" s="1"/>
  <c r="BT8" i="1"/>
  <c r="BX8" i="1" s="1"/>
  <c r="BU8" i="1"/>
  <c r="BY8" i="1" s="1"/>
  <c r="BR19" i="1"/>
  <c r="BV19" i="1" s="1"/>
  <c r="BT19" i="1"/>
  <c r="BX19" i="1" s="1"/>
  <c r="BU19" i="1"/>
  <c r="BY19" i="1" s="1"/>
  <c r="BS19" i="1"/>
  <c r="BW19" i="1" s="1"/>
  <c r="BR18" i="1"/>
  <c r="BV18" i="1" s="1"/>
  <c r="BS18" i="1"/>
  <c r="BW18" i="1" s="1"/>
  <c r="BT18" i="1"/>
  <c r="BX18" i="1" s="1"/>
  <c r="BU18" i="1"/>
  <c r="BY18" i="1" s="1"/>
  <c r="BU10" i="1"/>
  <c r="BY10" i="1" s="1"/>
  <c r="BT10" i="1"/>
  <c r="BX10" i="1" s="1"/>
  <c r="BS10" i="1"/>
  <c r="BW10" i="1" s="1"/>
  <c r="BR10" i="1"/>
  <c r="BV10" i="1" s="1"/>
  <c r="BU6" i="1"/>
  <c r="BY6" i="1" s="1"/>
  <c r="BS6" i="1"/>
  <c r="BW6" i="1" s="1"/>
  <c r="BR6" i="1"/>
  <c r="BV6" i="1" s="1"/>
  <c r="BT6" i="1"/>
  <c r="BX6" i="1" s="1"/>
  <c r="BR9" i="1"/>
  <c r="BV9" i="1" s="1"/>
  <c r="BU9" i="1"/>
  <c r="BY9" i="1" s="1"/>
  <c r="BS9" i="1"/>
  <c r="BW9" i="1" s="1"/>
  <c r="BT9" i="1"/>
  <c r="BX9" i="1" s="1"/>
  <c r="BL18" i="1"/>
  <c r="BJ18" i="1"/>
  <c r="BI18" i="1"/>
  <c r="BK18" i="1"/>
  <c r="BK19" i="1"/>
  <c r="BL19" i="1"/>
  <c r="BJ19" i="1"/>
  <c r="BI19" i="1"/>
  <c r="BK10" i="1"/>
  <c r="BL10" i="1"/>
  <c r="BJ10" i="1"/>
  <c r="BI10" i="1"/>
  <c r="BJ14" i="1"/>
  <c r="BL14" i="1"/>
  <c r="BK14" i="1"/>
  <c r="BI14" i="1"/>
  <c r="BL13" i="1"/>
  <c r="BJ13" i="1"/>
  <c r="BK13" i="1"/>
  <c r="BI13" i="1"/>
  <c r="BK16" i="1"/>
  <c r="BJ16" i="1"/>
  <c r="BL16" i="1"/>
  <c r="BI16" i="1"/>
  <c r="BL11" i="1"/>
  <c r="BJ11" i="1"/>
  <c r="BK11" i="1"/>
  <c r="BI11" i="1"/>
  <c r="BL17" i="1"/>
  <c r="BJ17" i="1"/>
  <c r="BK17" i="1"/>
  <c r="BI17" i="1"/>
  <c r="BJ15" i="1"/>
  <c r="BK15" i="1"/>
  <c r="BL15" i="1"/>
  <c r="BI15" i="1"/>
  <c r="BL7" i="1"/>
  <c r="BK7" i="1"/>
  <c r="BJ7" i="1"/>
  <c r="BI7" i="1"/>
  <c r="BL9" i="1"/>
  <c r="BJ9" i="1"/>
  <c r="BK9" i="1"/>
  <c r="BI9" i="1"/>
  <c r="BJ8" i="1"/>
  <c r="BL8" i="1"/>
  <c r="BK8" i="1"/>
  <c r="BI8" i="1"/>
  <c r="BK12" i="1"/>
  <c r="BL12" i="1"/>
  <c r="BJ12" i="1"/>
  <c r="BI12" i="1"/>
  <c r="BL6" i="1"/>
  <c r="BK6" i="1"/>
  <c r="BI6" i="1"/>
  <c r="BJ6" i="1"/>
  <c r="BI3" i="1" l="1"/>
  <c r="BE3" i="1"/>
  <c r="BF3" i="1"/>
  <c r="BL3" i="1"/>
  <c r="BH3" i="1"/>
  <c r="BK3" i="1"/>
  <c r="BG3" i="1"/>
  <c r="BV3" i="1" l="1"/>
  <c r="BJ3" i="1"/>
  <c r="BX3" i="1"/>
  <c r="BY3" i="1"/>
  <c r="BR3" i="1"/>
  <c r="BW3" i="1" l="1"/>
  <c r="BU3" i="1"/>
  <c r="BT3" i="1"/>
  <c r="BS3" i="1"/>
</calcChain>
</file>

<file path=xl/sharedStrings.xml><?xml version="1.0" encoding="utf-8"?>
<sst xmlns="http://schemas.openxmlformats.org/spreadsheetml/2006/main" count="913" uniqueCount="428">
  <si>
    <t>000300.SH</t>
    <phoneticPr fontId="2" type="noConversion"/>
  </si>
  <si>
    <t>行权价格</t>
    <phoneticPr fontId="2" type="noConversion"/>
  </si>
  <si>
    <t>前结算价</t>
    <phoneticPr fontId="2" type="noConversion"/>
  </si>
  <si>
    <t>前收盘价</t>
    <phoneticPr fontId="2" type="noConversion"/>
  </si>
  <si>
    <t>维持保证金</t>
    <phoneticPr fontId="2" type="noConversion"/>
  </si>
  <si>
    <t>合约保证金调整系数</t>
    <phoneticPr fontId="2" type="noConversion"/>
  </si>
  <si>
    <t>最低保障倍数</t>
    <phoneticPr fontId="2" type="noConversion"/>
  </si>
  <si>
    <t>前日成交量</t>
    <phoneticPr fontId="2" type="noConversion"/>
  </si>
  <si>
    <t>虚值</t>
    <phoneticPr fontId="2" type="noConversion"/>
  </si>
  <si>
    <t>保证金参数1</t>
    <phoneticPr fontId="2" type="noConversion"/>
  </si>
  <si>
    <t>保证金参数2</t>
    <phoneticPr fontId="2" type="noConversion"/>
  </si>
  <si>
    <t>到期时间</t>
  </si>
  <si>
    <t>交易费用</t>
  </si>
  <si>
    <t>最新价</t>
  </si>
  <si>
    <t>年化收益率</t>
  </si>
  <si>
    <t>&lt;-追点</t>
  </si>
  <si>
    <t>LastPrice</t>
  </si>
  <si>
    <t>Volume</t>
  </si>
  <si>
    <t>Bid_Price1</t>
  </si>
  <si>
    <t>Bid_Volume1</t>
  </si>
  <si>
    <t>Ask_Price1</t>
  </si>
  <si>
    <t>Ask_Volume1</t>
  </si>
  <si>
    <t>维持保证金_1</t>
  </si>
  <si>
    <t>维持保证金_2</t>
  </si>
  <si>
    <t>维持保证金_3</t>
  </si>
  <si>
    <t>|合约1-合约2|-手续费</t>
  </si>
  <si>
    <t>代码-
合约1</t>
  </si>
  <si>
    <t>代码-
合约2</t>
  </si>
  <si>
    <t>合约
乘数</t>
  </si>
  <si>
    <t>C / P</t>
  </si>
  <si>
    <t>IO2004-C-3300.CFE</t>
  </si>
  <si>
    <t>IO2004-C-3350.CFE</t>
  </si>
  <si>
    <t>IO2004-C-3400.CFE</t>
  </si>
  <si>
    <t>IO2004-C-3450.CFE</t>
  </si>
  <si>
    <t>IO2004-C-3500.CFE</t>
  </si>
  <si>
    <t>IO2004-C-3550.CFE</t>
  </si>
  <si>
    <t>IO2004-C-3600.CFE</t>
  </si>
  <si>
    <t>IO2004-C-3650.CFE</t>
  </si>
  <si>
    <t>IO2004-C-3700.CFE</t>
  </si>
  <si>
    <t>IO2004-C-3750.CFE</t>
  </si>
  <si>
    <t>IO2004-C-3800.CFE</t>
  </si>
  <si>
    <t>IO2004-C-3850.CFE</t>
  </si>
  <si>
    <t>IO2004-C-3900.CFE</t>
  </si>
  <si>
    <t>IO2004-C-3950.CFE</t>
  </si>
  <si>
    <t>IO2004-C-4000.CFE</t>
  </si>
  <si>
    <t>IO2004-C-4050.CFE</t>
  </si>
  <si>
    <t>IO2004-C-4100.CFE</t>
  </si>
  <si>
    <t>IO2004-C-4150.CFE</t>
  </si>
  <si>
    <t>IO2004-C-4200.CFE</t>
  </si>
  <si>
    <t>IO2004-C-4250.CFE</t>
  </si>
  <si>
    <t>IO2004-C-4300.CFE</t>
  </si>
  <si>
    <t>IO2004-C-4350.CFE</t>
  </si>
  <si>
    <t>IO2004-C-4400.CFE</t>
  </si>
  <si>
    <t>IO2004-C-4450.CFE</t>
  </si>
  <si>
    <t>IO2004-C-4500.CFE</t>
  </si>
  <si>
    <t>IO2004-C-4550.CFE</t>
  </si>
  <si>
    <t>IO2004-C-4600.CFE</t>
  </si>
  <si>
    <t>IO2004-C-4650.CFE</t>
  </si>
  <si>
    <t>IO2004-P-3300.CFE</t>
  </si>
  <si>
    <t>IO2004-P-3350.CFE</t>
  </si>
  <si>
    <t>IO2004-P-3400.CFE</t>
  </si>
  <si>
    <t>IO2004-P-3450.CFE</t>
  </si>
  <si>
    <t>IO2004-P-3500.CFE</t>
  </si>
  <si>
    <t>IO2004-P-3550.CFE</t>
  </si>
  <si>
    <t>IO2004-P-3600.CFE</t>
  </si>
  <si>
    <t>IO2004-P-3650.CFE</t>
  </si>
  <si>
    <t>IO2004-P-3700.CFE</t>
  </si>
  <si>
    <t>IO2004-P-3750.CFE</t>
  </si>
  <si>
    <t>IO2004-P-3800.CFE</t>
  </si>
  <si>
    <t>IO2004-P-3850.CFE</t>
  </si>
  <si>
    <t>IO2004-P-3900.CFE</t>
  </si>
  <si>
    <t>IO2004-P-3950.CFE</t>
  </si>
  <si>
    <t>IO2004-P-4000.CFE</t>
  </si>
  <si>
    <t>IO2004-P-4050.CFE</t>
  </si>
  <si>
    <t>IO2004-P-4100.CFE</t>
  </si>
  <si>
    <t>IO2004-P-4150.CFE</t>
  </si>
  <si>
    <t>IO2004-P-4200.CFE</t>
  </si>
  <si>
    <t>IO2004-P-4250.CFE</t>
  </si>
  <si>
    <t>IO2004-P-4300.CFE</t>
  </si>
  <si>
    <t>IO2004-P-4350.CFE</t>
  </si>
  <si>
    <t>IO2004-P-4400.CFE</t>
  </si>
  <si>
    <t>IO2004-P-4450.CFE</t>
  </si>
  <si>
    <t>IO2004-P-4500.CFE</t>
  </si>
  <si>
    <t>IO2004-P-4550.CFE</t>
  </si>
  <si>
    <t>IO2004-P-4600.CFE</t>
  </si>
  <si>
    <t>IO2004-P-4650.CFE</t>
  </si>
  <si>
    <t>IO2006-C-3300.CFE</t>
  </si>
  <si>
    <t>IO2006-C-3400.CFE</t>
  </si>
  <si>
    <t>IO2006-C-3500.CFE</t>
  </si>
  <si>
    <t>IO2006-C-3600.CFE</t>
  </si>
  <si>
    <t>IO2006-C-3700.CFE</t>
  </si>
  <si>
    <t>IO2006-C-3800.CFE</t>
  </si>
  <si>
    <t>IO2006-C-3900.CFE</t>
  </si>
  <si>
    <t>IO2006-C-4000.CFE</t>
  </si>
  <si>
    <t>IO2006-C-4100.CFE</t>
  </si>
  <si>
    <t>IO2006-C-4200.CFE</t>
  </si>
  <si>
    <t>IO2006-C-4300.CFE</t>
  </si>
  <si>
    <t>IO2006-C-4400.CFE</t>
  </si>
  <si>
    <t>IO2006-C-4500.CFE</t>
  </si>
  <si>
    <t>IO2006-C-4600.CFE</t>
  </si>
  <si>
    <t>IO2006-C-4700.CFE</t>
  </si>
  <si>
    <t>IO2006-P-3300.CFE</t>
  </si>
  <si>
    <t>IO2006-P-3400.CFE</t>
  </si>
  <si>
    <t>IO2006-P-3500.CFE</t>
  </si>
  <si>
    <t>IO2006-P-3600.CFE</t>
  </si>
  <si>
    <t>IO2006-P-3700.CFE</t>
  </si>
  <si>
    <t>IO2006-P-3800.CFE</t>
  </si>
  <si>
    <t>IO2006-P-3900.CFE</t>
  </si>
  <si>
    <t>IO2006-P-4000.CFE</t>
  </si>
  <si>
    <t>IO2006-P-4100.CFE</t>
  </si>
  <si>
    <t>IO2006-P-4200.CFE</t>
  </si>
  <si>
    <t>IO2006-P-4300.CFE</t>
  </si>
  <si>
    <t>IO2006-P-4400.CFE</t>
  </si>
  <si>
    <t>IO2006-P-4500.CFE</t>
  </si>
  <si>
    <t>IO2006-P-4600.CFE</t>
  </si>
  <si>
    <t>IO2006-P-4700.CFE</t>
  </si>
  <si>
    <t>IO2009-C-3300.CFE</t>
  </si>
  <si>
    <t>IO2009-C-3400.CFE</t>
  </si>
  <si>
    <t>IO2009-C-3500.CFE</t>
  </si>
  <si>
    <t>IO2009-C-3600.CFE</t>
  </si>
  <si>
    <t>IO2009-C-3700.CFE</t>
  </si>
  <si>
    <t>IO2009-C-3800.CFE</t>
  </si>
  <si>
    <t>IO2009-C-3900.CFE</t>
  </si>
  <si>
    <t>IO2009-C-4000.CFE</t>
  </si>
  <si>
    <t>IO2009-C-4100.CFE</t>
  </si>
  <si>
    <t>IO2009-C-4200.CFE</t>
  </si>
  <si>
    <t>IO2009-C-4300.CFE</t>
  </si>
  <si>
    <t>IO2009-C-4400.CFE</t>
  </si>
  <si>
    <t>IO2009-C-4500.CFE</t>
  </si>
  <si>
    <t>IO2009-C-4600.CFE</t>
  </si>
  <si>
    <t>IO2009-C-4700.CFE</t>
  </si>
  <si>
    <t>IO2009-P-3300.CFE</t>
  </si>
  <si>
    <t>IO2009-P-3400.CFE</t>
  </si>
  <si>
    <t>IO2009-P-3500.CFE</t>
  </si>
  <si>
    <t>IO2009-P-3600.CFE</t>
  </si>
  <si>
    <t>IO2009-P-3700.CFE</t>
  </si>
  <si>
    <t>IO2009-P-3800.CFE</t>
  </si>
  <si>
    <t>IO2009-P-3900.CFE</t>
  </si>
  <si>
    <t>IO2009-P-4000.CFE</t>
  </si>
  <si>
    <t>IO2009-P-4100.CFE</t>
  </si>
  <si>
    <t>IO2009-P-4200.CFE</t>
  </si>
  <si>
    <t>IO2009-P-4300.CFE</t>
  </si>
  <si>
    <t>IO2009-P-4400.CFE</t>
  </si>
  <si>
    <t>IO2009-P-4500.CFE</t>
  </si>
  <si>
    <t>IO2009-P-4600.CFE</t>
  </si>
  <si>
    <t>IO2009-P-4700.CFE</t>
  </si>
  <si>
    <t>IO2012-C-3300.CFE</t>
  </si>
  <si>
    <t>IO2012-C-3400.CFE</t>
  </si>
  <si>
    <t>IO2012-C-3500.CFE</t>
  </si>
  <si>
    <t>IO2012-C-3600.CFE</t>
  </si>
  <si>
    <t>IO2012-C-3700.CFE</t>
  </si>
  <si>
    <t>IO2012-C-3800.CFE</t>
  </si>
  <si>
    <t>IO2012-C-3900.CFE</t>
  </si>
  <si>
    <t>IO2012-C-4000.CFE</t>
  </si>
  <si>
    <t>IO2012-C-4100.CFE</t>
  </si>
  <si>
    <t>IO2012-C-4200.CFE</t>
  </si>
  <si>
    <t>IO2012-C-4300.CFE</t>
  </si>
  <si>
    <t>IO2012-C-4400.CFE</t>
  </si>
  <si>
    <t>IO2012-C-4500.CFE</t>
  </si>
  <si>
    <t>IO2012-C-4600.CFE</t>
  </si>
  <si>
    <t>IO2012-C-4700.CFE</t>
  </si>
  <si>
    <t>IO2012-P-3300.CFE</t>
  </si>
  <si>
    <t>IO2012-P-3400.CFE</t>
  </si>
  <si>
    <t>IO2012-P-3500.CFE</t>
  </si>
  <si>
    <t>IO2012-P-3600.CFE</t>
  </si>
  <si>
    <t>IO2012-P-3700.CFE</t>
  </si>
  <si>
    <t>IO2012-P-3800.CFE</t>
  </si>
  <si>
    <t>IO2012-P-3900.CFE</t>
  </si>
  <si>
    <t>IO2012-P-4000.CFE</t>
  </si>
  <si>
    <t>IO2012-P-4100.CFE</t>
  </si>
  <si>
    <t>IO2012-P-4200.CFE</t>
  </si>
  <si>
    <t>IO2012-P-4300.CFE</t>
  </si>
  <si>
    <t>IO2012-P-4400.CFE</t>
  </si>
  <si>
    <t>IO2012-P-4500.CFE</t>
  </si>
  <si>
    <t>IO2012-P-4600.CFE</t>
  </si>
  <si>
    <t>IO2012-P-4700.CFE</t>
  </si>
  <si>
    <t>10002171.SH</t>
  </si>
  <si>
    <t>10002172.SH</t>
  </si>
  <si>
    <t>10002173.SH</t>
  </si>
  <si>
    <t>10002174.SH</t>
  </si>
  <si>
    <t>10002175.SH</t>
  </si>
  <si>
    <t>10002176.SH</t>
  </si>
  <si>
    <t>10002177.SH</t>
  </si>
  <si>
    <t>10002178.SH</t>
  </si>
  <si>
    <t>10002179.SH</t>
  </si>
  <si>
    <t>10002180.SH</t>
  </si>
  <si>
    <t>10002181.SH</t>
  </si>
  <si>
    <t>10002182.SH</t>
  </si>
  <si>
    <t>10002183.SH</t>
  </si>
  <si>
    <t>10002184.SH</t>
  </si>
  <si>
    <t>10002185.SH</t>
  </si>
  <si>
    <t>10002186.SH</t>
  </si>
  <si>
    <t>10002187.SH</t>
  </si>
  <si>
    <t>10002188.SH</t>
  </si>
  <si>
    <t>10002221.SH</t>
  </si>
  <si>
    <t>10002222.SH</t>
  </si>
  <si>
    <t>10002229.SH</t>
  </si>
  <si>
    <t>10002230.SH</t>
  </si>
  <si>
    <t>10002249.SH</t>
  </si>
  <si>
    <t>10002250.SH</t>
  </si>
  <si>
    <t>10002251.SH</t>
  </si>
  <si>
    <t>10002252.SH</t>
  </si>
  <si>
    <t>10002253.SH</t>
  </si>
  <si>
    <t>10002254.SH</t>
  </si>
  <si>
    <t>10002255.SH</t>
  </si>
  <si>
    <t>10002256.SH</t>
  </si>
  <si>
    <t>10002257.SH</t>
  </si>
  <si>
    <t>10002258.SH</t>
  </si>
  <si>
    <t>10002259.SH</t>
  </si>
  <si>
    <t>10002260.SH</t>
  </si>
  <si>
    <t>10002261.SH</t>
  </si>
  <si>
    <t>10002262.SH</t>
  </si>
  <si>
    <t>10002263.SH</t>
  </si>
  <si>
    <t>10002264.SH</t>
  </si>
  <si>
    <t>10002265.SH</t>
  </si>
  <si>
    <t>10002266.SH</t>
  </si>
  <si>
    <t>10002271.SH</t>
  </si>
  <si>
    <t>10002272.SH</t>
  </si>
  <si>
    <t>10002315.SH</t>
  </si>
  <si>
    <t>10002321.SH</t>
  </si>
  <si>
    <t>10002322.SH</t>
  </si>
  <si>
    <t>10002323.SH</t>
  </si>
  <si>
    <t>10002324.SH</t>
  </si>
  <si>
    <t>10002325.SH</t>
  </si>
  <si>
    <t>10002326.SH</t>
  </si>
  <si>
    <t>10002327.SH</t>
  </si>
  <si>
    <t>10002328.SH</t>
  </si>
  <si>
    <t>10002329.SH</t>
  </si>
  <si>
    <t>10002330.SH</t>
  </si>
  <si>
    <t>10002331.SH</t>
  </si>
  <si>
    <t>10002332.SH</t>
  </si>
  <si>
    <t>合约1</t>
  </si>
  <si>
    <t>合约2</t>
  </si>
  <si>
    <t>到期收益率</t>
  </si>
  <si>
    <t>|合约2-合约1|-手续费</t>
  </si>
  <si>
    <t>1=2?</t>
  </si>
  <si>
    <t>合约</t>
  </si>
  <si>
    <t>交易乘数</t>
  </si>
  <si>
    <t>交易
乘数</t>
  </si>
  <si>
    <t>保证金乘数</t>
  </si>
  <si>
    <t>本方
一档</t>
  </si>
  <si>
    <t>最新
价</t>
  </si>
  <si>
    <t>对手
盘</t>
  </si>
  <si>
    <t>前收盘价</t>
  </si>
  <si>
    <t>IO2005-P-3700.CFE</t>
  </si>
  <si>
    <t>IO2005-P-3750.CFE</t>
  </si>
  <si>
    <t>IO2005-P-3800.CFE</t>
  </si>
  <si>
    <t>IO2005-P-3850.CFE</t>
  </si>
  <si>
    <t>IO2005-P-3900.CFE</t>
  </si>
  <si>
    <t>IO2005-P-3950.CFE</t>
  </si>
  <si>
    <t>IO2005-P-4000.CFE</t>
  </si>
  <si>
    <t>IO2005-P-4050.CFE</t>
  </si>
  <si>
    <t>IO2005-P-4100.CFE</t>
  </si>
  <si>
    <t>IO2005-P-4150.CFE</t>
  </si>
  <si>
    <t>IO2005-P-4200.CFE</t>
  </si>
  <si>
    <t>IO2005-P-4250.CFE</t>
  </si>
  <si>
    <t>IO2005-P-4300.CFE</t>
  </si>
  <si>
    <t>IO2005-P-4350.CFE</t>
  </si>
  <si>
    <t>IO2005-P-4400.CFE</t>
  </si>
  <si>
    <t>IO2005-P-4450.CFE</t>
  </si>
  <si>
    <t>IO2005-P-4500.CFE</t>
  </si>
  <si>
    <t>IO2005-P-4550.CFE</t>
  </si>
  <si>
    <t>IO2005-P-4600.CFE</t>
  </si>
  <si>
    <t>IO2005-C-3700.CFE</t>
  </si>
  <si>
    <t>IO2005-C-3750.CFE</t>
  </si>
  <si>
    <t>IO2005-C-3800.CFE</t>
  </si>
  <si>
    <t>IO2005-C-3850.CFE</t>
  </si>
  <si>
    <t>IO2005-C-3900.CFE</t>
  </si>
  <si>
    <t>IO2005-C-3950.CFE</t>
  </si>
  <si>
    <t>IO2005-C-4000.CFE</t>
  </si>
  <si>
    <t>IO2005-C-4050.CFE</t>
  </si>
  <si>
    <t>IO2005-C-4100.CFE</t>
  </si>
  <si>
    <t>IO2005-C-4150.CFE</t>
  </si>
  <si>
    <t>IO2005-C-4200.CFE</t>
  </si>
  <si>
    <t>IO2005-C-4250.CFE</t>
  </si>
  <si>
    <t>IO2005-C-4300.CFE</t>
  </si>
  <si>
    <t>IO2005-C-4350.CFE</t>
  </si>
  <si>
    <t>IO2005-C-4400.CFE</t>
  </si>
  <si>
    <t>IO2005-C-4450.CFE</t>
  </si>
  <si>
    <t>IO2005-C-4500.CFE</t>
  </si>
  <si>
    <t>IO2005-C-4550.CFE</t>
  </si>
  <si>
    <t>IO2005-C-4600.CFE</t>
  </si>
  <si>
    <t>IO2005-C-3650.CFE</t>
  </si>
  <si>
    <t>IO2005-P-3650.CFE</t>
  </si>
  <si>
    <t>10002351.SH</t>
  </si>
  <si>
    <t>10002352.SH</t>
  </si>
  <si>
    <t>10002353.SH</t>
  </si>
  <si>
    <t>10002354.SH</t>
  </si>
  <si>
    <t>10002355.SH</t>
  </si>
  <si>
    <t>10002356.SH</t>
  </si>
  <si>
    <t>10002357.SH</t>
  </si>
  <si>
    <t>10002358.SH</t>
  </si>
  <si>
    <t>10002359.SH</t>
  </si>
  <si>
    <t>10002360.SH</t>
  </si>
  <si>
    <t>10002361.SH</t>
  </si>
  <si>
    <t>10002362.SH</t>
  </si>
  <si>
    <t>10002363.SH</t>
  </si>
  <si>
    <t>10002364.SH</t>
  </si>
  <si>
    <t>10002365.SH</t>
  </si>
  <si>
    <t>10002366.SH</t>
  </si>
  <si>
    <t>10002367.SH</t>
  </si>
  <si>
    <t>10002368.SH</t>
  </si>
  <si>
    <t>IO2005-C-3500.CFE</t>
  </si>
  <si>
    <t>IO2005-C-3550.CFE</t>
  </si>
  <si>
    <t>IO2005-C-3600.CFE</t>
  </si>
  <si>
    <t>IO2005-P-3500.CFE</t>
  </si>
  <si>
    <t>IO2005-P-3550.CFE</t>
  </si>
  <si>
    <t>IO2005-P-3600.CFE</t>
  </si>
  <si>
    <t>10002373.SH</t>
  </si>
  <si>
    <t>10002374.SH</t>
  </si>
  <si>
    <t>10002375.SH</t>
  </si>
  <si>
    <t>10002376.SH</t>
  </si>
  <si>
    <t>nav</t>
  </si>
  <si>
    <t>IO2004-C-3200.CFE</t>
  </si>
  <si>
    <t>IO2004-C-3250.CFE</t>
  </si>
  <si>
    <t>IO2004-P-3200.CFE</t>
  </si>
  <si>
    <t>IO2004-P-3250.CFE</t>
  </si>
  <si>
    <t>IO2005-C-3200.CFE</t>
  </si>
  <si>
    <t>IO2005-C-3250.CFE</t>
  </si>
  <si>
    <t>IO2005-C-3300.CFE</t>
  </si>
  <si>
    <t>IO2005-C-3350.CFE</t>
  </si>
  <si>
    <t>IO2005-C-3400.CFE</t>
  </si>
  <si>
    <t>IO2005-C-3450.CFE</t>
  </si>
  <si>
    <t>IO2005-C-4650.CFE</t>
  </si>
  <si>
    <t>IO2005-P-3200.CFE</t>
  </si>
  <si>
    <t>IO2005-P-3250.CFE</t>
  </si>
  <si>
    <t>IO2005-P-3300.CFE</t>
  </si>
  <si>
    <t>IO2005-P-3350.CFE</t>
  </si>
  <si>
    <t>IO2005-P-3400.CFE</t>
  </si>
  <si>
    <t>IO2005-P-3450.CFE</t>
  </si>
  <si>
    <t>IO2005-P-4650.CFE</t>
  </si>
  <si>
    <t>IO2006-C-3200.CFE</t>
  </si>
  <si>
    <t>IO2006-C-3250.CFE</t>
  </si>
  <si>
    <t>IO2006-C-3350.CFE</t>
  </si>
  <si>
    <t>IO2006-C-3450.CFE</t>
  </si>
  <si>
    <t>IO2006-C-3550.CFE</t>
  </si>
  <si>
    <t>IO2006-C-3650.CFE</t>
  </si>
  <si>
    <t>IO2006-C-3750.CFE</t>
  </si>
  <si>
    <t>IO2006-C-3850.CFE</t>
  </si>
  <si>
    <t>IO2006-C-3950.CFE</t>
  </si>
  <si>
    <t>IO2006-C-4050.CFE</t>
  </si>
  <si>
    <t>IO2006-P-3200.CFE</t>
  </si>
  <si>
    <t>IO2006-P-3250.CFE</t>
  </si>
  <si>
    <t>IO2006-P-3350.CFE</t>
  </si>
  <si>
    <t>IO2006-P-3450.CFE</t>
  </si>
  <si>
    <t>IO2006-P-3550.CFE</t>
  </si>
  <si>
    <t>IO2006-P-3650.CFE</t>
  </si>
  <si>
    <t>IO2006-P-3750.CFE</t>
  </si>
  <si>
    <t>IO2006-P-3850.CFE</t>
  </si>
  <si>
    <t>IO2006-P-3950.CFE</t>
  </si>
  <si>
    <t>IO2006-P-4050.CFE</t>
  </si>
  <si>
    <t>IO2009-C-3200.CFE</t>
  </si>
  <si>
    <t>IO2009-P-3200.CFE</t>
  </si>
  <si>
    <t>IO2012-C-3200.CFE</t>
  </si>
  <si>
    <t>IO2012-P-3200.CFE</t>
  </si>
  <si>
    <t>IO2103-C-3200.CFE</t>
  </si>
  <si>
    <t>IO2103-C-3300.CFE</t>
  </si>
  <si>
    <t>IO2103-C-3400.CFE</t>
  </si>
  <si>
    <t>IO2103-C-3500.CFE</t>
  </si>
  <si>
    <t>IO2103-C-3600.CFE</t>
  </si>
  <si>
    <t>IO2103-C-3700.CFE</t>
  </si>
  <si>
    <t>IO2103-C-3800.CFE</t>
  </si>
  <si>
    <t>IO2103-C-3900.CFE</t>
  </si>
  <si>
    <t>IO2103-C-4000.CFE</t>
  </si>
  <si>
    <t>IO2103-C-4100.CFE</t>
  </si>
  <si>
    <t>IO2103-P-3200.CFE</t>
  </si>
  <si>
    <t>IO2103-P-3300.CFE</t>
  </si>
  <si>
    <t>IO2103-P-3400.CFE</t>
  </si>
  <si>
    <t>IO2103-P-3500.CFE</t>
  </si>
  <si>
    <t>IO2103-P-3600.CFE</t>
  </si>
  <si>
    <t>IO2103-P-3700.CFE</t>
  </si>
  <si>
    <t>IO2103-P-3800.CFE</t>
  </si>
  <si>
    <t>IO2103-P-3900.CFE</t>
  </si>
  <si>
    <t>IO2103-P-4000.CFE</t>
  </si>
  <si>
    <t>IO2103-P-4100.CFE</t>
  </si>
  <si>
    <t>10002381.SH</t>
  </si>
  <si>
    <t>10002382.SH</t>
  </si>
  <si>
    <t>10002383.SH</t>
  </si>
  <si>
    <t>10002384.SH</t>
  </si>
  <si>
    <t>10002389.SH</t>
  </si>
  <si>
    <t>10002390.SH</t>
  </si>
  <si>
    <t>10002391.SH</t>
  </si>
  <si>
    <t>10002392.SH</t>
  </si>
  <si>
    <t>10002411.SH</t>
  </si>
  <si>
    <t>10002412.SH</t>
  </si>
  <si>
    <t>10002413.SH</t>
  </si>
  <si>
    <t>10002414.SH</t>
  </si>
  <si>
    <t>10002415.SH</t>
  </si>
  <si>
    <t>10002416.SH</t>
  </si>
  <si>
    <t>CALLs</t>
  </si>
  <si>
    <t>PUTs</t>
  </si>
  <si>
    <t>做空CALLs，做多PUTs, 做多指数</t>
  </si>
  <si>
    <t>做多CALLs, 做空PUTs, 做空指数</t>
  </si>
  <si>
    <t>做多CALLs, 做空PUTs，做空指数</t>
  </si>
  <si>
    <t>最低保障倍数</t>
  </si>
  <si>
    <t>指数保证金</t>
  </si>
  <si>
    <t>指数月预期收益</t>
  </si>
  <si>
    <t>510300.SH</t>
    <phoneticPr fontId="2" type="noConversion"/>
  </si>
  <si>
    <t>10002427.SH</t>
  </si>
  <si>
    <t>10002428.SH</t>
  </si>
  <si>
    <t>10002429.SH</t>
  </si>
  <si>
    <t>10002430.SH</t>
  </si>
  <si>
    <t>10002431.SH</t>
  </si>
  <si>
    <t>10002432.SH</t>
  </si>
  <si>
    <t>10002451.SH</t>
  </si>
  <si>
    <t>10002452.SH</t>
  </si>
  <si>
    <t>10002453.SH</t>
  </si>
  <si>
    <t>10002454.SH</t>
  </si>
  <si>
    <t>10002455.SH</t>
  </si>
  <si>
    <t>10002456.SH</t>
  </si>
  <si>
    <t>10002457.SH</t>
  </si>
  <si>
    <t>10002458.SH</t>
  </si>
  <si>
    <t>10002459.SH</t>
  </si>
  <si>
    <t>10002460.SH</t>
  </si>
  <si>
    <t>10002461.SH</t>
  </si>
  <si>
    <t>10002462.SH</t>
  </si>
  <si>
    <t>10002463.SH</t>
  </si>
  <si>
    <t>10002464.SH</t>
  </si>
  <si>
    <t>10002465.SH</t>
  </si>
  <si>
    <t>10002466.SH</t>
  </si>
  <si>
    <t>10002467.SH</t>
  </si>
  <si>
    <t>10002468.SH</t>
  </si>
  <si>
    <t>ID</t>
  </si>
  <si>
    <t>C/P</t>
  </si>
  <si>
    <t>K</t>
  </si>
  <si>
    <t>T</t>
  </si>
  <si>
    <t>Idp</t>
  </si>
  <si>
    <t>Idc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</si>
</sst>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164" formatCode="#,##0.0_ "/>
    <numFmt numFmtId="165" formatCode="0.0"/>
    <numFmt numFmtId="166" formatCode="0.000"/>
    <numFmt numFmtId="167" formatCode="0.0000"/>
    <numFmt numFmtId="168" formatCode="mmdd"/>
    <numFmt numFmtId="169" formatCode="yyyymmdd"/>
    <numFmt numFmtId="170" formatCode="m&quot;月&quot;d&quot;日&quot;;@"/>
    <numFmt numFmtId="171" formatCode="0.0%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9"/>
      <color rgb="FFFF0000"/>
      <name val="Agency FB"/>
      <family val="2"/>
    </font>
  </fonts>
  <fills count="6">
    <fill>
      <patternFill patternType="none"/>
    </fill>
    <fill>
      <patternFill patternType="gray125"/>
    </fill>
    <fill>
      <patternFill patternType="solid">
        <fgColor rgb="FFB3EB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63">
    <xf numFmtId="0" fontId="0" fillId="0" borderId="0" xfId="0"/>
    <xf numFmtId="0" fontId="3" fillId="0" borderId="0" xfId="0" applyFont="1"/>
    <xf numFmtId="10" fontId="0" fillId="0" borderId="0" xfId="1" applyNumberFormat="1" applyFont="1" applyAlignment="1"/>
    <xf numFmtId="0" fontId="0" fillId="0" borderId="0" xfId="0" applyNumberFormat="1"/>
    <xf numFmtId="165" fontId="0" fillId="0" borderId="0" xfId="0" applyNumberFormat="1"/>
    <xf numFmtId="165" fontId="3" fillId="0" borderId="0" xfId="0" applyNumberFormat="1" applyFont="1"/>
    <xf numFmtId="1" fontId="0" fillId="0" borderId="0" xfId="0" applyNumberFormat="1"/>
    <xf numFmtId="166" fontId="0" fillId="0" borderId="0" xfId="0" applyNumberFormat="1"/>
    <xf numFmtId="1" fontId="0" fillId="0" borderId="0" xfId="0" applyNumberFormat="1" applyFill="1"/>
    <xf numFmtId="0" fontId="0" fillId="0" borderId="1" xfId="0" applyBorder="1"/>
    <xf numFmtId="164" fontId="0" fillId="0" borderId="1" xfId="0" applyNumberFormat="1" applyFill="1" applyBorder="1"/>
    <xf numFmtId="0" fontId="0" fillId="0" borderId="2" xfId="0" applyBorder="1"/>
    <xf numFmtId="1" fontId="0" fillId="0" borderId="2" xfId="0" applyNumberFormat="1" applyBorder="1"/>
    <xf numFmtId="10" fontId="0" fillId="0" borderId="2" xfId="1" applyNumberFormat="1" applyFont="1" applyBorder="1" applyAlignment="1"/>
    <xf numFmtId="167" fontId="0" fillId="0" borderId="0" xfId="0" applyNumberFormat="1" applyFill="1"/>
    <xf numFmtId="167" fontId="0" fillId="0" borderId="0" xfId="0" applyNumberFormat="1"/>
    <xf numFmtId="3" fontId="0" fillId="0" borderId="2" xfId="0" applyNumberFormat="1" applyBorder="1"/>
    <xf numFmtId="49" fontId="0" fillId="0" borderId="0" xfId="0" applyNumberFormat="1" applyAlignment="1">
      <alignment horizontal="right"/>
    </xf>
    <xf numFmtId="168" fontId="0" fillId="0" borderId="2" xfId="0" applyNumberFormat="1" applyBorder="1" applyAlignment="1">
      <alignment horizontal="right"/>
    </xf>
    <xf numFmtId="0" fontId="0" fillId="0" borderId="2" xfId="0" applyNumberFormat="1" applyBorder="1"/>
    <xf numFmtId="169" fontId="4" fillId="0" borderId="5" xfId="0" applyNumberFormat="1" applyFont="1" applyBorder="1"/>
    <xf numFmtId="0" fontId="0" fillId="0" borderId="3" xfId="0" applyBorder="1"/>
    <xf numFmtId="3" fontId="0" fillId="0" borderId="0" xfId="0" applyNumberFormat="1" applyBorder="1"/>
    <xf numFmtId="10" fontId="0" fillId="0" borderId="0" xfId="0" applyNumberFormat="1"/>
    <xf numFmtId="10" fontId="0" fillId="0" borderId="2" xfId="0" applyNumberFormat="1" applyBorder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3" fontId="6" fillId="0" borderId="2" xfId="0" applyNumberFormat="1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0" fillId="2" borderId="0" xfId="0" applyFill="1"/>
    <xf numFmtId="165" fontId="3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1" xfId="0" applyNumberFormat="1" applyBorder="1"/>
    <xf numFmtId="3" fontId="0" fillId="2" borderId="1" xfId="0" applyNumberFormat="1" applyFill="1" applyBorder="1"/>
    <xf numFmtId="3" fontId="6" fillId="2" borderId="1" xfId="0" applyNumberFormat="1" applyFont="1" applyFill="1" applyBorder="1" applyAlignment="1">
      <alignment vertical="top" wrapText="1"/>
    </xf>
    <xf numFmtId="0" fontId="0" fillId="0" borderId="0" xfId="0" applyNumberFormat="1" applyBorder="1"/>
    <xf numFmtId="165" fontId="3" fillId="0" borderId="0" xfId="0" applyNumberFormat="1" applyFont="1" applyBorder="1"/>
    <xf numFmtId="0" fontId="0" fillId="0" borderId="0" xfId="0" applyBorder="1"/>
    <xf numFmtId="10" fontId="0" fillId="0" borderId="0" xfId="1" applyNumberFormat="1" applyFont="1" applyBorder="1" applyAlignment="1"/>
    <xf numFmtId="0" fontId="8" fillId="2" borderId="11" xfId="0" applyFont="1" applyFill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5" fillId="0" borderId="8" xfId="0" applyNumberFormat="1" applyFont="1" applyBorder="1" applyAlignment="1">
      <alignment horizontal="center" vertical="top" wrapText="1"/>
    </xf>
    <xf numFmtId="168" fontId="5" fillId="0" borderId="9" xfId="0" applyNumberFormat="1" applyFont="1" applyBorder="1" applyAlignment="1">
      <alignment horizontal="left" vertical="top" wrapText="1"/>
    </xf>
    <xf numFmtId="0" fontId="5" fillId="0" borderId="8" xfId="0" applyNumberFormat="1" applyFont="1" applyBorder="1" applyAlignment="1">
      <alignment vertical="top" wrapText="1"/>
    </xf>
    <xf numFmtId="165" fontId="5" fillId="0" borderId="8" xfId="0" applyNumberFormat="1" applyFont="1" applyBorder="1" applyAlignment="1">
      <alignment vertical="top" wrapText="1"/>
    </xf>
    <xf numFmtId="1" fontId="5" fillId="0" borderId="8" xfId="0" applyNumberFormat="1" applyFont="1" applyBorder="1" applyAlignment="1">
      <alignment vertical="top" wrapText="1"/>
    </xf>
    <xf numFmtId="0" fontId="5" fillId="0" borderId="9" xfId="0" applyFont="1" applyBorder="1" applyAlignment="1">
      <alignment vertical="top" wrapText="1"/>
    </xf>
    <xf numFmtId="3" fontId="5" fillId="0" borderId="9" xfId="0" applyNumberFormat="1" applyFont="1" applyBorder="1" applyAlignment="1">
      <alignment vertical="top" wrapText="1"/>
    </xf>
    <xf numFmtId="0" fontId="5" fillId="0" borderId="11" xfId="0" applyFont="1" applyBorder="1" applyAlignment="1">
      <alignment vertical="top" wrapText="1"/>
    </xf>
    <xf numFmtId="0" fontId="0" fillId="0" borderId="5" xfId="0" applyBorder="1"/>
    <xf numFmtId="0" fontId="6" fillId="0" borderId="8" xfId="0" applyFont="1" applyBorder="1" applyAlignment="1">
      <alignment vertical="top" wrapText="1"/>
    </xf>
    <xf numFmtId="0" fontId="9" fillId="0" borderId="0" xfId="0" applyNumberFormat="1" applyFont="1"/>
    <xf numFmtId="0" fontId="9" fillId="0" borderId="0" xfId="0" applyNumberFormat="1" applyFont="1" applyBorder="1"/>
    <xf numFmtId="3" fontId="9" fillId="0" borderId="2" xfId="0" applyNumberFormat="1" applyFont="1" applyBorder="1"/>
    <xf numFmtId="3" fontId="10" fillId="5" borderId="2" xfId="0" applyNumberFormat="1" applyFont="1" applyFill="1" applyBorder="1" applyAlignment="1">
      <alignment vertical="top" wrapText="1"/>
    </xf>
    <xf numFmtId="3" fontId="9" fillId="5" borderId="2" xfId="0" applyNumberFormat="1" applyFont="1" applyFill="1" applyBorder="1"/>
    <xf numFmtId="3" fontId="9" fillId="5" borderId="6" xfId="0" applyNumberFormat="1" applyFont="1" applyFill="1" applyBorder="1" applyAlignment="1"/>
    <xf numFmtId="0" fontId="0" fillId="0" borderId="7" xfId="0" applyBorder="1" applyAlignment="1">
      <alignment horizontal="left"/>
    </xf>
    <xf numFmtId="0" fontId="5" fillId="0" borderId="10" xfId="0" applyFont="1" applyBorder="1" applyAlignment="1">
      <alignment horizontal="left" vertical="top" wrapText="1"/>
    </xf>
    <xf numFmtId="49" fontId="0" fillId="0" borderId="0" xfId="0" applyNumberFormat="1" applyAlignment="1">
      <alignment horizontal="left"/>
    </xf>
    <xf numFmtId="169" fontId="4" fillId="2" borderId="9" xfId="0" applyNumberFormat="1" applyFont="1" applyFill="1" applyBorder="1"/>
    <xf numFmtId="3" fontId="0" fillId="2" borderId="2" xfId="0" applyNumberFormat="1" applyFill="1" applyBorder="1"/>
    <xf numFmtId="0" fontId="5" fillId="2" borderId="0" xfId="0" applyNumberFormat="1" applyFont="1" applyFill="1" applyBorder="1" applyAlignment="1">
      <alignment horizontal="left" vertical="top" wrapText="1"/>
    </xf>
    <xf numFmtId="0" fontId="5" fillId="0" borderId="6" xfId="0" applyNumberFormat="1" applyFont="1" applyBorder="1" applyAlignment="1">
      <alignment horizontal="center" vertical="top" wrapText="1"/>
    </xf>
    <xf numFmtId="0" fontId="6" fillId="3" borderId="8" xfId="0" applyFont="1" applyFill="1" applyBorder="1" applyAlignment="1">
      <alignment vertical="top" wrapText="1"/>
    </xf>
    <xf numFmtId="0" fontId="6" fillId="3" borderId="8" xfId="0" applyFont="1" applyFill="1" applyBorder="1" applyAlignment="1">
      <alignment horizontal="center" vertical="top" wrapText="1"/>
    </xf>
    <xf numFmtId="168" fontId="6" fillId="3" borderId="9" xfId="0" applyNumberFormat="1" applyFont="1" applyFill="1" applyBorder="1" applyAlignment="1">
      <alignment horizontal="right" vertical="top" wrapText="1"/>
    </xf>
    <xf numFmtId="0" fontId="5" fillId="3" borderId="8" xfId="0" applyFont="1" applyFill="1" applyBorder="1" applyAlignment="1">
      <alignment vertical="top"/>
    </xf>
    <xf numFmtId="0" fontId="6" fillId="3" borderId="8" xfId="0" applyNumberFormat="1" applyFont="1" applyFill="1" applyBorder="1" applyAlignment="1">
      <alignment vertical="top" wrapText="1"/>
    </xf>
    <xf numFmtId="0" fontId="5" fillId="3" borderId="5" xfId="0" applyFont="1" applyFill="1" applyBorder="1" applyAlignment="1">
      <alignment vertical="top" wrapText="1"/>
    </xf>
    <xf numFmtId="165" fontId="5" fillId="3" borderId="8" xfId="0" applyNumberFormat="1" applyFont="1" applyFill="1" applyBorder="1" applyAlignment="1">
      <alignment vertical="top" wrapText="1"/>
    </xf>
    <xf numFmtId="165" fontId="6" fillId="3" borderId="8" xfId="0" applyNumberFormat="1" applyFont="1" applyFill="1" applyBorder="1" applyAlignment="1">
      <alignment horizontal="center" vertical="top" wrapText="1"/>
    </xf>
    <xf numFmtId="0" fontId="6" fillId="3" borderId="9" xfId="0" applyFont="1" applyFill="1" applyBorder="1" applyAlignment="1">
      <alignment vertical="top" wrapText="1"/>
    </xf>
    <xf numFmtId="0" fontId="6" fillId="4" borderId="8" xfId="0" applyFont="1" applyFill="1" applyBorder="1" applyAlignment="1">
      <alignment vertical="top" wrapText="1"/>
    </xf>
    <xf numFmtId="165" fontId="6" fillId="4" borderId="8" xfId="0" applyNumberFormat="1" applyFont="1" applyFill="1" applyBorder="1" applyAlignment="1">
      <alignment horizontal="center" vertical="top" wrapText="1"/>
    </xf>
    <xf numFmtId="168" fontId="6" fillId="4" borderId="8" xfId="0" applyNumberFormat="1" applyFont="1" applyFill="1" applyBorder="1" applyAlignment="1">
      <alignment horizontal="right" vertical="top" wrapText="1"/>
    </xf>
    <xf numFmtId="0" fontId="5" fillId="4" borderId="8" xfId="0" applyFont="1" applyFill="1" applyBorder="1" applyAlignment="1">
      <alignment vertical="top"/>
    </xf>
    <xf numFmtId="0" fontId="6" fillId="4" borderId="8" xfId="0" applyNumberFormat="1" applyFont="1" applyFill="1" applyBorder="1" applyAlignment="1">
      <alignment vertical="top" wrapText="1"/>
    </xf>
    <xf numFmtId="0" fontId="5" fillId="4" borderId="5" xfId="0" applyFont="1" applyFill="1" applyBorder="1" applyAlignment="1">
      <alignment vertical="top" wrapText="1"/>
    </xf>
    <xf numFmtId="165" fontId="5" fillId="4" borderId="8" xfId="0" applyNumberFormat="1" applyFont="1" applyFill="1" applyBorder="1" applyAlignment="1">
      <alignment vertical="top" wrapText="1"/>
    </xf>
    <xf numFmtId="0" fontId="6" fillId="4" borderId="9" xfId="0" applyFont="1" applyFill="1" applyBorder="1" applyAlignment="1">
      <alignment vertical="top" wrapText="1"/>
    </xf>
    <xf numFmtId="14" fontId="0" fillId="0" borderId="0" xfId="0" applyNumberFormat="1"/>
    <xf numFmtId="0" fontId="7" fillId="3" borderId="8" xfId="0" applyFont="1" applyFill="1" applyBorder="1" applyAlignment="1">
      <alignment vertical="top" wrapText="1"/>
    </xf>
    <xf numFmtId="0" fontId="7" fillId="4" borderId="10" xfId="0" applyNumberFormat="1" applyFont="1" applyFill="1" applyBorder="1" applyAlignment="1">
      <alignment horizontal="left" vertical="top" wrapText="1"/>
    </xf>
    <xf numFmtId="165" fontId="3" fillId="0" borderId="0" xfId="0" applyNumberFormat="1" applyFont="1" applyBorder="1" applyAlignment="1">
      <alignment horizontal="center"/>
    </xf>
    <xf numFmtId="1" fontId="5" fillId="0" borderId="8" xfId="0" applyNumberFormat="1" applyFont="1" applyBorder="1" applyAlignment="1">
      <alignment horizontal="center" vertical="top" wrapText="1"/>
    </xf>
    <xf numFmtId="1" fontId="5" fillId="0" borderId="9" xfId="0" applyNumberFormat="1" applyFont="1" applyBorder="1" applyAlignment="1">
      <alignment horizontal="center" vertical="top" wrapText="1"/>
    </xf>
    <xf numFmtId="1" fontId="5" fillId="0" borderId="6" xfId="0" applyNumberFormat="1" applyFont="1" applyBorder="1" applyAlignment="1">
      <alignment horizontal="center" vertical="top" wrapText="1"/>
    </xf>
    <xf numFmtId="3" fontId="11" fillId="5" borderId="9" xfId="0" applyNumberFormat="1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vertical="top" wrapText="1"/>
    </xf>
    <xf numFmtId="171" fontId="3" fillId="0" borderId="0" xfId="1" applyNumberFormat="1" applyFont="1" applyAlignment="1">
      <alignment horizontal="center"/>
    </xf>
    <xf numFmtId="10" fontId="0" fillId="0" borderId="7" xfId="1" applyNumberFormat="1" applyFont="1" applyBorder="1" applyAlignment="1">
      <alignment horizontal="center"/>
    </xf>
    <xf numFmtId="0" fontId="0" fillId="0" borderId="0" xfId="0" applyNumberFormat="1" applyAlignment="1">
      <alignment horizontal="right"/>
    </xf>
    <xf numFmtId="49" fontId="0" fillId="0" borderId="0" xfId="0" applyNumberFormat="1" applyBorder="1" applyAlignment="1">
      <alignment horizontal="right"/>
    </xf>
    <xf numFmtId="0" fontId="0" fillId="0" borderId="2" xfId="0" applyNumberFormat="1" applyBorder="1" applyAlignment="1">
      <alignment horizontal="center"/>
    </xf>
    <xf numFmtId="0" fontId="0" fillId="4" borderId="5" xfId="0" applyFill="1" applyBorder="1" applyAlignment="1">
      <alignment horizontal="center"/>
    </xf>
    <xf numFmtId="170" fontId="12" fillId="0" borderId="0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vertical="top" wrapText="1"/>
    </xf>
    <xf numFmtId="0" fontId="0" fillId="2" borderId="0" xfId="0" applyFill="1" applyBorder="1"/>
    <xf numFmtId="165" fontId="0" fillId="0" borderId="0" xfId="0" applyNumberFormat="1" applyBorder="1"/>
    <xf numFmtId="168" fontId="0" fillId="0" borderId="0" xfId="0" applyNumberFormat="1" applyBorder="1" applyAlignment="1">
      <alignment horizontal="right"/>
    </xf>
    <xf numFmtId="0" fontId="5" fillId="0" borderId="0" xfId="0" applyFont="1" applyBorder="1" applyAlignment="1">
      <alignment vertical="top" wrapText="1"/>
    </xf>
    <xf numFmtId="1" fontId="0" fillId="0" borderId="0" xfId="0" applyNumberFormat="1" applyBorder="1"/>
    <xf numFmtId="0" fontId="7" fillId="3" borderId="8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10" fontId="0" fillId="0" borderId="0" xfId="1" applyNumberFormat="1" applyFont="1" applyAlignment="1">
      <alignment horizontal="left"/>
    </xf>
    <xf numFmtId="0" fontId="5" fillId="0" borderId="8" xfId="0" applyFont="1" applyBorder="1" applyAlignment="1">
      <alignment horizontal="left" vertical="top" wrapText="1"/>
    </xf>
    <xf numFmtId="0" fontId="6" fillId="4" borderId="0" xfId="0" applyFont="1" applyFill="1" applyBorder="1" applyAlignment="1">
      <alignment vertical="top" wrapText="1"/>
    </xf>
    <xf numFmtId="3" fontId="9" fillId="0" borderId="0" xfId="0" applyNumberFormat="1" applyFont="1" applyBorder="1"/>
    <xf numFmtId="0" fontId="0" fillId="0" borderId="0" xfId="0" applyAlignment="1"/>
    <xf numFmtId="49" fontId="0" fillId="0" borderId="0" xfId="0" applyNumberFormat="1" applyBorder="1" applyAlignment="1"/>
    <xf numFmtId="1" fontId="6" fillId="3" borderId="8" xfId="0" applyNumberFormat="1" applyFont="1" applyFill="1" applyBorder="1" applyAlignment="1">
      <alignment vertical="top" wrapText="1"/>
    </xf>
    <xf numFmtId="0" fontId="0" fillId="3" borderId="5" xfId="0" applyFill="1" applyBorder="1" applyAlignment="1">
      <alignment horizontal="center"/>
    </xf>
    <xf numFmtId="3" fontId="0" fillId="2" borderId="11" xfId="0" applyNumberFormat="1" applyFill="1" applyBorder="1"/>
    <xf numFmtId="49" fontId="0" fillId="0" borderId="8" xfId="0" applyNumberFormat="1" applyBorder="1" applyAlignment="1">
      <alignment horizontal="left"/>
    </xf>
    <xf numFmtId="0" fontId="0" fillId="2" borderId="8" xfId="0" applyFill="1" applyBorder="1"/>
    <xf numFmtId="0" fontId="0" fillId="0" borderId="9" xfId="0" applyNumberFormat="1" applyBorder="1" applyAlignment="1">
      <alignment horizontal="center"/>
    </xf>
    <xf numFmtId="168" fontId="0" fillId="0" borderId="9" xfId="0" applyNumberFormat="1" applyBorder="1" applyAlignment="1">
      <alignment horizontal="right"/>
    </xf>
    <xf numFmtId="167" fontId="0" fillId="0" borderId="8" xfId="0" applyNumberFormat="1" applyBorder="1"/>
    <xf numFmtId="0" fontId="9" fillId="0" borderId="8" xfId="0" applyNumberFormat="1" applyFont="1" applyBorder="1"/>
    <xf numFmtId="0" fontId="0" fillId="0" borderId="8" xfId="0" applyNumberFormat="1" applyBorder="1"/>
    <xf numFmtId="167" fontId="0" fillId="0" borderId="8" xfId="0" applyNumberFormat="1" applyFill="1" applyBorder="1"/>
    <xf numFmtId="1" fontId="0" fillId="0" borderId="8" xfId="0" applyNumberFormat="1" applyFill="1" applyBorder="1"/>
    <xf numFmtId="3" fontId="9" fillId="0" borderId="9" xfId="0" applyNumberFormat="1" applyFont="1" applyBorder="1"/>
    <xf numFmtId="165" fontId="0" fillId="0" borderId="8" xfId="0" applyNumberFormat="1" applyBorder="1" applyAlignment="1">
      <alignment horizontal="center"/>
    </xf>
    <xf numFmtId="3" fontId="9" fillId="0" borderId="8" xfId="0" applyNumberFormat="1" applyFont="1" applyBorder="1"/>
    <xf numFmtId="0" fontId="0" fillId="0" borderId="8" xfId="0" applyBorder="1"/>
    <xf numFmtId="3" fontId="0" fillId="0" borderId="9" xfId="0" applyNumberFormat="1" applyBorder="1"/>
    <xf numFmtId="164" fontId="0" fillId="0" borderId="11" xfId="0" applyNumberFormat="1" applyFill="1" applyBorder="1"/>
    <xf numFmtId="1" fontId="0" fillId="0" borderId="8" xfId="0" applyNumberFormat="1" applyBorder="1"/>
    <xf numFmtId="10" fontId="0" fillId="0" borderId="8" xfId="1" applyNumberFormat="1" applyFont="1" applyBorder="1" applyAlignment="1"/>
    <xf numFmtId="10" fontId="0" fillId="0" borderId="9" xfId="1" applyNumberFormat="1" applyFont="1" applyBorder="1" applyAlignment="1"/>
    <xf numFmtId="3" fontId="9" fillId="5" borderId="9" xfId="0" applyNumberFormat="1" applyFont="1" applyFill="1" applyBorder="1"/>
    <xf numFmtId="49" fontId="0" fillId="0" borderId="8" xfId="0" applyNumberFormat="1" applyBorder="1" applyAlignment="1">
      <alignment horizontal="right"/>
    </xf>
    <xf numFmtId="0" fontId="0" fillId="0" borderId="8" xfId="0" applyNumberFormat="1" applyBorder="1" applyAlignment="1">
      <alignment horizontal="right"/>
    </xf>
    <xf numFmtId="165" fontId="0" fillId="0" borderId="8" xfId="0" applyNumberFormat="1" applyBorder="1"/>
    <xf numFmtId="168" fontId="0" fillId="0" borderId="8" xfId="0" applyNumberFormat="1" applyBorder="1" applyAlignment="1">
      <alignment horizontal="right"/>
    </xf>
    <xf numFmtId="49" fontId="0" fillId="0" borderId="8" xfId="0" applyNumberFormat="1" applyBorder="1" applyAlignment="1"/>
    <xf numFmtId="10" fontId="0" fillId="0" borderId="0" xfId="1" applyNumberFormat="1" applyFont="1" applyAlignment="1">
      <alignment horizontal="center"/>
    </xf>
    <xf numFmtId="1" fontId="0" fillId="0" borderId="9" xfId="0" applyNumberFormat="1" applyBorder="1"/>
    <xf numFmtId="0" fontId="5" fillId="0" borderId="0" xfId="0" applyFont="1"/>
    <xf numFmtId="49" fontId="0" fillId="0" borderId="7" xfId="0" applyNumberFormat="1" applyBorder="1" applyAlignment="1">
      <alignment horizontal="right"/>
    </xf>
    <xf numFmtId="0" fontId="5" fillId="0" borderId="0" xfId="0" applyFont="1" applyBorder="1" applyAlignment="1">
      <alignment horizontal="center" vertical="center" wrapText="1"/>
    </xf>
    <xf numFmtId="1" fontId="0" fillId="4" borderId="4" xfId="0" applyNumberFormat="1" applyFill="1" applyBorder="1" applyAlignment="1">
      <alignment horizontal="center"/>
    </xf>
    <xf numFmtId="1" fontId="0" fillId="4" borderId="5" xfId="0" applyNumberFormat="1" applyFill="1" applyBorder="1" applyAlignment="1">
      <alignment horizontal="center"/>
    </xf>
    <xf numFmtId="1" fontId="0" fillId="4" borderId="6" xfId="0" applyNumberFormat="1" applyFill="1" applyBorder="1" applyAlignment="1">
      <alignment horizontal="center"/>
    </xf>
    <xf numFmtId="1" fontId="0" fillId="3" borderId="5" xfId="0" applyNumberFormat="1" applyFill="1" applyBorder="1" applyAlignment="1">
      <alignment horizontal="center"/>
    </xf>
    <xf numFmtId="1" fontId="0" fillId="3" borderId="6" xfId="0" applyNumberFormat="1" applyFill="1" applyBorder="1" applyAlignment="1">
      <alignment horizontal="center"/>
    </xf>
    <xf numFmtId="1" fontId="0" fillId="3" borderId="4" xfId="0" applyNumberFormat="1" applyFill="1" applyBorder="1" applyAlignment="1">
      <alignment horizontal="center"/>
    </xf>
    <xf numFmtId="1" fontId="7" fillId="4" borderId="10" xfId="0" applyNumberFormat="1" applyFont="1" applyFill="1" applyBorder="1" applyAlignment="1">
      <alignment horizontal="center" vertical="center" wrapText="1"/>
    </xf>
    <xf numFmtId="1" fontId="7" fillId="4" borderId="8" xfId="0" applyNumberFormat="1" applyFont="1" applyFill="1" applyBorder="1" applyAlignment="1">
      <alignment horizontal="center" vertical="center" wrapText="1"/>
    </xf>
    <xf numFmtId="1" fontId="7" fillId="4" borderId="9" xfId="0" applyNumberFormat="1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1" fontId="7" fillId="3" borderId="10" xfId="0" applyNumberFormat="1" applyFont="1" applyFill="1" applyBorder="1" applyAlignment="1">
      <alignment horizontal="center" vertical="center" wrapText="1"/>
    </xf>
    <xf numFmtId="1" fontId="7" fillId="3" borderId="8" xfId="0" applyNumberFormat="1" applyFont="1" applyFill="1" applyBorder="1" applyAlignment="1">
      <alignment horizontal="center" vertical="center" wrapText="1"/>
    </xf>
    <xf numFmtId="1" fontId="7" fillId="3" borderId="9" xfId="0" applyNumberFormat="1" applyFont="1" applyFill="1" applyBorder="1" applyAlignment="1">
      <alignment horizontal="center" vertical="center" wrapText="1"/>
    </xf>
  </cellXfs>
  <cellStyles count="2">
    <cellStyle name="百分比" xfId="1" builtinId="5"/>
    <cellStyle name="常规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B3EBC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wdf.rtq">
      <tp>
        <v>8</v>
        <stp/>
        <stp>IO2006-P-3800.CFE</stp>
        <stp>Volume</stp>
        <tr r="AG78" s="3"/>
      </tp>
      <tp>
        <v>2</v>
        <stp/>
        <stp>IO2006-P-3850.CFE</stp>
        <stp>Volume</stp>
        <tr r="AG79" s="3"/>
      </tp>
      <tp>
        <v>34</v>
        <stp/>
        <stp>IO2006-C-3800.CFE</stp>
        <stp>Volume</stp>
        <tr r="G78" s="3"/>
      </tp>
      <tp>
        <v>0</v>
        <stp/>
        <stp>IO2006-C-3850.CFE</stp>
        <stp>Volume</stp>
        <tr r="G79" s="3"/>
      </tp>
      <tp>
        <v>4</v>
        <stp/>
        <stp>IO2006-P-3900.CFE</stp>
        <stp>Volume</stp>
        <tr r="AG80" s="3"/>
      </tp>
      <tp>
        <v>1</v>
        <stp/>
        <stp>IO2006-P-3950.CFE</stp>
        <stp>Volume</stp>
        <tr r="AG81" s="3"/>
      </tp>
      <tp>
        <v>19</v>
        <stp/>
        <stp>IO2006-C-3900.CFE</stp>
        <stp>Volume</stp>
        <tr r="G80" s="3"/>
      </tp>
      <tp>
        <v>1</v>
        <stp/>
        <stp>IO2006-C-3950.CFE</stp>
        <stp>Volume</stp>
        <tr r="G81" s="3"/>
      </tp>
      <tp>
        <v>39</v>
        <stp/>
        <stp>IO2006-P-3600.CFE</stp>
        <stp>Volume</stp>
        <tr r="AG74" s="3"/>
      </tp>
      <tp>
        <v>12</v>
        <stp/>
        <stp>IO2006-P-3650.CFE</stp>
        <stp>Volume</stp>
        <tr r="AG75" s="3"/>
      </tp>
      <tp>
        <v>18</v>
        <stp/>
        <stp>IO2006-C-3600.CFE</stp>
        <stp>Volume</stp>
        <tr r="G74" s="3"/>
      </tp>
      <tp>
        <v>20</v>
        <stp/>
        <stp>IO2006-C-3650.CFE</stp>
        <stp>Volume</stp>
        <tr r="G75" s="3"/>
      </tp>
      <tp>
        <v>32</v>
        <stp/>
        <stp>IO2006-P-3700.CFE</stp>
        <stp>Volume</stp>
        <tr r="AG76" s="3"/>
      </tp>
      <tp>
        <v>18</v>
        <stp/>
        <stp>IO2006-P-3750.CFE</stp>
        <stp>Volume</stp>
        <tr r="AG77" s="3"/>
      </tp>
      <tp>
        <v>39</v>
        <stp/>
        <stp>IO2006-C-3700.CFE</stp>
        <stp>Volume</stp>
        <tr r="G76" s="3"/>
      </tp>
      <tp>
        <v>23</v>
        <stp/>
        <stp>IO2006-C-3750.CFE</stp>
        <stp>Volume</stp>
        <tr r="G77" s="3"/>
      </tp>
      <tp>
        <v>59</v>
        <stp/>
        <stp>IO2006-P-3400.CFE</stp>
        <stp>Volume</stp>
        <tr r="AG70" s="3"/>
      </tp>
      <tp>
        <v>7</v>
        <stp/>
        <stp>IO2006-P-3450.CFE</stp>
        <stp>Volume</stp>
        <tr r="AG71" s="3"/>
      </tp>
      <tp>
        <v>3</v>
        <stp/>
        <stp>IO2006-C-3400.CFE</stp>
        <stp>Volume</stp>
        <tr r="G70" s="3"/>
      </tp>
      <tp>
        <v>12</v>
        <stp/>
        <stp>IO2006-C-3450.CFE</stp>
        <stp>Volume</stp>
        <tr r="G71" s="3"/>
      </tp>
      <tp>
        <v>47</v>
        <stp/>
        <stp>IO2006-P-3500.CFE</stp>
        <stp>Volume</stp>
        <tr r="AG72" s="3"/>
      </tp>
      <tp>
        <v>6</v>
        <stp/>
        <stp>IO2006-P-3550.CFE</stp>
        <stp>Volume</stp>
        <tr r="AG73" s="3"/>
      </tp>
      <tp>
        <v>120</v>
        <stp/>
        <stp>IO2006-C-3500.CFE</stp>
        <stp>Volume</stp>
        <tr r="G72" s="3"/>
      </tp>
      <tp>
        <v>18</v>
        <stp/>
        <stp>IO2006-C-3550.CFE</stp>
        <stp>Volume</stp>
        <tr r="G73" s="3"/>
      </tp>
      <tp>
        <v>6</v>
        <stp/>
        <stp>IO2006-P-3200.CFE</stp>
        <stp>Volume</stp>
        <tr r="AG66" s="3"/>
      </tp>
      <tp>
        <v>6</v>
        <stp/>
        <stp>IO2006-P-3250.CFE</stp>
        <stp>Volume</stp>
        <tr r="AG67" s="3"/>
      </tp>
      <tp>
        <v>2</v>
        <stp/>
        <stp>IO2006-C-3200.CFE</stp>
        <stp>Volume</stp>
        <tr r="G66" s="3"/>
      </tp>
      <tp>
        <v>0</v>
        <stp/>
        <stp>IO2006-C-3250.CFE</stp>
        <stp>Volume</stp>
        <tr r="G67" s="3"/>
      </tp>
      <tp>
        <v>111</v>
        <stp/>
        <stp>IO2006-P-3300.CFE</stp>
        <stp>Volume</stp>
        <tr r="AG68" s="3"/>
      </tp>
      <tp>
        <v>3</v>
        <stp/>
        <stp>IO2006-P-3350.CFE</stp>
        <stp>Volume</stp>
        <tr r="AG69" s="3"/>
      </tp>
      <tp>
        <v>0</v>
        <stp/>
        <stp>IO2006-C-3300.CFE</stp>
        <stp>Volume</stp>
        <tr r="G68" s="3"/>
      </tp>
      <tp>
        <v>0</v>
        <stp/>
        <stp>IO2006-C-3350.CFE</stp>
        <stp>Volume</stp>
        <tr r="G69" s="3"/>
      </tp>
      <tp>
        <v>185</v>
        <stp/>
        <stp>IO2004-P-3800.CFE</stp>
        <stp>Volume</stp>
        <tr r="AG18" s="3"/>
      </tp>
      <tp>
        <v>131</v>
        <stp/>
        <stp>IO2004-P-3850.CFE</stp>
        <stp>Volume</stp>
        <tr r="AG19" s="3"/>
      </tp>
      <tp>
        <v>1598</v>
        <stp/>
        <stp>IO2004-C-3800.CFE</stp>
        <stp>Volume</stp>
        <tr r="G18" s="3"/>
      </tp>
      <tp>
        <v>446</v>
        <stp/>
        <stp>IO2004-C-3850.CFE</stp>
        <stp>Volume</stp>
        <tr r="G19" s="3"/>
      </tp>
      <tp>
        <v>60</v>
        <stp/>
        <stp>IO2004-P-3900.CFE</stp>
        <stp>Volume</stp>
        <tr r="AG20" s="3"/>
      </tp>
      <tp>
        <v>48</v>
        <stp/>
        <stp>IO2004-P-3950.CFE</stp>
        <stp>Volume</stp>
        <tr r="AG21" s="3"/>
      </tp>
      <tp>
        <v>901</v>
        <stp/>
        <stp>IO2004-C-3900.CFE</stp>
        <stp>Volume</stp>
        <tr r="G20" s="3"/>
      </tp>
      <tp>
        <v>225</v>
        <stp/>
        <stp>IO2004-C-3950.CFE</stp>
        <stp>Volume</stp>
        <tr r="G21" s="3"/>
      </tp>
      <tp>
        <v>1097</v>
        <stp/>
        <stp>IO2004-P-3600.CFE</stp>
        <stp>Volume</stp>
        <tr r="AG14" s="3"/>
      </tp>
      <tp>
        <v>322</v>
        <stp/>
        <stp>IO2004-P-3650.CFE</stp>
        <stp>Volume</stp>
        <tr r="AG15" s="3"/>
      </tp>
      <tp>
        <v>584</v>
        <stp/>
        <stp>IO2004-C-3600.CFE</stp>
        <stp>Volume</stp>
        <tr r="G14" s="3"/>
      </tp>
      <tp>
        <v>165</v>
        <stp/>
        <stp>IO2004-C-3650.CFE</stp>
        <stp>Volume</stp>
        <tr r="G15" s="3"/>
      </tp>
      <tp>
        <v>934</v>
        <stp/>
        <stp>IO2004-P-3700.CFE</stp>
        <stp>Volume</stp>
        <tr r="AG16" s="3"/>
      </tp>
      <tp>
        <v>252</v>
        <stp/>
        <stp>IO2004-P-3750.CFE</stp>
        <stp>Volume</stp>
        <tr r="AG17" s="3"/>
      </tp>
      <tp>
        <v>1343</v>
        <stp/>
        <stp>IO2004-C-3700.CFE</stp>
        <stp>Volume</stp>
        <tr r="G16" s="3"/>
      </tp>
      <tp>
        <v>820</v>
        <stp/>
        <stp>IO2004-C-3750.CFE</stp>
        <stp>Volume</stp>
        <tr r="G17" s="3"/>
      </tp>
      <tp>
        <v>260</v>
        <stp/>
        <stp>IO2004-P-3400.CFE</stp>
        <stp>Volume</stp>
        <tr r="AG10" s="3"/>
      </tp>
      <tp>
        <v>209</v>
        <stp/>
        <stp>IO2004-P-3450.CFE</stp>
        <stp>Volume</stp>
        <tr r="AG11" s="3"/>
      </tp>
      <tp>
        <v>80</v>
        <stp/>
        <stp>IO2004-C-3400.CFE</stp>
        <stp>Volume</stp>
        <tr r="G10" s="3"/>
      </tp>
      <tp>
        <v>52</v>
        <stp/>
        <stp>IO2004-C-3450.CFE</stp>
        <stp>Volume</stp>
        <tr r="G11" s="3"/>
      </tp>
      <tp>
        <v>462</v>
        <stp/>
        <stp>IO2004-P-3500.CFE</stp>
        <stp>Volume</stp>
        <tr r="AG12" s="3"/>
      </tp>
      <tp>
        <v>238</v>
        <stp/>
        <stp>IO2004-P-3550.CFE</stp>
        <stp>Volume</stp>
        <tr r="AG13" s="3"/>
      </tp>
      <tp>
        <v>245</v>
        <stp/>
        <stp>IO2004-C-3500.CFE</stp>
        <stp>Volume</stp>
        <tr r="G12" s="3"/>
      </tp>
      <tp>
        <v>65</v>
        <stp/>
        <stp>IO2004-C-3550.CFE</stp>
        <stp>Volume</stp>
        <tr r="G13" s="3"/>
      </tp>
      <tp>
        <v>333</v>
        <stp/>
        <stp>IO2004-P-3200.CFE</stp>
        <stp>Volume</stp>
        <tr r="AG6" s="3"/>
      </tp>
      <tp>
        <v>397</v>
        <stp/>
        <stp>IO2004-P-3250.CFE</stp>
        <stp>Volume</stp>
        <tr r="AG7" s="3"/>
      </tp>
      <tp>
        <v>23</v>
        <stp/>
        <stp>IO2004-C-3200.CFE</stp>
        <stp>Volume</stp>
        <tr r="G6" s="3"/>
      </tp>
      <tp>
        <v>4</v>
        <stp/>
        <stp>IO2004-C-3250.CFE</stp>
        <stp>Volume</stp>
        <tr r="G7" s="3"/>
      </tp>
      <tp>
        <v>814</v>
        <stp/>
        <stp>IO2004-P-3300.CFE</stp>
        <stp>Volume</stp>
        <tr r="AG8" s="3"/>
      </tp>
      <tp>
        <v>204</v>
        <stp/>
        <stp>IO2004-P-3350.CFE</stp>
        <stp>Volume</stp>
        <tr r="AG9" s="3"/>
      </tp>
      <tp>
        <v>34</v>
        <stp/>
        <stp>IO2004-C-3300.CFE</stp>
        <stp>Volume</stp>
        <tr r="G8" s="3"/>
      </tp>
      <tp>
        <v>16</v>
        <stp/>
        <stp>IO2004-C-3350.CFE</stp>
        <stp>Volume</stp>
        <tr r="G9" s="3"/>
      </tp>
      <tp>
        <v>3</v>
        <stp/>
        <stp>IO2103-P-4000.CFE</stp>
        <stp>Volume</stp>
        <tr r="AG131" s="3"/>
      </tp>
      <tp>
        <v>5</v>
        <stp/>
        <stp>IO2103-C-4000.CFE</stp>
        <stp>Volume</stp>
        <tr r="G131" s="3"/>
      </tp>
      <tp>
        <v>9</v>
        <stp/>
        <stp>IO2103-P-4100.CFE</stp>
        <stp>Volume</stp>
        <tr r="AG132" s="3"/>
      </tp>
      <tp>
        <v>16</v>
        <stp/>
        <stp>IO2103-C-4100.CFE</stp>
        <stp>Volume</stp>
        <tr r="G132" s="3"/>
      </tp>
      <tp>
        <v>23</v>
        <stp/>
        <stp>IO2005-P-3800.CFE</stp>
        <stp>Volume</stp>
        <tr r="AG48" s="3"/>
      </tp>
      <tp>
        <v>1</v>
        <stp/>
        <stp>IO2005-P-3850.CFE</stp>
        <stp>Volume</stp>
        <tr r="AG49" s="3"/>
      </tp>
      <tp>
        <v>121</v>
        <stp/>
        <stp>IO2005-C-3800.CFE</stp>
        <stp>Volume</stp>
        <tr r="G48" s="3"/>
      </tp>
      <tp>
        <v>44</v>
        <stp/>
        <stp>IO2005-C-3850.CFE</stp>
        <stp>Volume</stp>
        <tr r="G49" s="3"/>
      </tp>
      <tp>
        <v>12</v>
        <stp/>
        <stp>IO2005-P-3900.CFE</stp>
        <stp>Volume</stp>
        <tr r="AG50" s="3"/>
      </tp>
      <tp>
        <v>17</v>
        <stp/>
        <stp>IO2005-P-3950.CFE</stp>
        <stp>Volume</stp>
        <tr r="AG51" s="3"/>
      </tp>
      <tp>
        <v>70</v>
        <stp/>
        <stp>IO2005-C-3900.CFE</stp>
        <stp>Volume</stp>
        <tr r="G50" s="3"/>
      </tp>
      <tp>
        <v>59</v>
        <stp/>
        <stp>IO2005-C-3950.CFE</stp>
        <stp>Volume</stp>
        <tr r="G51" s="3"/>
      </tp>
      <tp>
        <v>3</v>
        <stp/>
        <stp>IO2012-P-4600.CFE</stp>
        <stp>Volume</stp>
        <tr r="AG121" s="3"/>
      </tp>
      <tp>
        <v>100</v>
        <stp/>
        <stp>IO2005-P-3600.CFE</stp>
        <stp>Volume</stp>
        <tr r="AG44" s="3"/>
      </tp>
      <tp>
        <v>95</v>
        <stp/>
        <stp>IO2005-P-3650.CFE</stp>
        <stp>Volume</stp>
        <tr r="AG45" s="3"/>
      </tp>
      <tp>
        <v>0</v>
        <stp/>
        <stp>IO2012-C-4600.CFE</stp>
        <stp>Volume</stp>
        <tr r="G121" s="3"/>
      </tp>
      <tp>
        <v>134</v>
        <stp/>
        <stp>IO2005-C-3600.CFE</stp>
        <stp>Volume</stp>
        <tr r="G44" s="3"/>
      </tp>
      <tp>
        <v>54</v>
        <stp/>
        <stp>IO2005-C-3650.CFE</stp>
        <stp>Volume</stp>
        <tr r="G45" s="3"/>
      </tp>
      <tp>
        <v>5</v>
        <stp/>
        <stp>IO2012-P-4700.CFE</stp>
        <stp>Volume</stp>
        <tr r="AG122" s="3"/>
      </tp>
      <tp>
        <v>80</v>
        <stp/>
        <stp>IO2005-P-3700.CFE</stp>
        <stp>Volume</stp>
        <tr r="AG46" s="3"/>
      </tp>
      <tp>
        <v>43</v>
        <stp/>
        <stp>IO2005-P-3750.CFE</stp>
        <stp>Volume</stp>
        <tr r="AG47" s="3"/>
      </tp>
      <tp>
        <v>32</v>
        <stp/>
        <stp>IO2012-C-4700.CFE</stp>
        <stp>Volume</stp>
        <tr r="G122" s="3"/>
      </tp>
      <tp>
        <v>138</v>
        <stp/>
        <stp>IO2005-C-3700.CFE</stp>
        <stp>Volume</stp>
        <tr r="G46" s="3"/>
      </tp>
      <tp>
        <v>84</v>
        <stp/>
        <stp>IO2005-C-3750.CFE</stp>
        <stp>Volume</stp>
        <tr r="G47" s="3"/>
      </tp>
      <tp>
        <v>0</v>
        <stp/>
        <stp>IO2012-P-4400.CFE</stp>
        <stp>Volume</stp>
        <tr r="AG119" s="3"/>
      </tp>
      <tp>
        <v>25</v>
        <stp/>
        <stp>IO2005-P-3400.CFE</stp>
        <stp>Volume</stp>
        <tr r="AG40" s="3"/>
      </tp>
      <tp>
        <v>45</v>
        <stp/>
        <stp>IO2005-P-3450.CFE</stp>
        <stp>Volume</stp>
        <tr r="AG41" s="3"/>
      </tp>
      <tp>
        <v>0</v>
        <stp/>
        <stp>IO2012-C-4400.CFE</stp>
        <stp>Volume</stp>
        <tr r="G119" s="3"/>
      </tp>
      <tp>
        <v>1</v>
        <stp/>
        <stp>IO2005-C-3400.CFE</stp>
        <stp>Volume</stp>
        <tr r="G40" s="3"/>
      </tp>
      <tp>
        <v>1</v>
        <stp/>
        <stp>IO2005-C-3450.CFE</stp>
        <stp>Volume</stp>
        <tr r="G41" s="3"/>
      </tp>
      <tp>
        <v>0</v>
        <stp/>
        <stp>IO2012-P-4500.CFE</stp>
        <stp>Volume</stp>
        <tr r="AG120" s="3"/>
      </tp>
      <tp>
        <v>122</v>
        <stp/>
        <stp>IO2005-P-3500.CFE</stp>
        <stp>Volume</stp>
        <tr r="AG42" s="3"/>
      </tp>
      <tp>
        <v>34</v>
        <stp/>
        <stp>IO2005-P-3550.CFE</stp>
        <stp>Volume</stp>
        <tr r="AG43" s="3"/>
      </tp>
      <tp>
        <v>1</v>
        <stp/>
        <stp>IO2012-C-4500.CFE</stp>
        <stp>Volume</stp>
        <tr r="G120" s="3"/>
      </tp>
      <tp>
        <v>1</v>
        <stp/>
        <stp>IO2005-C-3500.CFE</stp>
        <stp>Volume</stp>
        <tr r="G42" s="3"/>
      </tp>
      <tp>
        <v>39</v>
        <stp/>
        <stp>IO2005-C-3550.CFE</stp>
        <stp>Volume</stp>
        <tr r="G43" s="3"/>
      </tp>
      <tp>
        <v>0</v>
        <stp/>
        <stp>IO2012-P-4200.CFE</stp>
        <stp>Volume</stp>
        <tr r="AG117" s="3"/>
      </tp>
      <tp>
        <v>49</v>
        <stp/>
        <stp>IO2005-P-3200.CFE</stp>
        <stp>Volume</stp>
        <tr r="AG36" s="3"/>
      </tp>
      <tp>
        <v>31</v>
        <stp/>
        <stp>IO2005-P-3250.CFE</stp>
        <stp>Volume</stp>
        <tr r="AG37" s="3"/>
      </tp>
      <tp>
        <v>5</v>
        <stp/>
        <stp>IO2012-C-4200.CFE</stp>
        <stp>Volume</stp>
        <tr r="G117" s="3"/>
      </tp>
      <tp>
        <v>1</v>
        <stp/>
        <stp>IO2005-C-3200.CFE</stp>
        <stp>Volume</stp>
        <tr r="G36" s="3"/>
      </tp>
      <tp>
        <v>6</v>
        <stp/>
        <stp>IO2005-C-3250.CFE</stp>
        <stp>Volume</stp>
        <tr r="G37" s="3"/>
      </tp>
      <tp>
        <v>0</v>
        <stp/>
        <stp>IO2012-P-4300.CFE</stp>
        <stp>Volume</stp>
        <tr r="AG118" s="3"/>
      </tp>
      <tp>
        <v>117</v>
        <stp/>
        <stp>IO2005-P-3300.CFE</stp>
        <stp>Volume</stp>
        <tr r="AG38" s="3"/>
      </tp>
      <tp>
        <v>20</v>
        <stp/>
        <stp>IO2005-P-3350.CFE</stp>
        <stp>Volume</stp>
        <tr r="AG39" s="3"/>
      </tp>
      <tp>
        <v>0</v>
        <stp/>
        <stp>IO2012-C-4300.CFE</stp>
        <stp>Volume</stp>
        <tr r="G118" s="3"/>
      </tp>
      <tp>
        <v>6</v>
        <stp/>
        <stp>IO2005-C-3300.CFE</stp>
        <stp>Volume</stp>
        <tr r="G38" s="3"/>
      </tp>
      <tp>
        <v>4</v>
        <stp/>
        <stp>IO2005-C-3350.CFE</stp>
        <stp>Volume</stp>
        <tr r="G39" s="3"/>
      </tp>
      <tp>
        <v>1</v>
        <stp/>
        <stp>IO2012-P-4000.CFE</stp>
        <stp>Volume</stp>
        <tr r="AG115" s="3"/>
      </tp>
      <tp>
        <v>0</v>
        <stp/>
        <stp>IO2012-C-4000.CFE</stp>
        <stp>Volume</stp>
        <tr r="G115" s="3"/>
      </tp>
      <tp>
        <v>0</v>
        <stp/>
        <stp>IO2012-P-4100.CFE</stp>
        <stp>Volume</stp>
        <tr r="AG116" s="3"/>
      </tp>
      <tp>
        <v>4</v>
        <stp/>
        <stp>IO2012-C-4100.CFE</stp>
        <stp>Volume</stp>
        <tr r="G116" s="3"/>
      </tp>
      <tp>
        <v>2</v>
        <stp/>
        <stp>IO2012-P-3800.CFE</stp>
        <stp>Volume</stp>
        <tr r="AG113" s="3"/>
      </tp>
      <tp>
        <v>4</v>
        <stp/>
        <stp>IO2012-C-3800.CFE</stp>
        <stp>Volume</stp>
        <tr r="G113" s="3"/>
      </tp>
      <tp>
        <v>5</v>
        <stp/>
        <stp>IO2012-P-3900.CFE</stp>
        <stp>Volume</stp>
        <tr r="AG114" s="3"/>
      </tp>
      <tp>
        <v>9</v>
        <stp/>
        <stp>IO2012-C-3900.CFE</stp>
        <stp>Volume</stp>
        <tr r="G114" s="3"/>
      </tp>
      <tp>
        <v>6</v>
        <stp/>
        <stp>IO2012-P-3600.CFE</stp>
        <stp>Volume</stp>
        <tr r="AG111" s="3"/>
      </tp>
      <tp>
        <v>0</v>
        <stp/>
        <stp>IO2005-P-4600.CFE</stp>
        <stp>Volume</stp>
        <tr r="AG64" s="3"/>
      </tp>
      <tp>
        <v>0</v>
        <stp/>
        <stp>IO2005-P-4650.CFE</stp>
        <stp>Volume</stp>
        <tr r="AG65" s="3"/>
      </tp>
      <tp>
        <v>2</v>
        <stp/>
        <stp>IO2012-C-3600.CFE</stp>
        <stp>Volume</stp>
        <tr r="G111" s="3"/>
      </tp>
      <tp>
        <v>15</v>
        <stp/>
        <stp>IO2005-C-4600.CFE</stp>
        <stp>Volume</stp>
        <tr r="G64" s="3"/>
      </tp>
      <tp>
        <v>83</v>
        <stp/>
        <stp>IO2005-C-4650.CFE</stp>
        <stp>Volume</stp>
        <tr r="G65" s="3"/>
      </tp>
      <tp>
        <v>7</v>
        <stp/>
        <stp>IO2012-P-3700.CFE</stp>
        <stp>Volume</stp>
        <tr r="AG112" s="3"/>
      </tp>
      <tp>
        <v>1</v>
        <stp/>
        <stp>IO2012-C-3700.CFE</stp>
        <stp>Volume</stp>
        <tr r="G112" s="3"/>
      </tp>
      <tp>
        <v>2</v>
        <stp/>
        <stp>IO2012-P-3400.CFE</stp>
        <stp>Volume</stp>
        <tr r="AG109" s="3"/>
      </tp>
      <tp>
        <v>0</v>
        <stp/>
        <stp>IO2005-P-4400.CFE</stp>
        <stp>Volume</stp>
        <tr r="AG60" s="3"/>
      </tp>
      <tp>
        <v>0</v>
        <stp/>
        <stp>IO2005-P-4450.CFE</stp>
        <stp>Volume</stp>
        <tr r="AG61" s="3"/>
      </tp>
      <tp>
        <v>2</v>
        <stp/>
        <stp>IO2012-C-3400.CFE</stp>
        <stp>Volume</stp>
        <tr r="G109" s="3"/>
      </tp>
      <tp>
        <v>27</v>
        <stp/>
        <stp>IO2005-C-4400.CFE</stp>
        <stp>Volume</stp>
        <tr r="G60" s="3"/>
      </tp>
      <tp>
        <v>26</v>
        <stp/>
        <stp>IO2005-C-4450.CFE</stp>
        <stp>Volume</stp>
        <tr r="G61" s="3"/>
      </tp>
      <tp>
        <v>6</v>
        <stp/>
        <stp>IO2012-P-3500.CFE</stp>
        <stp>Volume</stp>
        <tr r="AG110" s="3"/>
      </tp>
      <tp>
        <v>0</v>
        <stp/>
        <stp>IO2005-P-4500.CFE</stp>
        <stp>Volume</stp>
        <tr r="AG62" s="3"/>
      </tp>
      <tp>
        <v>0</v>
        <stp/>
        <stp>IO2005-P-4550.CFE</stp>
        <stp>Volume</stp>
        <tr r="AG63" s="3"/>
      </tp>
      <tp>
        <v>7</v>
        <stp/>
        <stp>IO2012-C-3500.CFE</stp>
        <stp>Volume</stp>
        <tr r="G110" s="3"/>
      </tp>
      <tp>
        <v>39</v>
        <stp/>
        <stp>IO2005-C-4500.CFE</stp>
        <stp>Volume</stp>
        <tr r="G62" s="3"/>
      </tp>
      <tp>
        <v>6</v>
        <stp/>
        <stp>IO2005-C-4550.CFE</stp>
        <stp>Volume</stp>
        <tr r="G63" s="3"/>
      </tp>
      <tp>
        <v>1</v>
        <stp/>
        <stp>IO2012-P-3200.CFE</stp>
        <stp>Volume</stp>
        <tr r="AG107" s="3"/>
      </tp>
      <tp>
        <v>0</v>
        <stp/>
        <stp>IO2005-P-4200.CFE</stp>
        <stp>Volume</stp>
        <tr r="AG56" s="3"/>
      </tp>
      <tp>
        <v>0</v>
        <stp/>
        <stp>IO2005-P-4250.CFE</stp>
        <stp>Volume</stp>
        <tr r="AG57" s="3"/>
      </tp>
      <tp>
        <v>1</v>
        <stp/>
        <stp>IO2012-C-3200.CFE</stp>
        <stp>Volume</stp>
        <tr r="G107" s="3"/>
      </tp>
      <tp>
        <v>65</v>
        <stp/>
        <stp>IO2005-C-4200.CFE</stp>
        <stp>Volume</stp>
        <tr r="G56" s="3"/>
      </tp>
      <tp>
        <v>17</v>
        <stp/>
        <stp>IO2005-C-4250.CFE</stp>
        <stp>Volume</stp>
        <tr r="G57" s="3"/>
      </tp>
      <tp>
        <v>17</v>
        <stp/>
        <stp>IO2012-P-3300.CFE</stp>
        <stp>Volume</stp>
        <tr r="AG108" s="3"/>
      </tp>
      <tp>
        <v>0</v>
        <stp/>
        <stp>IO2005-P-4300.CFE</stp>
        <stp>Volume</stp>
        <tr r="AG58" s="3"/>
      </tp>
      <tp>
        <v>0</v>
        <stp/>
        <stp>IO2005-P-4350.CFE</stp>
        <stp>Volume</stp>
        <tr r="AG59" s="3"/>
      </tp>
      <tp>
        <v>0</v>
        <stp/>
        <stp>IO2012-C-3300.CFE</stp>
        <stp>Volume</stp>
        <tr r="G108" s="3"/>
      </tp>
      <tp>
        <v>38</v>
        <stp/>
        <stp>IO2005-C-4300.CFE</stp>
        <stp>Volume</stp>
        <tr r="G58" s="3"/>
      </tp>
      <tp>
        <v>47</v>
        <stp/>
        <stp>IO2005-C-4350.CFE</stp>
        <stp>Volume</stp>
        <tr r="G59" s="3"/>
      </tp>
      <tp>
        <v>13</v>
        <stp/>
        <stp>IO2005-P-4000.CFE</stp>
        <stp>Volume</stp>
        <tr r="AG52" s="3"/>
      </tp>
      <tp>
        <v>9</v>
        <stp/>
        <stp>IO2005-P-4050.CFE</stp>
        <stp>Volume</stp>
        <tr r="AG53" s="3"/>
      </tp>
      <tp>
        <v>81</v>
        <stp/>
        <stp>IO2005-C-4000.CFE</stp>
        <stp>Volume</stp>
        <tr r="G52" s="3"/>
      </tp>
      <tp>
        <v>5</v>
        <stp/>
        <stp>IO2005-C-4050.CFE</stp>
        <stp>Volume</stp>
        <tr r="G53" s="3"/>
      </tp>
      <tp>
        <v>5</v>
        <stp/>
        <stp>IO2005-P-4100.CFE</stp>
        <stp>Volume</stp>
        <tr r="AG54" s="3"/>
      </tp>
      <tp>
        <v>0</v>
        <stp/>
        <stp>IO2005-P-4150.CFE</stp>
        <stp>Volume</stp>
        <tr r="AG55" s="3"/>
      </tp>
      <tp>
        <v>25</v>
        <stp/>
        <stp>IO2005-C-4100.CFE</stp>
        <stp>Volume</stp>
        <tr r="G54" s="3"/>
      </tp>
      <tp>
        <v>21</v>
        <stp/>
        <stp>IO2005-C-4150.CFE</stp>
        <stp>Volume</stp>
        <tr r="G55" s="3"/>
      </tp>
      <tp>
        <v>1</v>
        <stp/>
        <stp>IO2103-P-3800.CFE</stp>
        <stp>Volume</stp>
        <tr r="AG129" s="3"/>
      </tp>
      <tp>
        <v>0</v>
        <stp/>
        <stp>IO2103-C-3800.CFE</stp>
        <stp>Volume</stp>
        <tr r="G129" s="3"/>
      </tp>
      <tp>
        <v>4</v>
        <stp/>
        <stp>IO2103-P-3900.CFE</stp>
        <stp>Volume</stp>
        <tr r="AG130" s="3"/>
      </tp>
      <tp>
        <v>0</v>
        <stp/>
        <stp>IO2103-C-3900.CFE</stp>
        <stp>Volume</stp>
        <tr r="G130" s="3"/>
      </tp>
      <tp>
        <v>6</v>
        <stp/>
        <stp>IO2004-P-4600.CFE</stp>
        <stp>Volume</stp>
        <tr r="AG34" s="3"/>
      </tp>
      <tp>
        <v>4</v>
        <stp/>
        <stp>IO2103-P-3600.CFE</stp>
        <stp>Volume</stp>
        <tr r="AG127" s="3"/>
      </tp>
      <tp>
        <v>0</v>
        <stp/>
        <stp>IO2004-P-4650.CFE</stp>
        <stp>Volume</stp>
        <tr r="AG35" s="3"/>
      </tp>
      <tp>
        <v>4</v>
        <stp/>
        <stp>IO2103-C-3600.CFE</stp>
        <stp>Volume</stp>
        <tr r="G127" s="3"/>
      </tp>
      <tp>
        <v>109</v>
        <stp/>
        <stp>IO2004-C-4600.CFE</stp>
        <stp>Volume</stp>
        <tr r="G34" s="3"/>
      </tp>
      <tp>
        <v>221</v>
        <stp/>
        <stp>IO2004-C-4650.CFE</stp>
        <stp>Volume</stp>
        <tr r="G35" s="3"/>
      </tp>
      <tp>
        <v>24</v>
        <stp/>
        <stp>IO2103-P-3700.CFE</stp>
        <stp>Volume</stp>
        <tr r="AG128" s="3"/>
      </tp>
      <tp>
        <v>19</v>
        <stp/>
        <stp>IO2103-C-3700.CFE</stp>
        <stp>Volume</stp>
        <tr r="G128" s="3"/>
      </tp>
      <tp>
        <v>1</v>
        <stp/>
        <stp>IO2004-P-4400.CFE</stp>
        <stp>Volume</stp>
        <tr r="AG30" s="3"/>
      </tp>
      <tp>
        <v>2</v>
        <stp/>
        <stp>IO2103-P-3400.CFE</stp>
        <stp>Volume</stp>
        <tr r="AG125" s="3"/>
      </tp>
      <tp>
        <v>0</v>
        <stp/>
        <stp>IO2004-P-4450.CFE</stp>
        <stp>Volume</stp>
        <tr r="AG31" s="3"/>
      </tp>
      <tp>
        <v>3</v>
        <stp/>
        <stp>IO2103-C-3400.CFE</stp>
        <stp>Volume</stp>
        <tr r="G125" s="3"/>
      </tp>
      <tp>
        <v>252</v>
        <stp/>
        <stp>IO2004-C-4400.CFE</stp>
        <stp>Volume</stp>
        <tr r="G30" s="3"/>
      </tp>
      <tp>
        <v>84</v>
        <stp/>
        <stp>IO2004-C-4450.CFE</stp>
        <stp>Volume</stp>
        <tr r="G31" s="3"/>
      </tp>
      <tp>
        <v>0</v>
        <stp/>
        <stp>IO2004-P-4500.CFE</stp>
        <stp>Volume</stp>
        <tr r="AG32" s="3"/>
      </tp>
      <tp>
        <v>1</v>
        <stp/>
        <stp>IO2103-P-3500.CFE</stp>
        <stp>Volume</stp>
        <tr r="AG126" s="3"/>
      </tp>
      <tp>
        <v>1</v>
        <stp/>
        <stp>IO2004-P-4550.CFE</stp>
        <stp>Volume</stp>
        <tr r="AG33" s="3"/>
      </tp>
      <tp>
        <v>2</v>
        <stp/>
        <stp>IO2103-C-3500.CFE</stp>
        <stp>Volume</stp>
        <tr r="G126" s="3"/>
      </tp>
      <tp>
        <v>153</v>
        <stp/>
        <stp>IO2004-C-4500.CFE</stp>
        <stp>Volume</stp>
        <tr r="G32" s="3"/>
      </tp>
      <tp>
        <v>78</v>
        <stp/>
        <stp>IO2004-C-4550.CFE</stp>
        <stp>Volume</stp>
        <tr r="G33" s="3"/>
      </tp>
      <tp>
        <v>4</v>
        <stp/>
        <stp>IO2004-P-4200.CFE</stp>
        <stp>Volume</stp>
        <tr r="AG26" s="3"/>
      </tp>
      <tp>
        <v>5</v>
        <stp/>
        <stp>IO2103-P-3200.CFE</stp>
        <stp>Volume</stp>
        <tr r="AG123" s="3"/>
      </tp>
      <tp>
        <v>0</v>
        <stp/>
        <stp>IO2004-P-4250.CFE</stp>
        <stp>Volume</stp>
        <tr r="AG27" s="3"/>
      </tp>
      <tp>
        <v>0</v>
        <stp/>
        <stp>IO2103-C-3200.CFE</stp>
        <stp>Volume</stp>
        <tr r="G123" s="3"/>
      </tp>
      <tp>
        <v>574</v>
        <stp/>
        <stp>IO2004-C-4200.CFE</stp>
        <stp>Volume</stp>
        <tr r="G26" s="3"/>
      </tp>
      <tp>
        <v>303</v>
        <stp/>
        <stp>IO2004-C-4250.CFE</stp>
        <stp>Volume</stp>
        <tr r="G27" s="3"/>
      </tp>
      <tp>
        <v>2</v>
        <stp/>
        <stp>IO2004-P-4300.CFE</stp>
        <stp>Volume</stp>
        <tr r="AG28" s="3"/>
      </tp>
      <tp>
        <v>2</v>
        <stp/>
        <stp>IO2103-P-3300.CFE</stp>
        <stp>Volume</stp>
        <tr r="AG124" s="3"/>
      </tp>
      <tp>
        <v>0</v>
        <stp/>
        <stp>IO2004-P-4350.CFE</stp>
        <stp>Volume</stp>
        <tr r="AG29" s="3"/>
      </tp>
      <tp>
        <v>1</v>
        <stp/>
        <stp>IO2103-C-3300.CFE</stp>
        <stp>Volume</stp>
        <tr r="G124" s="3"/>
      </tp>
      <tp>
        <v>142</v>
        <stp/>
        <stp>IO2004-C-4300.CFE</stp>
        <stp>Volume</stp>
        <tr r="G28" s="3"/>
      </tp>
      <tp>
        <v>104</v>
        <stp/>
        <stp>IO2004-C-4350.CFE</stp>
        <stp>Volume</stp>
        <tr r="G29" s="3"/>
      </tp>
      <tp>
        <v>51</v>
        <stp/>
        <stp>IO2004-P-4000.CFE</stp>
        <stp>Volume</stp>
        <tr r="AG22" s="3"/>
      </tp>
      <tp>
        <v>12</v>
        <stp/>
        <stp>IO2004-P-4050.CFE</stp>
        <stp>Volume</stp>
        <tr r="AG23" s="3"/>
      </tp>
      <tp>
        <v>1257</v>
        <stp/>
        <stp>IO2004-C-4000.CFE</stp>
        <stp>Volume</stp>
        <tr r="G22" s="3"/>
      </tp>
      <tp>
        <v>130</v>
        <stp/>
        <stp>IO2004-C-4050.CFE</stp>
        <stp>Volume</stp>
        <tr r="G23" s="3"/>
      </tp>
      <tp>
        <v>29</v>
        <stp/>
        <stp>IO2004-P-4100.CFE</stp>
        <stp>Volume</stp>
        <tr r="AG24" s="3"/>
      </tp>
      <tp>
        <v>6</v>
        <stp/>
        <stp>IO2004-P-4150.CFE</stp>
        <stp>Volume</stp>
        <tr r="AG25" s="3"/>
      </tp>
      <tp>
        <v>456</v>
        <stp/>
        <stp>IO2004-C-4100.CFE</stp>
        <stp>Volume</stp>
        <tr r="G24" s="3"/>
      </tp>
      <tp>
        <v>210</v>
        <stp/>
        <stp>IO2004-C-4150.CFE</stp>
        <stp>Volume</stp>
        <tr r="G25" s="3"/>
      </tp>
      <tp>
        <v>0</v>
        <stp/>
        <stp>IO2006-P-4600.CFE</stp>
        <stp>Volume</stp>
        <tr r="AG89" s="3"/>
      </tp>
      <tp>
        <v>33</v>
        <stp/>
        <stp>IO2006-C-4600.CFE</stp>
        <stp>Volume</stp>
        <tr r="G89" s="3"/>
      </tp>
      <tp>
        <v>23</v>
        <stp/>
        <stp>IO2006-P-4700.CFE</stp>
        <stp>Volume</stp>
        <tr r="AG90" s="3"/>
      </tp>
      <tp>
        <v>37</v>
        <stp/>
        <stp>IO2006-C-4700.CFE</stp>
        <stp>Volume</stp>
        <tr r="G90" s="3"/>
      </tp>
      <tp>
        <v>0</v>
        <stp/>
        <stp>IO2006-P-4400.CFE</stp>
        <stp>Volume</stp>
        <tr r="AG87" s="3"/>
      </tp>
      <tp>
        <v>13</v>
        <stp/>
        <stp>IO2006-C-4400.CFE</stp>
        <stp>Volume</stp>
        <tr r="G87" s="3"/>
      </tp>
      <tp>
        <v>0</v>
        <stp/>
        <stp>IO2006-P-4500.CFE</stp>
        <stp>Volume</stp>
        <tr r="AG88" s="3"/>
      </tp>
      <tp>
        <v>42</v>
        <stp/>
        <stp>IO2006-C-4500.CFE</stp>
        <stp>Volume</stp>
        <tr r="G88" s="3"/>
      </tp>
      <tp>
        <v>0</v>
        <stp/>
        <stp>IO2006-P-4200.CFE</stp>
        <stp>Volume</stp>
        <tr r="AG85" s="3"/>
      </tp>
      <tp>
        <v>8</v>
        <stp/>
        <stp>IO2006-C-4200.CFE</stp>
        <stp>Volume</stp>
        <tr r="G85" s="3"/>
      </tp>
      <tp>
        <v>0</v>
        <stp/>
        <stp>IO2006-P-4300.CFE</stp>
        <stp>Volume</stp>
        <tr r="AG86" s="3"/>
      </tp>
      <tp>
        <v>9</v>
        <stp/>
        <stp>IO2006-C-4300.CFE</stp>
        <stp>Volume</stp>
        <tr r="G86" s="3"/>
      </tp>
      <tp>
        <v>5</v>
        <stp/>
        <stp>IO2006-P-4000.CFE</stp>
        <stp>Volume</stp>
        <tr r="AG82" s="3"/>
      </tp>
      <tp>
        <v>0</v>
        <stp/>
        <stp>IO2006-P-4050.CFE</stp>
        <stp>Volume</stp>
        <tr r="AG83" s="3"/>
      </tp>
      <tp>
        <v>92</v>
        <stp/>
        <stp>IO2006-C-4000.CFE</stp>
        <stp>Volume</stp>
        <tr r="G82" s="3"/>
      </tp>
      <tp>
        <v>4</v>
        <stp/>
        <stp>IO2006-C-4050.CFE</stp>
        <stp>Volume</stp>
        <tr r="G83" s="3"/>
      </tp>
      <tp>
        <v>0</v>
        <stp/>
        <stp>IO2006-P-4100.CFE</stp>
        <stp>Volume</stp>
        <tr r="AG84" s="3"/>
      </tp>
      <tp>
        <v>30</v>
        <stp/>
        <stp>IO2006-C-4100.CFE</stp>
        <stp>Volume</stp>
        <tr r="G84" s="3"/>
      </tp>
      <tp>
        <v>6</v>
        <stp/>
        <stp>IO2009-P-4600.CFE</stp>
        <stp>Volume</stp>
        <tr r="AG105" s="3"/>
      </tp>
      <tp>
        <v>40</v>
        <stp/>
        <stp>IO2009-C-4600.CFE</stp>
        <stp>Volume</stp>
        <tr r="G105" s="3"/>
      </tp>
      <tp>
        <v>12</v>
        <stp/>
        <stp>IO2009-P-4700.CFE</stp>
        <stp>Volume</stp>
        <tr r="AG106" s="3"/>
      </tp>
      <tp>
        <v>23</v>
        <stp/>
        <stp>IO2009-C-4700.CFE</stp>
        <stp>Volume</stp>
        <tr r="G106" s="3"/>
      </tp>
      <tp>
        <v>0</v>
        <stp/>
        <stp>IO2009-P-4400.CFE</stp>
        <stp>Volume</stp>
        <tr r="AG103" s="3"/>
      </tp>
      <tp>
        <v>3</v>
        <stp/>
        <stp>IO2009-C-4400.CFE</stp>
        <stp>Volume</stp>
        <tr r="G103" s="3"/>
      </tp>
      <tp>
        <v>0</v>
        <stp/>
        <stp>IO2009-P-4500.CFE</stp>
        <stp>Volume</stp>
        <tr r="AG104" s="3"/>
      </tp>
      <tp>
        <v>41</v>
        <stp/>
        <stp>IO2009-C-4500.CFE</stp>
        <stp>Volume</stp>
        <tr r="G104" s="3"/>
      </tp>
      <tp>
        <v>0</v>
        <stp/>
        <stp>IO2009-P-4200.CFE</stp>
        <stp>Volume</stp>
        <tr r="AG101" s="3"/>
      </tp>
      <tp>
        <v>1</v>
        <stp/>
        <stp>IO2009-C-4200.CFE</stp>
        <stp>Volume</stp>
        <tr r="G101" s="3"/>
      </tp>
      <tp>
        <v>0</v>
        <stp/>
        <stp>IO2009-P-4300.CFE</stp>
        <stp>Volume</stp>
        <tr r="AG102" s="3"/>
      </tp>
      <tp>
        <v>9</v>
        <stp/>
        <stp>IO2009-C-4300.CFE</stp>
        <stp>Volume</stp>
        <tr r="G102" s="3"/>
      </tp>
      <tp>
        <v>2</v>
        <stp/>
        <stp>IO2009-P-4000.CFE</stp>
        <stp>Volume</stp>
        <tr r="AG99" s="3"/>
      </tp>
      <tp>
        <v>11</v>
        <stp/>
        <stp>IO2009-C-4000.CFE</stp>
        <stp>Volume</stp>
        <tr r="G99" s="3"/>
      </tp>
      <tp>
        <v>0</v>
        <stp/>
        <stp>IO2009-P-4100.CFE</stp>
        <stp>Volume</stp>
        <tr r="AG100" s="3"/>
      </tp>
      <tp>
        <v>0</v>
        <stp/>
        <stp>IO2009-C-4100.CFE</stp>
        <stp>Volume</stp>
        <tr r="G100" s="3"/>
      </tp>
      <tp>
        <v>5</v>
        <stp/>
        <stp>IO2009-P-3800.CFE</stp>
        <stp>Volume</stp>
        <tr r="AG97" s="3"/>
      </tp>
      <tp>
        <v>7</v>
        <stp/>
        <stp>IO2009-C-3800.CFE</stp>
        <stp>Volume</stp>
        <tr r="G97" s="3"/>
      </tp>
      <tp>
        <v>6</v>
        <stp/>
        <stp>IO2009-P-3900.CFE</stp>
        <stp>Volume</stp>
        <tr r="AG98" s="3"/>
      </tp>
      <tp>
        <v>0</v>
        <stp/>
        <stp>IO2009-C-3900.CFE</stp>
        <stp>Volume</stp>
        <tr r="G98" s="3"/>
      </tp>
      <tp>
        <v>28</v>
        <stp/>
        <stp>IO2009-P-3600.CFE</stp>
        <stp>Volume</stp>
        <tr r="AG95" s="3"/>
      </tp>
      <tp>
        <v>7</v>
        <stp/>
        <stp>IO2009-C-3600.CFE</stp>
        <stp>Volume</stp>
        <tr r="G95" s="3"/>
      </tp>
      <tp>
        <v>5</v>
        <stp/>
        <stp>IO2009-P-3700.CFE</stp>
        <stp>Volume</stp>
        <tr r="AG96" s="3"/>
      </tp>
      <tp>
        <v>3</v>
        <stp/>
        <stp>IO2009-C-3700.CFE</stp>
        <stp>Volume</stp>
        <tr r="G96" s="3"/>
      </tp>
      <tp>
        <v>3</v>
        <stp/>
        <stp>IO2009-P-3400.CFE</stp>
        <stp>Volume</stp>
        <tr r="AG93" s="3"/>
      </tp>
      <tp>
        <v>0</v>
        <stp/>
        <stp>IO2009-C-3400.CFE</stp>
        <stp>Volume</stp>
        <tr r="G93" s="3"/>
      </tp>
      <tp>
        <v>6</v>
        <stp/>
        <stp>IO2009-P-3500.CFE</stp>
        <stp>Volume</stp>
        <tr r="AG94" s="3"/>
      </tp>
      <tp>
        <v>2</v>
        <stp/>
        <stp>IO2009-C-3500.CFE</stp>
        <stp>Volume</stp>
        <tr r="G94" s="3"/>
      </tp>
      <tp>
        <v>2</v>
        <stp/>
        <stp>IO2009-P-3200.CFE</stp>
        <stp>Volume</stp>
        <tr r="AG91" s="3"/>
      </tp>
      <tp>
        <v>0</v>
        <stp/>
        <stp>IO2009-C-3200.CFE</stp>
        <stp>Volume</stp>
        <tr r="G91" s="3"/>
      </tp>
      <tp>
        <v>9</v>
        <stp/>
        <stp>IO2009-P-3300.CFE</stp>
        <stp>Volume</stp>
        <tr r="AG92" s="3"/>
      </tp>
      <tp>
        <v>2</v>
        <stp/>
        <stp>IO2009-C-3300.CFE</stp>
        <stp>Volume</stp>
        <tr r="G92" s="3"/>
      </tp>
    </main>
    <main first="wdf.rtq">
      <tp>
        <v>274.8</v>
        <stp/>
        <stp>IO2012-C-3800.CFE</stp>
        <stp>LastPrice</stp>
        <tr r="F113" s="3"/>
      </tp>
      <tp>
        <v>433.2</v>
        <stp/>
        <stp>IO2012-P-3800.CFE</stp>
        <stp>LastPrice</stp>
        <tr r="AF113" s="3"/>
      </tp>
      <tp>
        <v>242.6</v>
        <stp/>
        <stp>IO2012-C-3900.CFE</stp>
        <stp>LastPrice</stp>
        <tr r="F114" s="3"/>
      </tp>
      <tp>
        <v>494.6</v>
        <stp/>
        <stp>IO2012-P-3900.CFE</stp>
        <stp>LastPrice</stp>
        <tr r="AF114" s="3"/>
      </tp>
      <tp>
        <v>466.2</v>
        <stp/>
        <stp>IO2012-C-3400.CFE</stp>
        <stp>LastPrice</stp>
        <tr r="F109" s="3"/>
      </tp>
      <tp>
        <v>233</v>
        <stp/>
        <stp>IO2012-P-3400.CFE</stp>
        <stp>LastPrice</stp>
        <tr r="AF109" s="3"/>
      </tp>
      <tp>
        <v>427.8</v>
        <stp/>
        <stp>IO2012-C-3500.CFE</stp>
        <stp>LastPrice</stp>
        <tr r="F110" s="3"/>
      </tp>
      <tp>
        <v>272</v>
        <stp/>
        <stp>IO2012-P-3500.CFE</stp>
        <stp>LastPrice</stp>
        <tr r="AF110" s="3"/>
      </tp>
      <tp>
        <v>361.2</v>
        <stp/>
        <stp>IO2012-C-3600.CFE</stp>
        <stp>LastPrice</stp>
        <tr r="F111" s="3"/>
      </tp>
      <tp>
        <v>322.2</v>
        <stp/>
        <stp>IO2012-P-3600.CFE</stp>
        <stp>LastPrice</stp>
        <tr r="AF111" s="3"/>
      </tp>
      <tp>
        <v>326.2</v>
        <stp/>
        <stp>IO2012-C-3700.CFE</stp>
        <stp>LastPrice</stp>
        <tr r="F112" s="3"/>
      </tp>
      <tp>
        <v>364.40000000000003</v>
        <stp/>
        <stp>IO2012-P-3700.CFE</stp>
        <stp>LastPrice</stp>
        <tr r="AF112" s="3"/>
      </tp>
      <tp>
        <v>601.20000000000005</v>
        <stp/>
        <stp>IO2012-C-3200.CFE</stp>
        <stp>LastPrice</stp>
        <tr r="F107" s="3"/>
      </tp>
      <tp>
        <v>162.6</v>
        <stp/>
        <stp>IO2012-P-3200.CFE</stp>
        <stp>LastPrice</stp>
        <tr r="AF107" s="3"/>
      </tp>
      <tp>
        <v>195.20000000000002</v>
        <stp/>
        <stp>IO2012-P-3300.CFE</stp>
        <stp>LastPrice</stp>
        <tr r="AF108" s="3"/>
      </tp>
      <tp>
        <v>883</v>
        <stp/>
        <stp>IO2012-P-4400.CFE</stp>
        <stp>LastPrice</stp>
        <tr r="AF119" s="3"/>
      </tp>
      <tp>
        <v>106.8</v>
        <stp/>
        <stp>IO2012-C-4500.CFE</stp>
        <stp>LastPrice</stp>
        <tr r="F120" s="3"/>
      </tp>
      <tp>
        <v>972.80000000000007</v>
        <stp/>
        <stp>IO2012-P-4500.CFE</stp>
        <stp>LastPrice</stp>
        <tr r="AF120" s="3"/>
      </tp>
      <tp>
        <v>1017.2</v>
        <stp/>
        <stp>IO2012-P-4600.CFE</stp>
        <stp>LastPrice</stp>
        <tr r="AF121" s="3"/>
      </tp>
      <tp>
        <v>82.4</v>
        <stp/>
        <stp>IO2012-C-4700.CFE</stp>
        <stp>LastPrice</stp>
        <tr r="F122" s="3"/>
      </tp>
      <tp>
        <v>1092</v>
        <stp/>
        <stp>IO2012-P-4700.CFE</stp>
        <stp>LastPrice</stp>
        <tr r="AF122" s="3"/>
      </tp>
      <tp>
        <v>565.6</v>
        <stp/>
        <stp>IO2012-P-4000.CFE</stp>
        <stp>LastPrice</stp>
        <tr r="AF115" s="3"/>
      </tp>
      <tp>
        <v>180.6</v>
        <stp/>
        <stp>IO2012-C-4100.CFE</stp>
        <stp>LastPrice</stp>
        <tr r="F116" s="3"/>
      </tp>
      <tp>
        <v>648.80000000000007</v>
        <stp/>
        <stp>IO2012-P-4100.CFE</stp>
        <stp>LastPrice</stp>
        <tr r="AF116" s="3"/>
      </tp>
      <tp>
        <v>157.80000000000001</v>
        <stp/>
        <stp>IO2012-C-4200.CFE</stp>
        <stp>LastPrice</stp>
        <tr r="F117" s="3"/>
      </tp>
      <tp>
        <v>715.80000000000007</v>
        <stp/>
        <stp>IO2012-P-4200.CFE</stp>
        <stp>LastPrice</stp>
        <tr r="AF117" s="3"/>
      </tp>
      <tp>
        <v>802.80000000000007</v>
        <stp/>
        <stp>IO2012-P-4300.CFE</stp>
        <stp>LastPrice</stp>
        <tr r="AF118" s="3"/>
      </tp>
    </main>
    <main first="wdf.rtq">
      <tp>
        <v>234.6</v>
        <stp/>
        <stp>IO2009-C-3800.CFE</stp>
        <stp>LastPrice</stp>
        <tr r="F97" s="3"/>
      </tp>
      <tp>
        <v>381.8</v>
        <stp/>
        <stp>IO2009-P-3800.CFE</stp>
        <stp>LastPrice</stp>
        <tr r="AF97" s="3"/>
      </tp>
      <tp>
        <v>448.40000000000003</v>
        <stp/>
        <stp>IO2009-P-3900.CFE</stp>
        <stp>LastPrice</stp>
        <tr r="AF98" s="3"/>
      </tp>
      <tp>
        <v>191</v>
        <stp/>
        <stp>IO2009-P-3400.CFE</stp>
        <stp>LastPrice</stp>
        <tr r="AF93" s="3"/>
      </tp>
      <tp>
        <v>358</v>
        <stp/>
        <stp>IO2009-C-3500.CFE</stp>
        <stp>LastPrice</stp>
        <tr r="F94" s="3"/>
      </tp>
      <tp>
        <v>231.8</v>
        <stp/>
        <stp>IO2009-P-3500.CFE</stp>
        <stp>LastPrice</stp>
        <tr r="AF94" s="3"/>
      </tp>
      <tp>
        <v>320.8</v>
        <stp/>
        <stp>IO2009-C-3600.CFE</stp>
        <stp>LastPrice</stp>
        <tr r="F95" s="3"/>
      </tp>
      <tp>
        <v>272.39999999999998</v>
        <stp/>
        <stp>IO2009-P-3600.CFE</stp>
        <stp>LastPrice</stp>
        <tr r="AF95" s="3"/>
      </tp>
      <tp>
        <v>265</v>
        <stp/>
        <stp>IO2009-C-3700.CFE</stp>
        <stp>LastPrice</stp>
        <tr r="F96" s="3"/>
      </tp>
      <tp>
        <v>325.2</v>
        <stp/>
        <stp>IO2009-P-3700.CFE</stp>
        <stp>LastPrice</stp>
        <tr r="AF96" s="3"/>
      </tp>
      <tp>
        <v>132.80000000000001</v>
        <stp/>
        <stp>IO2009-P-3200.CFE</stp>
        <stp>LastPrice</stp>
        <tr r="AF91" s="3"/>
      </tp>
      <tp>
        <v>482.2</v>
        <stp/>
        <stp>IO2009-C-3300.CFE</stp>
        <stp>LastPrice</stp>
        <tr r="F92" s="3"/>
      </tp>
      <tp>
        <v>152</v>
        <stp/>
        <stp>IO2009-P-3300.CFE</stp>
        <stp>LastPrice</stp>
        <tr r="AF92" s="3"/>
      </tp>
      <tp>
        <v>84.4</v>
        <stp/>
        <stp>IO2009-C-4400.CFE</stp>
        <stp>LastPrice</stp>
        <tr r="F103" s="3"/>
      </tp>
      <tp>
        <v>861.80000000000007</v>
        <stp/>
        <stp>IO2009-P-4400.CFE</stp>
        <stp>LastPrice</stp>
        <tr r="AF103" s="3"/>
      </tp>
      <tp>
        <v>77.400000000000006</v>
        <stp/>
        <stp>IO2009-C-4500.CFE</stp>
        <stp>LastPrice</stp>
        <tr r="F104" s="3"/>
      </tp>
      <tp>
        <v>969</v>
        <stp/>
        <stp>IO2009-P-4500.CFE</stp>
        <stp>LastPrice</stp>
        <tr r="AF104" s="3"/>
      </tp>
      <tp>
        <v>67.8</v>
        <stp/>
        <stp>IO2009-C-4600.CFE</stp>
        <stp>LastPrice</stp>
        <tr r="F105" s="3"/>
      </tp>
      <tp>
        <v>1039</v>
        <stp/>
        <stp>IO2009-P-4600.CFE</stp>
        <stp>LastPrice</stp>
        <tr r="AF105" s="3"/>
      </tp>
      <tp>
        <v>58</v>
        <stp/>
        <stp>IO2009-C-4700.CFE</stp>
        <stp>LastPrice</stp>
        <tr r="F106" s="3"/>
      </tp>
      <tp>
        <v>1124</v>
        <stp/>
        <stp>IO2009-P-4700.CFE</stp>
        <stp>LastPrice</stp>
        <tr r="AF106" s="3"/>
      </tp>
      <tp>
        <v>166</v>
        <stp/>
        <stp>IO2009-C-4000.CFE</stp>
        <stp>LastPrice</stp>
        <tr r="F99" s="3"/>
      </tp>
      <tp>
        <v>527.6</v>
        <stp/>
        <stp>IO2009-P-4000.CFE</stp>
        <stp>LastPrice</stp>
        <tr r="AF99" s="3"/>
      </tp>
      <tp>
        <v>612.20000000000005</v>
        <stp/>
        <stp>IO2009-P-4100.CFE</stp>
        <stp>LastPrice</stp>
        <tr r="AF100" s="3"/>
      </tp>
      <tp>
        <v>114</v>
        <stp/>
        <stp>IO2009-C-4200.CFE</stp>
        <stp>LastPrice</stp>
        <tr r="F101" s="3"/>
      </tp>
      <tp>
        <v>698.80000000000007</v>
        <stp/>
        <stp>IO2009-P-4200.CFE</stp>
        <stp>LastPrice</stp>
        <tr r="AF101" s="3"/>
      </tp>
      <tp>
        <v>104.2</v>
        <stp/>
        <stp>IO2009-C-4300.CFE</stp>
        <stp>LastPrice</stp>
        <tr r="F102" s="3"/>
      </tp>
      <tp>
        <v>796.4</v>
        <stp/>
        <stp>IO2009-P-4300.CFE</stp>
        <stp>LastPrice</stp>
        <tr r="AF102" s="3"/>
      </tp>
      <tp>
        <v>467</v>
        <stp/>
        <stp>IO2103-P-3800.CFE</stp>
        <stp>LastPrice</stp>
        <tr r="AF129" s="3"/>
      </tp>
      <tp>
        <v>519</v>
        <stp/>
        <stp>IO2103-P-3900.CFE</stp>
        <stp>LastPrice</stp>
        <tr r="AF130" s="3"/>
      </tp>
      <tp>
        <v>4.6000000000000005</v>
        <stp/>
        <stp>IO2004-C-4400.CFE</stp>
        <stp>LastPrice</stp>
        <tr r="F30" s="3"/>
      </tp>
      <tp>
        <v>538.6</v>
        <stp/>
        <stp>IO2103-C-3400.CFE</stp>
        <stp>LastPrice</stp>
        <tr r="F125" s="3"/>
      </tp>
      <tp>
        <v>3.8000000000000003</v>
        <stp/>
        <stp>IO2004-C-4450.CFE</stp>
        <stp>LastPrice</stp>
        <tr r="F31" s="3"/>
      </tp>
      <tp>
        <v>264.60000000000002</v>
        <stp/>
        <stp>IO2103-P-3400.CFE</stp>
        <stp>LastPrice</stp>
        <tr r="AF125" s="3"/>
      </tp>
      <tp>
        <v>689.6</v>
        <stp/>
        <stp>IO2004-P-4400.CFE</stp>
        <stp>LastPrice</stp>
        <tr r="AF30" s="3"/>
      </tp>
      <tp>
        <v>779.80000000000007</v>
        <stp/>
        <stp>IO2004-P-4450.CFE</stp>
        <stp>LastPrice</stp>
        <tr r="AF31" s="3"/>
      </tp>
      <tp>
        <v>3</v>
        <stp/>
        <stp>IO2004-C-4500.CFE</stp>
        <stp>LastPrice</stp>
        <tr r="F32" s="3"/>
      </tp>
      <tp>
        <v>485.8</v>
        <stp/>
        <stp>IO2103-C-3500.CFE</stp>
        <stp>LastPrice</stp>
        <tr r="F126" s="3"/>
      </tp>
      <tp>
        <v>2.4</v>
        <stp/>
        <stp>IO2004-C-4550.CFE</stp>
        <stp>LastPrice</stp>
        <tr r="F33" s="3"/>
      </tp>
      <tp>
        <v>324</v>
        <stp/>
        <stp>IO2103-P-3500.CFE</stp>
        <stp>LastPrice</stp>
        <tr r="AF126" s="3"/>
      </tp>
      <tp>
        <v>829.6</v>
        <stp/>
        <stp>IO2004-P-4500.CFE</stp>
        <stp>LastPrice</stp>
        <tr r="AF32" s="3"/>
      </tp>
      <tp>
        <v>836.6</v>
        <stp/>
        <stp>IO2004-P-4550.CFE</stp>
        <stp>LastPrice</stp>
        <tr r="AF33" s="3"/>
      </tp>
      <tp>
        <v>2</v>
        <stp/>
        <stp>IO2004-C-4600.CFE</stp>
        <stp>LastPrice</stp>
        <tr r="F34" s="3"/>
      </tp>
      <tp>
        <v>436</v>
        <stp/>
        <stp>IO2103-C-3600.CFE</stp>
        <stp>LastPrice</stp>
        <tr r="F127" s="3"/>
      </tp>
      <tp>
        <v>1.6</v>
        <stp/>
        <stp>IO2004-C-4650.CFE</stp>
        <stp>LastPrice</stp>
        <tr r="F35" s="3"/>
      </tp>
      <tp>
        <v>352</v>
        <stp/>
        <stp>IO2103-P-3600.CFE</stp>
        <stp>LastPrice</stp>
        <tr r="AF127" s="3"/>
      </tp>
      <tp>
        <v>887</v>
        <stp/>
        <stp>IO2004-P-4600.CFE</stp>
        <stp>LastPrice</stp>
        <tr r="AF34" s="3"/>
      </tp>
      <tp>
        <v>953.4</v>
        <stp/>
        <stp>IO2004-P-4650.CFE</stp>
        <stp>LastPrice</stp>
        <tr r="AF35" s="3"/>
      </tp>
      <tp>
        <v>385.8</v>
        <stp/>
        <stp>IO2103-C-3700.CFE</stp>
        <stp>LastPrice</stp>
        <tr r="F128" s="3"/>
      </tp>
      <tp>
        <v>406</v>
        <stp/>
        <stp>IO2103-P-3700.CFE</stp>
        <stp>LastPrice</stp>
        <tr r="AF128" s="3"/>
      </tp>
      <tp>
        <v>39.800000000000004</v>
        <stp/>
        <stp>IO2004-C-4000.CFE</stp>
        <stp>LastPrice</stp>
        <tr r="F22" s="3"/>
      </tp>
      <tp>
        <v>30</v>
        <stp/>
        <stp>IO2004-C-4050.CFE</stp>
        <stp>LastPrice</stp>
        <tr r="F23" s="3"/>
      </tp>
      <tp>
        <v>300.8</v>
        <stp/>
        <stp>IO2004-P-4000.CFE</stp>
        <stp>LastPrice</stp>
        <tr r="AF22" s="3"/>
      </tp>
      <tp>
        <v>345</v>
        <stp/>
        <stp>IO2004-P-4050.CFE</stp>
        <stp>LastPrice</stp>
        <tr r="AF23" s="3"/>
      </tp>
      <tp>
        <v>23</v>
        <stp/>
        <stp>IO2004-C-4100.CFE</stp>
        <stp>LastPrice</stp>
        <tr r="F24" s="3"/>
      </tp>
      <tp>
        <v>17.600000000000001</v>
        <stp/>
        <stp>IO2004-C-4150.CFE</stp>
        <stp>LastPrice</stp>
        <tr r="F25" s="3"/>
      </tp>
      <tp>
        <v>385</v>
        <stp/>
        <stp>IO2004-P-4100.CFE</stp>
        <stp>LastPrice</stp>
        <tr r="AF24" s="3"/>
      </tp>
      <tp>
        <v>436</v>
        <stp/>
        <stp>IO2004-P-4150.CFE</stp>
        <stp>LastPrice</stp>
        <tr r="AF25" s="3"/>
      </tp>
      <tp>
        <v>13.6</v>
        <stp/>
        <stp>IO2004-C-4200.CFE</stp>
        <stp>LastPrice</stp>
        <tr r="F26" s="3"/>
      </tp>
      <tp>
        <v>10.200000000000001</v>
        <stp/>
        <stp>IO2004-C-4250.CFE</stp>
        <stp>LastPrice</stp>
        <tr r="F27" s="3"/>
      </tp>
      <tp>
        <v>193.4</v>
        <stp/>
        <stp>IO2103-P-3200.CFE</stp>
        <stp>LastPrice</stp>
        <tr r="AF123" s="3"/>
      </tp>
      <tp>
        <v>488.8</v>
        <stp/>
        <stp>IO2004-P-4200.CFE</stp>
        <stp>LastPrice</stp>
        <tr r="AF26" s="3"/>
      </tp>
      <tp>
        <v>585</v>
        <stp/>
        <stp>IO2004-P-4250.CFE</stp>
        <stp>LastPrice</stp>
        <tr r="AF27" s="3"/>
      </tp>
      <tp>
        <v>8</v>
        <stp/>
        <stp>IO2004-C-4300.CFE</stp>
        <stp>LastPrice</stp>
        <tr r="F28" s="3"/>
      </tp>
      <tp>
        <v>600</v>
        <stp/>
        <stp>IO2103-C-3300.CFE</stp>
        <stp>LastPrice</stp>
        <tr r="F124" s="3"/>
      </tp>
      <tp>
        <v>6.2</v>
        <stp/>
        <stp>IO2004-C-4350.CFE</stp>
        <stp>LastPrice</stp>
        <tr r="F29" s="3"/>
      </tp>
      <tp>
        <v>233.20000000000002</v>
        <stp/>
        <stp>IO2103-P-3300.CFE</stp>
        <stp>LastPrice</stp>
        <tr r="AF124" s="3"/>
      </tp>
      <tp>
        <v>574</v>
        <stp/>
        <stp>IO2004-P-4300.CFE</stp>
        <stp>LastPrice</stp>
        <tr r="AF28" s="3"/>
      </tp>
      <tp>
        <v>681.2</v>
        <stp/>
        <stp>IO2004-P-4350.CFE</stp>
        <stp>LastPrice</stp>
        <tr r="AF29" s="3"/>
      </tp>
      <tp>
        <v>18.2</v>
        <stp/>
        <stp>IO2005-C-4400.CFE</stp>
        <stp>LastPrice</stp>
        <tr r="F60" s="3"/>
      </tp>
      <tp>
        <v>17.2</v>
        <stp/>
        <stp>IO2005-C-4450.CFE</stp>
        <stp>LastPrice</stp>
        <tr r="F61" s="3"/>
      </tp>
      <tp>
        <v>833.4</v>
        <stp/>
        <stp>IO2005-P-4400.CFE</stp>
        <stp>LastPrice</stp>
        <tr r="AF60" s="3"/>
      </tp>
      <tp>
        <v>951.2</v>
        <stp/>
        <stp>IO2005-P-4450.CFE</stp>
        <stp>LastPrice</stp>
        <tr r="AF61" s="3"/>
      </tp>
      <tp>
        <v>14.4</v>
        <stp/>
        <stp>IO2005-C-4500.CFE</stp>
        <stp>LastPrice</stp>
        <tr r="F62" s="3"/>
      </tp>
      <tp>
        <v>11.6</v>
        <stp/>
        <stp>IO2005-C-4550.CFE</stp>
        <stp>LastPrice</stp>
        <tr r="F63" s="3"/>
      </tp>
      <tp>
        <v>926.4</v>
        <stp/>
        <stp>IO2005-P-4500.CFE</stp>
        <stp>LastPrice</stp>
        <tr r="AF62" s="3"/>
      </tp>
      <tp>
        <v>1013.2</v>
        <stp/>
        <stp>IO2005-P-4550.CFE</stp>
        <stp>LastPrice</stp>
        <tr r="AF63" s="3"/>
      </tp>
      <tp>
        <v>10.6</v>
        <stp/>
        <stp>IO2005-C-4600.CFE</stp>
        <stp>LastPrice</stp>
        <tr r="F64" s="3"/>
      </tp>
      <tp>
        <v>9.2000000000000011</v>
        <stp/>
        <stp>IO2005-C-4650.CFE</stp>
        <stp>LastPrice</stp>
        <tr r="F65" s="3"/>
      </tp>
      <tp>
        <v>1020.6</v>
        <stp/>
        <stp>IO2005-P-4600.CFE</stp>
        <stp>LastPrice</stp>
        <tr r="AF64" s="3"/>
      </tp>
      <tp>
        <v>1000</v>
        <stp/>
        <stp>IO2005-P-4650.CFE</stp>
        <stp>LastPrice</stp>
        <tr r="AF65" s="3"/>
      </tp>
      <tp>
        <v>77</v>
        <stp/>
        <stp>IO2005-C-4000.CFE</stp>
        <stp>LastPrice</stp>
        <tr r="F52" s="3"/>
      </tp>
      <tp>
        <v>64.8</v>
        <stp/>
        <stp>IO2005-C-4050.CFE</stp>
        <stp>LastPrice</stp>
        <tr r="F53" s="3"/>
      </tp>
      <tp>
        <v>351.40000000000003</v>
        <stp/>
        <stp>IO2005-P-4000.CFE</stp>
        <stp>LastPrice</stp>
        <tr r="AF52" s="3"/>
      </tp>
      <tp>
        <v>420</v>
        <stp/>
        <stp>IO2005-P-4050.CFE</stp>
        <stp>LastPrice</stp>
        <tr r="AF53" s="3"/>
      </tp>
      <tp>
        <v>52</v>
        <stp/>
        <stp>IO2005-C-4100.CFE</stp>
        <stp>LastPrice</stp>
        <tr r="F54" s="3"/>
      </tp>
      <tp>
        <v>47.2</v>
        <stp/>
        <stp>IO2005-C-4150.CFE</stp>
        <stp>LastPrice</stp>
        <tr r="F55" s="3"/>
      </tp>
      <tp>
        <v>460</v>
        <stp/>
        <stp>IO2005-P-4100.CFE</stp>
        <stp>LastPrice</stp>
        <tr r="AF54" s="3"/>
      </tp>
      <tp>
        <v>529.6</v>
        <stp/>
        <stp>IO2005-P-4150.CFE</stp>
        <stp>LastPrice</stp>
        <tr r="AF55" s="3"/>
      </tp>
      <tp>
        <v>39.4</v>
        <stp/>
        <stp>IO2005-C-4200.CFE</stp>
        <stp>LastPrice</stp>
        <tr r="F56" s="3"/>
      </tp>
      <tp>
        <v>33</v>
        <stp/>
        <stp>IO2005-C-4250.CFE</stp>
        <stp>LastPrice</stp>
        <tr r="F57" s="3"/>
      </tp>
      <tp>
        <v>706.6</v>
        <stp/>
        <stp>IO2005-P-4200.CFE</stp>
        <stp>LastPrice</stp>
        <tr r="AF56" s="3"/>
      </tp>
      <tp>
        <v>629.20000000000005</v>
        <stp/>
        <stp>IO2005-P-4250.CFE</stp>
        <stp>LastPrice</stp>
        <tr r="AF57" s="3"/>
      </tp>
      <tp>
        <v>27.400000000000002</v>
        <stp/>
        <stp>IO2005-C-4300.CFE</stp>
        <stp>LastPrice</stp>
        <tr r="F58" s="3"/>
      </tp>
      <tp>
        <v>23.2</v>
        <stp/>
        <stp>IO2005-C-4350.CFE</stp>
        <stp>LastPrice</stp>
        <tr r="F59" s="3"/>
      </tp>
      <tp>
        <v>746.6</v>
        <stp/>
        <stp>IO2005-P-4300.CFE</stp>
        <stp>LastPrice</stp>
        <tr r="AF58" s="3"/>
      </tp>
      <tp>
        <v>787</v>
        <stp/>
        <stp>IO2005-P-4350.CFE</stp>
        <stp>LastPrice</stp>
        <tr r="AF59" s="3"/>
      </tp>
      <tp>
        <v>42.800000000000004</v>
        <stp/>
        <stp>IO2006-C-4400.CFE</stp>
        <stp>LastPrice</stp>
        <tr r="F87" s="3"/>
      </tp>
      <tp>
        <v>775</v>
        <stp/>
        <stp>IO2006-P-4400.CFE</stp>
        <stp>LastPrice</stp>
        <tr r="AF87" s="3"/>
      </tp>
      <tp>
        <v>33.6</v>
        <stp/>
        <stp>IO2006-C-4500.CFE</stp>
        <stp>LastPrice</stp>
        <tr r="F88" s="3"/>
      </tp>
      <tp>
        <v>868.4</v>
        <stp/>
        <stp>IO2006-P-4500.CFE</stp>
        <stp>LastPrice</stp>
        <tr r="AF88" s="3"/>
      </tp>
      <tp>
        <v>27.8</v>
        <stp/>
        <stp>IO2006-C-4600.CFE</stp>
        <stp>LastPrice</stp>
        <tr r="F89" s="3"/>
      </tp>
      <tp>
        <v>1067.8</v>
        <stp/>
        <stp>IO2006-P-4600.CFE</stp>
        <stp>LastPrice</stp>
        <tr r="AF89" s="3"/>
      </tp>
      <tp>
        <v>24.6</v>
        <stp/>
        <stp>IO2006-C-4700.CFE</stp>
        <stp>LastPrice</stp>
        <tr r="F90" s="3"/>
      </tp>
      <tp>
        <v>1026</v>
        <stp/>
        <stp>IO2006-P-4700.CFE</stp>
        <stp>LastPrice</stp>
        <tr r="AF90" s="3"/>
      </tp>
      <tp>
        <v>109</v>
        <stp/>
        <stp>IO2006-C-4000.CFE</stp>
        <stp>LastPrice</stp>
        <tr r="F82" s="3"/>
      </tp>
      <tp>
        <v>95.2</v>
        <stp/>
        <stp>IO2006-C-4050.CFE</stp>
        <stp>LastPrice</stp>
        <tr r="F83" s="3"/>
      </tp>
      <tp>
        <v>443.6</v>
        <stp/>
        <stp>IO2006-P-4000.CFE</stp>
        <stp>LastPrice</stp>
        <tr r="AF82" s="3"/>
      </tp>
      <tp>
        <v>488.6</v>
        <stp/>
        <stp>IO2006-P-4050.CFE</stp>
        <stp>LastPrice</stp>
        <tr r="AF83" s="3"/>
      </tp>
      <tp>
        <v>90</v>
        <stp/>
        <stp>IO2006-C-4100.CFE</stp>
        <stp>LastPrice</stp>
        <tr r="F84" s="3"/>
      </tp>
      <tp>
        <v>519.79999999999995</v>
        <stp/>
        <stp>IO2006-P-4100.CFE</stp>
        <stp>LastPrice</stp>
        <tr r="AF84" s="3"/>
      </tp>
      <tp>
        <v>69</v>
        <stp/>
        <stp>IO2006-C-4200.CFE</stp>
        <stp>LastPrice</stp>
        <tr r="F85" s="3"/>
      </tp>
      <tp>
        <v>604.80000000000007</v>
        <stp/>
        <stp>IO2006-P-4200.CFE</stp>
        <stp>LastPrice</stp>
        <tr r="AF85" s="3"/>
      </tp>
      <tp>
        <v>56.4</v>
        <stp/>
        <stp>IO2006-C-4300.CFE</stp>
        <stp>LastPrice</stp>
        <tr r="F86" s="3"/>
      </tp>
      <tp>
        <v>690.4</v>
        <stp/>
        <stp>IO2006-P-4300.CFE</stp>
        <stp>LastPrice</stp>
        <tr r="AF86" s="3"/>
      </tp>
      <tp>
        <v>179.6</v>
        <stp/>
        <stp>IO2006-C-3800.CFE</stp>
        <stp>LastPrice</stp>
        <tr r="F78" s="3"/>
      </tp>
      <tp>
        <v>279.8</v>
        <stp/>
        <stp>IO2006-P-3800.CFE</stp>
        <stp>LastPrice</stp>
        <tr r="AF78" s="3"/>
      </tp>
      <tp>
        <v>328.6</v>
        <stp/>
        <stp>IO2006-P-3850.CFE</stp>
        <stp>LastPrice</stp>
        <tr r="AF79" s="3"/>
      </tp>
      <tp>
        <v>142.4</v>
        <stp/>
        <stp>IO2006-C-3900.CFE</stp>
        <stp>LastPrice</stp>
        <tr r="F80" s="3"/>
      </tp>
      <tp>
        <v>116</v>
        <stp/>
        <stp>IO2006-C-3950.CFE</stp>
        <stp>LastPrice</stp>
        <tr r="F81" s="3"/>
      </tp>
      <tp>
        <v>339.8</v>
        <stp/>
        <stp>IO2006-P-3900.CFE</stp>
        <stp>LastPrice</stp>
        <tr r="AF80" s="3"/>
      </tp>
      <tp>
        <v>403.8</v>
        <stp/>
        <stp>IO2006-P-3950.CFE</stp>
        <stp>LastPrice</stp>
        <tr r="AF81" s="3"/>
      </tp>
      <tp>
        <v>377</v>
        <stp/>
        <stp>IO2006-C-3400.CFE</stp>
        <stp>LastPrice</stp>
        <tr r="F70" s="3"/>
      </tp>
      <tp>
        <v>347.2</v>
        <stp/>
        <stp>IO2006-C-3450.CFE</stp>
        <stp>LastPrice</stp>
        <tr r="F71" s="3"/>
      </tp>
      <tp>
        <v>106</v>
        <stp/>
        <stp>IO2006-P-3400.CFE</stp>
        <stp>LastPrice</stp>
        <tr r="AF70" s="3"/>
      </tp>
      <tp>
        <v>128.19999999999999</v>
        <stp/>
        <stp>IO2006-P-3450.CFE</stp>
        <stp>LastPrice</stp>
        <tr r="AF71" s="3"/>
      </tp>
      <tp>
        <v>336.6</v>
        <stp/>
        <stp>IO2006-C-3500.CFE</stp>
        <stp>LastPrice</stp>
        <tr r="F72" s="3"/>
      </tp>
      <tp>
        <v>284.8</v>
        <stp/>
        <stp>IO2006-C-3550.CFE</stp>
        <stp>LastPrice</stp>
        <tr r="F73" s="3"/>
      </tp>
      <tp>
        <v>140</v>
        <stp/>
        <stp>IO2006-P-3500.CFE</stp>
        <stp>LastPrice</stp>
        <tr r="AF72" s="3"/>
      </tp>
      <tp>
        <v>166.8</v>
        <stp/>
        <stp>IO2006-P-3550.CFE</stp>
        <stp>LastPrice</stp>
        <tr r="AF73" s="3"/>
      </tp>
      <tp>
        <v>276.60000000000002</v>
        <stp/>
        <stp>IO2006-C-3600.CFE</stp>
        <stp>LastPrice</stp>
        <tr r="F74" s="3"/>
      </tp>
      <tp>
        <v>240.8</v>
        <stp/>
        <stp>IO2006-C-3650.CFE</stp>
        <stp>LastPrice</stp>
        <tr r="F75" s="3"/>
      </tp>
      <tp>
        <v>174.20000000000002</v>
        <stp/>
        <stp>IO2006-P-3600.CFE</stp>
        <stp>LastPrice</stp>
        <tr r="AF74" s="3"/>
      </tp>
      <tp>
        <v>216</v>
        <stp/>
        <stp>IO2006-P-3650.CFE</stp>
        <stp>LastPrice</stp>
        <tr r="AF75" s="3"/>
      </tp>
      <tp>
        <v>229.6</v>
        <stp/>
        <stp>IO2006-C-3700.CFE</stp>
        <stp>LastPrice</stp>
        <tr r="F76" s="3"/>
      </tp>
      <tp>
        <v>199.4</v>
        <stp/>
        <stp>IO2006-C-3750.CFE</stp>
        <stp>LastPrice</stp>
        <tr r="F77" s="3"/>
      </tp>
      <tp>
        <v>233</v>
        <stp/>
        <stp>IO2006-P-3700.CFE</stp>
        <stp>LastPrice</stp>
        <tr r="AF76" s="3"/>
      </tp>
      <tp>
        <v>250</v>
        <stp/>
        <stp>IO2006-P-3750.CFE</stp>
        <stp>LastPrice</stp>
        <tr r="AF77" s="3"/>
      </tp>
      <tp>
        <v>528.20000000000005</v>
        <stp/>
        <stp>IO2006-C-3200.CFE</stp>
        <stp>LastPrice</stp>
        <tr r="F66" s="3"/>
      </tp>
      <tp>
        <v>64.599999999999994</v>
        <stp/>
        <stp>IO2006-P-3200.CFE</stp>
        <stp>LastPrice</stp>
        <tr r="AF66" s="3"/>
      </tp>
      <tp>
        <v>68.600000000000009</v>
        <stp/>
        <stp>IO2006-P-3250.CFE</stp>
        <stp>LastPrice</stp>
        <tr r="AF67" s="3"/>
      </tp>
      <tp>
        <v>80</v>
        <stp/>
        <stp>IO2006-P-3300.CFE</stp>
        <stp>LastPrice</stp>
        <tr r="AF68" s="3"/>
      </tp>
      <tp>
        <v>100.4</v>
        <stp/>
        <stp>IO2006-P-3350.CFE</stp>
        <stp>LastPrice</stp>
        <tr r="AF69" s="3"/>
      </tp>
      <tp>
        <v>145.20000000000002</v>
        <stp/>
        <stp>IO2005-C-3800.CFE</stp>
        <stp>LastPrice</stp>
        <tr r="F48" s="3"/>
      </tp>
      <tp>
        <v>121.60000000000001</v>
        <stp/>
        <stp>IO2005-C-3850.CFE</stp>
        <stp>LastPrice</stp>
        <tr r="F49" s="3"/>
      </tp>
      <tp>
        <v>218.20000000000002</v>
        <stp/>
        <stp>IO2005-P-3800.CFE</stp>
        <stp>LastPrice</stp>
        <tr r="AF48" s="3"/>
      </tp>
      <tp>
        <v>251</v>
        <stp/>
        <stp>IO2005-P-3850.CFE</stp>
        <stp>LastPrice</stp>
        <tr r="AF49" s="3"/>
      </tp>
      <tp>
        <v>107.60000000000001</v>
        <stp/>
        <stp>IO2005-C-3900.CFE</stp>
        <stp>LastPrice</stp>
        <tr r="F50" s="3"/>
      </tp>
      <tp>
        <v>88</v>
        <stp/>
        <stp>IO2005-C-3950.CFE</stp>
        <stp>LastPrice</stp>
        <tr r="F51" s="3"/>
      </tp>
      <tp>
        <v>305</v>
        <stp/>
        <stp>IO2005-P-3900.CFE</stp>
        <stp>LastPrice</stp>
        <tr r="AF50" s="3"/>
      </tp>
      <tp>
        <v>344.6</v>
        <stp/>
        <stp>IO2005-P-3950.CFE</stp>
        <stp>LastPrice</stp>
        <tr r="AF51" s="3"/>
      </tp>
      <tp>
        <v>364.40000000000003</v>
        <stp/>
        <stp>IO2005-C-3400.CFE</stp>
        <stp>LastPrice</stp>
        <tr r="F40" s="3"/>
      </tp>
      <tp>
        <v>326.60000000000002</v>
        <stp/>
        <stp>IO2005-C-3450.CFE</stp>
        <stp>LastPrice</stp>
        <tr r="F41" s="3"/>
      </tp>
      <tp>
        <v>64.400000000000006</v>
        <stp/>
        <stp>IO2005-P-3400.CFE</stp>
        <stp>LastPrice</stp>
        <tr r="AF40" s="3"/>
      </tp>
      <tp>
        <v>77.600000000000009</v>
        <stp/>
        <stp>IO2005-P-3450.CFE</stp>
        <stp>LastPrice</stp>
        <tr r="AF41" s="3"/>
      </tp>
      <tp>
        <v>287.8</v>
        <stp/>
        <stp>IO2005-C-3500.CFE</stp>
        <stp>LastPrice</stp>
        <tr r="F42" s="3"/>
      </tp>
      <tp>
        <v>278</v>
        <stp/>
        <stp>IO2005-C-3550.CFE</stp>
        <stp>LastPrice</stp>
        <tr r="F43" s="3"/>
      </tp>
      <tp>
        <v>92.600000000000009</v>
        <stp/>
        <stp>IO2005-P-3500.CFE</stp>
        <stp>LastPrice</stp>
        <tr r="AF42" s="3"/>
      </tp>
      <tp>
        <v>105</v>
        <stp/>
        <stp>IO2005-P-3550.CFE</stp>
        <stp>LastPrice</stp>
        <tr r="AF43" s="3"/>
      </tp>
      <tp>
        <v>252</v>
        <stp/>
        <stp>IO2005-C-3600.CFE</stp>
        <stp>LastPrice</stp>
        <tr r="F44" s="3"/>
      </tp>
      <tp>
        <v>213.20000000000002</v>
        <stp/>
        <stp>IO2005-C-3650.CFE</stp>
        <stp>LastPrice</stp>
        <tr r="F45" s="3"/>
      </tp>
      <tp>
        <v>122.2</v>
        <stp/>
        <stp>IO2005-P-3600.CFE</stp>
        <stp>LastPrice</stp>
        <tr r="AF44" s="3"/>
      </tp>
      <tp>
        <v>143.20000000000002</v>
        <stp/>
        <stp>IO2005-P-3650.CFE</stp>
        <stp>LastPrice</stp>
        <tr r="AF45" s="3"/>
      </tp>
      <tp>
        <v>189.8</v>
        <stp/>
        <stp>IO2005-C-3700.CFE</stp>
        <stp>LastPrice</stp>
        <tr r="F46" s="3"/>
      </tp>
      <tp>
        <v>161.6</v>
        <stp/>
        <stp>IO2005-C-3750.CFE</stp>
        <stp>LastPrice</stp>
        <tr r="F47" s="3"/>
      </tp>
      <tp>
        <v>165</v>
        <stp/>
        <stp>IO2005-P-3700.CFE</stp>
        <stp>LastPrice</stp>
        <tr r="AF46" s="3"/>
      </tp>
      <tp>
        <v>188.20000000000002</v>
        <stp/>
        <stp>IO2005-P-3750.CFE</stp>
        <stp>LastPrice</stp>
        <tr r="AF47" s="3"/>
      </tp>
      <tp>
        <v>519.4</v>
        <stp/>
        <stp>IO2005-C-3200.CFE</stp>
        <stp>LastPrice</stp>
        <tr r="F36" s="3"/>
      </tp>
      <tp>
        <v>485</v>
        <stp/>
        <stp>IO2005-C-3250.CFE</stp>
        <stp>LastPrice</stp>
        <tr r="F37" s="3"/>
      </tp>
      <tp>
        <v>31.8</v>
        <stp/>
        <stp>IO2005-P-3200.CFE</stp>
        <stp>LastPrice</stp>
        <tr r="AF36" s="3"/>
      </tp>
      <tp>
        <v>46.2</v>
        <stp/>
        <stp>IO2005-P-3250.CFE</stp>
        <stp>LastPrice</stp>
        <tr r="AF37" s="3"/>
      </tp>
      <tp>
        <v>464</v>
        <stp/>
        <stp>IO2005-C-3300.CFE</stp>
        <stp>LastPrice</stp>
        <tr r="F38" s="3"/>
      </tp>
      <tp>
        <v>415.8</v>
        <stp/>
        <stp>IO2005-C-3350.CFE</stp>
        <stp>LastPrice</stp>
        <tr r="F39" s="3"/>
      </tp>
      <tp>
        <v>44.2</v>
        <stp/>
        <stp>IO2005-P-3300.CFE</stp>
        <stp>LastPrice</stp>
        <tr r="AF38" s="3"/>
      </tp>
      <tp>
        <v>53.6</v>
        <stp/>
        <stp>IO2005-P-3350.CFE</stp>
        <stp>LastPrice</stp>
        <tr r="AF39" s="3"/>
      </tp>
      <tp>
        <v>101.2</v>
        <stp/>
        <stp>IO2004-C-3800.CFE</stp>
        <stp>LastPrice</stp>
        <tr r="F18" s="3"/>
      </tp>
      <tp>
        <v>80.600000000000009</v>
        <stp/>
        <stp>IO2004-C-3850.CFE</stp>
        <stp>LastPrice</stp>
        <tr r="F19" s="3"/>
      </tp>
      <tp>
        <v>158</v>
        <stp/>
        <stp>IO2004-P-3800.CFE</stp>
        <stp>LastPrice</stp>
        <tr r="AF18" s="3"/>
      </tp>
      <tp>
        <v>188</v>
        <stp/>
        <stp>IO2004-P-3850.CFE</stp>
        <stp>LastPrice</stp>
        <tr r="AF19" s="3"/>
      </tp>
      <tp>
        <v>68.2</v>
        <stp/>
        <stp>IO2004-C-3900.CFE</stp>
        <stp>LastPrice</stp>
        <tr r="F20" s="3"/>
      </tp>
      <tp>
        <v>50</v>
        <stp/>
        <stp>IO2004-C-3950.CFE</stp>
        <stp>LastPrice</stp>
        <tr r="F21" s="3"/>
      </tp>
      <tp>
        <v>222</v>
        <stp/>
        <stp>IO2004-P-3900.CFE</stp>
        <stp>LastPrice</stp>
        <tr r="AF20" s="3"/>
      </tp>
      <tp>
        <v>259.2</v>
        <stp/>
        <stp>IO2004-P-3950.CFE</stp>
        <stp>LastPrice</stp>
        <tr r="AF21" s="3"/>
      </tp>
      <tp>
        <v>368.6</v>
        <stp/>
        <stp>IO2004-C-3400.CFE</stp>
        <stp>LastPrice</stp>
        <tr r="F10" s="3"/>
      </tp>
      <tp>
        <v>318</v>
        <stp/>
        <stp>IO2004-C-3450.CFE</stp>
        <stp>LastPrice</stp>
        <tr r="F11" s="3"/>
      </tp>
      <tp>
        <v>30</v>
        <stp/>
        <stp>IO2004-P-3400.CFE</stp>
        <stp>LastPrice</stp>
        <tr r="AF10" s="3"/>
      </tp>
      <tp>
        <v>35.4</v>
        <stp/>
        <stp>IO2004-P-3450.CFE</stp>
        <stp>LastPrice</stp>
        <tr r="AF11" s="3"/>
      </tp>
      <tp>
        <v>285.60000000000002</v>
        <stp/>
        <stp>IO2004-C-3500.CFE</stp>
        <stp>LastPrice</stp>
        <tr r="F12" s="3"/>
      </tp>
      <tp>
        <v>246</v>
        <stp/>
        <stp>IO2004-C-3550.CFE</stp>
        <stp>LastPrice</stp>
        <tr r="F13" s="3"/>
      </tp>
      <tp>
        <v>46</v>
        <stp/>
        <stp>IO2004-P-3500.CFE</stp>
        <stp>LastPrice</stp>
        <tr r="AF12" s="3"/>
      </tp>
      <tp>
        <v>56.800000000000004</v>
        <stp/>
        <stp>IO2004-P-3550.CFE</stp>
        <stp>LastPrice</stp>
        <tr r="AF13" s="3"/>
      </tp>
      <tp>
        <v>213.4</v>
        <stp/>
        <stp>IO2004-C-3600.CFE</stp>
        <stp>LastPrice</stp>
        <tr r="F14" s="3"/>
      </tp>
      <tp>
        <v>174.4</v>
        <stp/>
        <stp>IO2004-C-3650.CFE</stp>
        <stp>LastPrice</stp>
        <tr r="F15" s="3"/>
      </tp>
      <tp>
        <v>70</v>
        <stp/>
        <stp>IO2004-P-3600.CFE</stp>
        <stp>LastPrice</stp>
        <tr r="AF14" s="3"/>
      </tp>
      <tp>
        <v>90.600000000000009</v>
        <stp/>
        <stp>IO2004-P-3650.CFE</stp>
        <stp>LastPrice</stp>
        <tr r="AF15" s="3"/>
      </tp>
      <tp>
        <v>151.80000000000001</v>
        <stp/>
        <stp>IO2004-C-3700.CFE</stp>
        <stp>LastPrice</stp>
        <tr r="F16" s="3"/>
      </tp>
      <tp>
        <v>124</v>
        <stp/>
        <stp>IO2004-C-3750.CFE</stp>
        <stp>LastPrice</stp>
        <tr r="F17" s="3"/>
      </tp>
      <tp>
        <v>108.4</v>
        <stp/>
        <stp>IO2004-P-3700.CFE</stp>
        <stp>LastPrice</stp>
        <tr r="AF16" s="3"/>
      </tp>
      <tp>
        <v>130</v>
        <stp/>
        <stp>IO2004-P-3750.CFE</stp>
        <stp>LastPrice</stp>
        <tr r="AF17" s="3"/>
      </tp>
      <tp>
        <v>275.2</v>
        <stp/>
        <stp>IO2103-C-4000.CFE</stp>
        <stp>LastPrice</stp>
        <tr r="F131" s="3"/>
      </tp>
      <tp>
        <v>606.20000000000005</v>
        <stp/>
        <stp>IO2103-P-4000.CFE</stp>
        <stp>LastPrice</stp>
        <tr r="AF131" s="3"/>
      </tp>
      <tp>
        <v>244</v>
        <stp/>
        <stp>IO2103-C-4100.CFE</stp>
        <stp>LastPrice</stp>
        <tr r="F132" s="3"/>
      </tp>
      <tp>
        <v>660</v>
        <stp/>
        <stp>IO2103-P-4100.CFE</stp>
        <stp>LastPrice</stp>
        <tr r="AF132" s="3"/>
      </tp>
      <tp>
        <v>544.79999999999995</v>
        <stp/>
        <stp>IO2004-C-3200.CFE</stp>
        <stp>LastPrice</stp>
        <tr r="F6" s="3"/>
      </tp>
      <tp>
        <v>484.8</v>
        <stp/>
        <stp>IO2004-C-3250.CFE</stp>
        <stp>LastPrice</stp>
        <tr r="F7" s="3"/>
      </tp>
      <tp>
        <v>12.8</v>
        <stp/>
        <stp>IO2004-P-3200.CFE</stp>
        <stp>LastPrice</stp>
        <tr r="AF6" s="3"/>
      </tp>
      <tp>
        <v>15.8</v>
        <stp/>
        <stp>IO2004-P-3250.CFE</stp>
        <stp>LastPrice</stp>
        <tr r="AF7" s="3"/>
      </tp>
      <tp>
        <v>458.2</v>
        <stp/>
        <stp>IO2004-C-3300.CFE</stp>
        <stp>LastPrice</stp>
        <tr r="F8" s="3"/>
      </tp>
      <tp>
        <v>407</v>
        <stp/>
        <stp>IO2004-C-3350.CFE</stp>
        <stp>LastPrice</stp>
        <tr r="F9" s="3"/>
      </tp>
      <tp>
        <v>19.2</v>
        <stp/>
        <stp>IO2004-P-3300.CFE</stp>
        <stp>LastPrice</stp>
        <tr r="AF8" s="3"/>
      </tp>
      <tp>
        <v>24.2</v>
        <stp/>
        <stp>IO2004-P-3350.CFE</stp>
        <stp>LastPrice</stp>
        <tr r="AF9" s="3"/>
      </tp>
    </main>
    <main first="wdf.rtq">
      <tp>
        <v>7.9000000000000008E-3</v>
        <stp/>
        <stp>10002428.SH</stp>
        <stp>Ask_Price1</stp>
        <tr r="AJ6" s="1"/>
      </tp>
      <tp>
        <v>0.46700000000000003</v>
        <stp/>
        <stp>10002468.SH</stp>
        <stp>Ask_Price1</stp>
        <tr r="AJ30" s="1"/>
      </tp>
      <tp>
        <v>9.0999999999999998E-2</v>
        <stp/>
        <stp>10002458.SH</stp>
        <stp>Ask_Price1</stp>
        <tr r="J29" s="1"/>
      </tp>
      <tp>
        <v>5.9500000000000004E-2</v>
        <stp/>
        <stp>10002178.SH</stp>
        <stp>Ask_Price1</stp>
        <tr r="J43" s="1"/>
      </tp>
      <tp>
        <v>0</v>
        <stp/>
        <stp>10002188.SH</stp>
        <stp>Ask_Price1</stp>
        <tr r="AJ44" s="1"/>
      </tp>
      <tp>
        <v>0.30499999999999999</v>
        <stp/>
        <stp>10002258.SH</stp>
        <stp>Ask_Price1</stp>
        <tr r="AJ53" s="1"/>
      </tp>
      <tp>
        <v>0</v>
        <stp/>
        <stp>10002328.SH</stp>
        <stp>Ask_Price1</stp>
        <tr r="J50" s="1"/>
      </tp>
      <tp>
        <v>0</v>
        <stp/>
        <stp>10002368.SH</stp>
        <stp>Ask_Price1</stp>
        <tr r="AJ20" s="1"/>
      </tp>
      <tp>
        <v>5.1000000000000004E-3</v>
        <stp/>
        <stp>10002358.SH</stp>
        <stp>Ask_Price1</stp>
        <tr r="J19" s="1"/>
      </tp>
      <tp>
        <v>7.5200000000000003E-2</v>
        <stp/>
        <stp>10002458.SH</stp>
        <stp>Bid_Price1</stp>
        <tr r="H29" s="1"/>
      </tp>
      <tp>
        <v>0.42010000000000003</v>
        <stp/>
        <stp>10002468.SH</stp>
        <stp>Bid_Price1</stp>
        <tr r="AH30" s="1"/>
      </tp>
      <tp>
        <v>7.7000000000000002E-3</v>
        <stp/>
        <stp>10002428.SH</stp>
        <stp>Bid_Price1</stp>
        <tr r="AH6" s="1"/>
      </tp>
      <tp>
        <v>0.28000000000000003</v>
        <stp/>
        <stp>10002258.SH</stp>
        <stp>Bid_Price1</stp>
        <tr r="AH53" s="1"/>
      </tp>
      <tp>
        <v>5.0000000000000001E-3</v>
        <stp/>
        <stp>10002358.SH</stp>
        <stp>Bid_Price1</stp>
        <tr r="H19" s="1"/>
      </tp>
      <tp>
        <v>0.61209999999999998</v>
        <stp/>
        <stp>10002368.SH</stp>
        <stp>Bid_Price1</stp>
        <tr r="AH20" s="1"/>
      </tp>
      <tp>
        <v>0.12000000000000001</v>
        <stp/>
        <stp>10002328.SH</stp>
        <stp>Bid_Price1</stp>
        <tr r="H50" s="1"/>
      </tp>
      <tp>
        <v>0</v>
        <stp/>
        <stp>10002188.SH</stp>
        <stp>Bid_Price1</stp>
        <tr r="AH44" s="1"/>
      </tp>
      <tp>
        <v>5.5E-2</v>
        <stp/>
        <stp>10002178.SH</stp>
        <stp>Bid_Price1</stp>
        <tr r="H43" s="1"/>
      </tp>
      <tp>
        <v>0</v>
        <stp/>
        <stp>10002429.SH</stp>
        <stp>Ask_Price1</stp>
        <tr r="J31" s="1"/>
      </tp>
      <tp>
        <v>6.4899999999999999E-2</v>
        <stp/>
        <stp>10002459.SH</stp>
        <stp>Ask_Price1</stp>
        <tr r="J30" s="1"/>
      </tp>
      <tp>
        <v>4.4400000000000002E-2</v>
        <stp/>
        <stp>10002179.SH</stp>
        <stp>Ask_Price1</stp>
        <tr r="J44" s="1"/>
      </tp>
      <tp>
        <v>2.8000000000000001E-2</v>
        <stp/>
        <stp>10002229.SH</stp>
        <stp>Ask_Price1</stp>
        <tr r="J46" s="1"/>
      </tp>
      <tp>
        <v>0.34660000000000002</v>
        <stp/>
        <stp>10002259.SH</stp>
        <stp>Ask_Price1</stp>
        <tr r="AJ54" s="1"/>
      </tp>
      <tp>
        <v>0.33</v>
        <stp/>
        <stp>10002249.SH</stp>
        <stp>Ask_Price1</stp>
        <tr r="J53" s="1"/>
      </tp>
      <tp>
        <v>0.46780000000000005</v>
        <stp/>
        <stp>10002329.SH</stp>
        <stp>Ask_Price1</stp>
        <tr r="J51" s="1"/>
      </tp>
      <tp>
        <v>4.0000000000000001E-3</v>
        <stp/>
        <stp>10002359.SH</stp>
        <stp>Ask_Price1</stp>
        <tr r="J20" s="1"/>
      </tp>
      <tp>
        <v>0.45880000000000004</v>
        <stp/>
        <stp>10002389.SH</stp>
        <stp>Ask_Price1</stp>
        <tr r="J8" s="1"/>
      </tp>
      <tp>
        <v>6.4700000000000008E-2</v>
        <stp/>
        <stp>10002459.SH</stp>
        <stp>Bid_Price1</stp>
        <tr r="H30" s="1"/>
      </tp>
      <tp>
        <v>0</v>
        <stp/>
        <stp>10002429.SH</stp>
        <stp>Bid_Price1</stp>
        <tr r="H31" s="1"/>
      </tp>
      <tp>
        <v>0.29350000000000004</v>
        <stp/>
        <stp>10002249.SH</stp>
        <stp>Bid_Price1</stp>
        <tr r="H53" s="1"/>
      </tp>
      <tp>
        <v>0.3251</v>
        <stp/>
        <stp>10002259.SH</stp>
        <stp>Bid_Price1</stp>
        <tr r="AH54" s="1"/>
      </tp>
      <tp>
        <v>2.4200000000000003E-2</v>
        <stp/>
        <stp>10002229.SH</stp>
        <stp>Bid_Price1</stp>
        <tr r="H46" s="1"/>
      </tp>
      <tp>
        <v>0.45390000000000003</v>
        <stp/>
        <stp>10002389.SH</stp>
        <stp>Bid_Price1</stp>
        <tr r="H8" s="1"/>
      </tp>
      <tp>
        <v>3.6000000000000003E-3</v>
        <stp/>
        <stp>10002359.SH</stp>
        <stp>Bid_Price1</stp>
        <tr r="H20" s="1"/>
      </tp>
      <tp>
        <v>0.39600000000000002</v>
        <stp/>
        <stp>10002329.SH</stp>
        <stp>Bid_Price1</stp>
        <tr r="H51" s="1"/>
      </tp>
      <tp>
        <v>3.9800000000000002E-2</v>
        <stp/>
        <stp>10002179.SH</stp>
        <stp>Bid_Price1</stp>
        <tr r="H44" s="1"/>
      </tp>
      <tp>
        <v>0</v>
        <stp/>
        <stp>IO2103-P-3800.CFE</stp>
        <stp>Bid_Volume1</stp>
        <tr r="AI129" s="3"/>
      </tp>
      <tp>
        <v>1</v>
        <stp/>
        <stp>IO2004-P-3800.CFE</stp>
        <stp>Bid_Volume1</stp>
        <tr r="AI18" s="3"/>
      </tp>
      <tp>
        <v>3</v>
        <stp/>
        <stp>IO2005-P-3800.CFE</stp>
        <stp>Bid_Volume1</stp>
        <tr r="AI48" s="3"/>
      </tp>
      <tp>
        <v>2</v>
        <stp/>
        <stp>IO2006-P-3800.CFE</stp>
        <stp>Bid_Volume1</stp>
        <tr r="AI78" s="3"/>
      </tp>
      <tp>
        <v>1</v>
        <stp/>
        <stp>IO2009-P-3800.CFE</stp>
        <stp>Bid_Volume1</stp>
        <tr r="AI97" s="3"/>
      </tp>
      <tp>
        <v>0</v>
        <stp/>
        <stp>IO2012-P-3800.CFE</stp>
        <stp>Bid_Volume1</stp>
        <tr r="AI113" s="3"/>
      </tp>
      <tp>
        <v>1</v>
        <stp/>
        <stp>IO2004-P-3850.CFE</stp>
        <stp>Bid_Volume1</stp>
        <tr r="AI19" s="3"/>
      </tp>
      <tp>
        <v>1</v>
        <stp/>
        <stp>IO2005-P-3850.CFE</stp>
        <stp>Bid_Volume1</stp>
        <tr r="AI49" s="3"/>
      </tp>
      <tp>
        <v>2</v>
        <stp/>
        <stp>IO2006-P-3850.CFE</stp>
        <stp>Bid_Volume1</stp>
        <tr r="AI79" s="3"/>
      </tp>
      <tp>
        <v>5</v>
        <stp/>
        <stp>IO2004-C-3800.CFE</stp>
        <stp>Bid_Volume1</stp>
        <tr r="I18" s="3"/>
      </tp>
      <tp>
        <v>1</v>
        <stp/>
        <stp>IO2005-C-3800.CFE</stp>
        <stp>Bid_Volume1</stp>
        <tr r="I48" s="3"/>
      </tp>
      <tp>
        <v>1</v>
        <stp/>
        <stp>IO2006-C-3800.CFE</stp>
        <stp>Bid_Volume1</stp>
        <tr r="I78" s="3"/>
      </tp>
      <tp>
        <v>1</v>
        <stp/>
        <stp>IO2009-C-3800.CFE</stp>
        <stp>Bid_Volume1</stp>
        <tr r="I97" s="3"/>
      </tp>
      <tp>
        <v>1</v>
        <stp/>
        <stp>IO2012-C-3800.CFE</stp>
        <stp>Bid_Volume1</stp>
        <tr r="I113" s="3"/>
      </tp>
      <tp>
        <v>2</v>
        <stp/>
        <stp>IO2103-C-3800.CFE</stp>
        <stp>Bid_Volume1</stp>
        <tr r="I129" s="3"/>
      </tp>
      <tp>
        <v>1</v>
        <stp/>
        <stp>IO2004-C-3850.CFE</stp>
        <stp>Bid_Volume1</stp>
        <tr r="I19" s="3"/>
      </tp>
      <tp>
        <v>1</v>
        <stp/>
        <stp>IO2005-C-3850.CFE</stp>
        <stp>Bid_Volume1</stp>
        <tr r="I49" s="3"/>
      </tp>
      <tp>
        <v>1</v>
        <stp/>
        <stp>IO2006-C-3850.CFE</stp>
        <stp>Bid_Volume1</stp>
        <tr r="I79" s="3"/>
      </tp>
      <tp>
        <v>0</v>
        <stp/>
        <stp>IO2103-P-3900.CFE</stp>
        <stp>Bid_Volume1</stp>
        <tr r="AI130" s="3"/>
      </tp>
      <tp>
        <v>1</v>
        <stp/>
        <stp>IO2004-P-3900.CFE</stp>
        <stp>Bid_Volume1</stp>
        <tr r="AI20" s="3"/>
      </tp>
      <tp>
        <v>1</v>
        <stp/>
        <stp>IO2005-P-3900.CFE</stp>
        <stp>Bid_Volume1</stp>
        <tr r="AI50" s="3"/>
      </tp>
      <tp>
        <v>1</v>
        <stp/>
        <stp>IO2006-P-3900.CFE</stp>
        <stp>Bid_Volume1</stp>
        <tr r="AI80" s="3"/>
      </tp>
      <tp>
        <v>1</v>
        <stp/>
        <stp>IO2009-P-3900.CFE</stp>
        <stp>Bid_Volume1</stp>
        <tr r="AI98" s="3"/>
      </tp>
      <tp>
        <v>1</v>
        <stp/>
        <stp>IO2012-P-3900.CFE</stp>
        <stp>Bid_Volume1</stp>
        <tr r="AI114" s="3"/>
      </tp>
      <tp>
        <v>3</v>
        <stp/>
        <stp>IO2004-P-3950.CFE</stp>
        <stp>Bid_Volume1</stp>
        <tr r="AI21" s="3"/>
      </tp>
      <tp>
        <v>1</v>
        <stp/>
        <stp>IO2005-P-3950.CFE</stp>
        <stp>Bid_Volume1</stp>
        <tr r="AI51" s="3"/>
      </tp>
      <tp>
        <v>0</v>
        <stp/>
        <stp>IO2006-P-3950.CFE</stp>
        <stp>Bid_Volume1</stp>
        <tr r="AI81" s="3"/>
      </tp>
      <tp>
        <v>1</v>
        <stp/>
        <stp>IO2004-C-3900.CFE</stp>
        <stp>Bid_Volume1</stp>
        <tr r="I20" s="3"/>
      </tp>
      <tp>
        <v>1</v>
        <stp/>
        <stp>IO2005-C-3900.CFE</stp>
        <stp>Bid_Volume1</stp>
        <tr r="I50" s="3"/>
      </tp>
      <tp>
        <v>2</v>
        <stp/>
        <stp>IO2006-C-3900.CFE</stp>
        <stp>Bid_Volume1</stp>
        <tr r="I80" s="3"/>
      </tp>
      <tp>
        <v>2</v>
        <stp/>
        <stp>IO2009-C-3900.CFE</stp>
        <stp>Bid_Volume1</stp>
        <tr r="I98" s="3"/>
      </tp>
      <tp>
        <v>1</v>
        <stp/>
        <stp>IO2012-C-3900.CFE</stp>
        <stp>Bid_Volume1</stp>
        <tr r="I114" s="3"/>
      </tp>
      <tp>
        <v>2</v>
        <stp/>
        <stp>IO2103-C-3900.CFE</stp>
        <stp>Bid_Volume1</stp>
        <tr r="I130" s="3"/>
      </tp>
      <tp>
        <v>6</v>
        <stp/>
        <stp>IO2004-C-3950.CFE</stp>
        <stp>Bid_Volume1</stp>
        <tr r="I21" s="3"/>
      </tp>
      <tp>
        <v>1</v>
        <stp/>
        <stp>IO2005-C-3950.CFE</stp>
        <stp>Bid_Volume1</stp>
        <tr r="I51" s="3"/>
      </tp>
      <tp>
        <v>1</v>
        <stp/>
        <stp>IO2006-C-3950.CFE</stp>
        <stp>Bid_Volume1</stp>
        <tr r="I81" s="3"/>
      </tp>
      <tp>
        <v>1</v>
        <stp/>
        <stp>IO2012-C-3900.CFE</stp>
        <stp>Ask_Volume1</stp>
        <tr r="K114" s="3"/>
      </tp>
      <tp>
        <v>5</v>
        <stp/>
        <stp>IO2004-C-3900.CFE</stp>
        <stp>Ask_Volume1</stp>
        <tr r="K20" s="3"/>
      </tp>
      <tp>
        <v>5</v>
        <stp/>
        <stp>IO2005-C-3900.CFE</stp>
        <stp>Ask_Volume1</stp>
        <tr r="K50" s="3"/>
      </tp>
      <tp>
        <v>2</v>
        <stp/>
        <stp>IO2006-C-3900.CFE</stp>
        <stp>Ask_Volume1</stp>
        <tr r="K80" s="3"/>
      </tp>
      <tp>
        <v>0</v>
        <stp/>
        <stp>IO2009-C-3900.CFE</stp>
        <stp>Ask_Volume1</stp>
        <tr r="K98" s="3"/>
      </tp>
      <tp>
        <v>0</v>
        <stp/>
        <stp>IO2103-C-3900.CFE</stp>
        <stp>Ask_Volume1</stp>
        <tr r="K130" s="3"/>
      </tp>
      <tp>
        <v>3</v>
        <stp/>
        <stp>IO2004-C-3950.CFE</stp>
        <stp>Ask_Volume1</stp>
        <tr r="K21" s="3"/>
      </tp>
      <tp>
        <v>5</v>
        <stp/>
        <stp>IO2005-C-3950.CFE</stp>
        <stp>Ask_Volume1</stp>
        <tr r="K51" s="3"/>
      </tp>
      <tp>
        <v>1</v>
        <stp/>
        <stp>IO2006-C-3950.CFE</stp>
        <stp>Ask_Volume1</stp>
        <tr r="K81" s="3"/>
      </tp>
      <tp>
        <v>0</v>
        <stp/>
        <stp>IO2103-P-3900.CFE</stp>
        <stp>Ask_Volume1</stp>
        <tr r="AK130" s="3"/>
      </tp>
      <tp>
        <v>0</v>
        <stp/>
        <stp>IO2012-P-3900.CFE</stp>
        <stp>Ask_Volume1</stp>
        <tr r="AK114" s="3"/>
      </tp>
      <tp>
        <v>0</v>
        <stp/>
        <stp>IO2004-P-3900.CFE</stp>
        <stp>Ask_Volume1</stp>
        <tr r="AK20" s="3"/>
      </tp>
      <tp>
        <v>0</v>
        <stp/>
        <stp>IO2005-P-3900.CFE</stp>
        <stp>Ask_Volume1</stp>
        <tr r="AK50" s="3"/>
      </tp>
      <tp>
        <v>0</v>
        <stp/>
        <stp>IO2006-P-3900.CFE</stp>
        <stp>Ask_Volume1</stp>
        <tr r="AK80" s="3"/>
      </tp>
      <tp>
        <v>0</v>
        <stp/>
        <stp>IO2009-P-3900.CFE</stp>
        <stp>Ask_Volume1</stp>
        <tr r="AK98" s="3"/>
      </tp>
      <tp>
        <v>0</v>
        <stp/>
        <stp>IO2004-P-3950.CFE</stp>
        <stp>Ask_Volume1</stp>
        <tr r="AK21" s="3"/>
      </tp>
      <tp>
        <v>0</v>
        <stp/>
        <stp>IO2005-P-3950.CFE</stp>
        <stp>Ask_Volume1</stp>
        <tr r="AK51" s="3"/>
      </tp>
      <tp>
        <v>0</v>
        <stp/>
        <stp>IO2006-P-3950.CFE</stp>
        <stp>Ask_Volume1</stp>
        <tr r="AK81" s="3"/>
      </tp>
      <tp>
        <v>0</v>
        <stp/>
        <stp>IO2012-C-3800.CFE</stp>
        <stp>Ask_Volume1</stp>
        <tr r="K113" s="3"/>
      </tp>
      <tp>
        <v>1</v>
        <stp/>
        <stp>IO2004-C-3800.CFE</stp>
        <stp>Ask_Volume1</stp>
        <tr r="K18" s="3"/>
      </tp>
      <tp>
        <v>0</v>
        <stp/>
        <stp>IO2005-C-3800.CFE</stp>
        <stp>Ask_Volume1</stp>
        <tr r="K48" s="3"/>
      </tp>
      <tp>
        <v>1</v>
        <stp/>
        <stp>IO2006-C-3800.CFE</stp>
        <stp>Ask_Volume1</stp>
        <tr r="K78" s="3"/>
      </tp>
      <tp>
        <v>1</v>
        <stp/>
        <stp>IO2009-C-3800.CFE</stp>
        <stp>Ask_Volume1</stp>
        <tr r="K97" s="3"/>
      </tp>
      <tp>
        <v>0</v>
        <stp/>
        <stp>IO2103-C-3800.CFE</stp>
        <stp>Ask_Volume1</stp>
        <tr r="K129" s="3"/>
      </tp>
      <tp>
        <v>1</v>
        <stp/>
        <stp>IO2004-C-3850.CFE</stp>
        <stp>Ask_Volume1</stp>
        <tr r="K19" s="3"/>
      </tp>
      <tp>
        <v>3</v>
        <stp/>
        <stp>IO2005-C-3850.CFE</stp>
        <stp>Ask_Volume1</stp>
        <tr r="K49" s="3"/>
      </tp>
      <tp>
        <v>0</v>
        <stp/>
        <stp>IO2006-C-3850.CFE</stp>
        <stp>Ask_Volume1</stp>
        <tr r="K79" s="3"/>
      </tp>
      <tp>
        <v>0</v>
        <stp/>
        <stp>IO2103-P-3800.CFE</stp>
        <stp>Ask_Volume1</stp>
        <tr r="AK129" s="3"/>
      </tp>
      <tp>
        <v>0</v>
        <stp/>
        <stp>IO2012-P-3800.CFE</stp>
        <stp>Ask_Volume1</stp>
        <tr r="AK113" s="3"/>
      </tp>
      <tp>
        <v>0</v>
        <stp/>
        <stp>IO2004-P-3800.CFE</stp>
        <stp>Ask_Volume1</stp>
        <tr r="AK18" s="3"/>
      </tp>
      <tp>
        <v>0</v>
        <stp/>
        <stp>IO2005-P-3800.CFE</stp>
        <stp>Ask_Volume1</stp>
        <tr r="AK48" s="3"/>
      </tp>
      <tp>
        <v>0</v>
        <stp/>
        <stp>IO2006-P-3800.CFE</stp>
        <stp>Ask_Volume1</stp>
        <tr r="AK78" s="3"/>
      </tp>
      <tp>
        <v>0</v>
        <stp/>
        <stp>IO2009-P-3800.CFE</stp>
        <stp>Ask_Volume1</stp>
        <tr r="AK97" s="3"/>
      </tp>
      <tp>
        <v>1</v>
        <stp/>
        <stp>IO2004-P-3850.CFE</stp>
        <stp>Ask_Volume1</stp>
        <tr r="AK19" s="3"/>
      </tp>
      <tp>
        <v>0</v>
        <stp/>
        <stp>IO2005-P-3850.CFE</stp>
        <stp>Ask_Volume1</stp>
        <tr r="AK49" s="3"/>
      </tp>
      <tp>
        <v>0</v>
        <stp/>
        <stp>IO2006-P-3850.CFE</stp>
        <stp>Ask_Volume1</stp>
        <tr r="AK79" s="3"/>
      </tp>
      <tp>
        <v>0.05</v>
        <stp/>
        <stp>10002430.SH</stp>
        <stp>Ask_Price1</stp>
        <tr r="AJ31" s="1"/>
      </tp>
      <tp>
        <v>5.0500000000000003E-2</v>
        <stp/>
        <stp>10002460.SH</stp>
        <stp>Ask_Price1</stp>
        <tr r="AJ22" s="1"/>
      </tp>
      <tp>
        <v>0.1613</v>
        <stp/>
        <stp>10002180.SH</stp>
        <stp>Ask_Price1</stp>
        <tr r="AJ36" s="1"/>
      </tp>
      <tp>
        <v>0.8911</v>
        <stp/>
        <stp>10002230.SH</stp>
        <stp>Ask_Price1</stp>
        <tr r="AJ46" s="1"/>
      </tp>
      <tp>
        <v>0</v>
        <stp/>
        <stp>10002260.SH</stp>
        <stp>Ask_Price1</stp>
        <tr r="AJ55" s="1"/>
      </tp>
      <tp>
        <v>0.27500000000000002</v>
        <stp/>
        <stp>10002250.SH</stp>
        <stp>Ask_Price1</stp>
        <tr r="J54" s="1"/>
      </tp>
      <tp>
        <v>0.1293</v>
        <stp/>
        <stp>10002330.SH</stp>
        <stp>Ask_Price1</stp>
        <tr r="AJ49" s="1"/>
      </tp>
      <tp>
        <v>0.11380000000000001</v>
        <stp/>
        <stp>10002360.SH</stp>
        <stp>Ask_Price1</stp>
        <tr r="AJ12" s="1"/>
      </tp>
      <tp>
        <v>0.36849999999999999</v>
        <stp/>
        <stp>10002390.SH</stp>
        <stp>Ask_Price1</stp>
        <tr r="J9" s="1"/>
      </tp>
      <tp>
        <v>4.9399999999999999E-2</v>
        <stp/>
        <stp>10002460.SH</stp>
        <stp>Bid_Price1</stp>
        <tr r="AH22" s="1"/>
      </tp>
      <tp>
        <v>3.0100000000000002E-2</v>
        <stp/>
        <stp>10002430.SH</stp>
        <stp>Bid_Price1</stp>
        <tr r="AH31" s="1"/>
      </tp>
      <tp>
        <v>0.26430000000000003</v>
        <stp/>
        <stp>10002250.SH</stp>
        <stp>Bid_Price1</stp>
        <tr r="H54" s="1"/>
      </tp>
      <tp>
        <v>0.3896</v>
        <stp/>
        <stp>10002260.SH</stp>
        <stp>Bid_Price1</stp>
        <tr r="AH55" s="1"/>
      </tp>
      <tp>
        <v>0.87780000000000002</v>
        <stp/>
        <stp>10002230.SH</stp>
        <stp>Bid_Price1</stp>
        <tr r="AH46" s="1"/>
      </tp>
      <tp>
        <v>0.36499999999999999</v>
        <stp/>
        <stp>10002390.SH</stp>
        <stp>Bid_Price1</stp>
        <tr r="H9" s="1"/>
      </tp>
      <tp>
        <v>0.112</v>
        <stp/>
        <stp>10002360.SH</stp>
        <stp>Bid_Price1</stp>
        <tr r="AH12" s="1"/>
      </tp>
      <tp>
        <v>0.1246</v>
        <stp/>
        <stp>10002330.SH</stp>
        <stp>Bid_Price1</stp>
        <tr r="AH49" s="1"/>
      </tp>
      <tp>
        <v>0.15770000000000001</v>
        <stp/>
        <stp>10002180.SH</stp>
        <stp>Bid_Price1</stp>
        <tr r="AH36" s="1"/>
      </tp>
      <tp>
        <v>0</v>
        <stp/>
        <stp>IO2103-P-3400.CFE</stp>
        <stp>Bid_Volume1</stp>
        <tr r="AI125" s="3"/>
      </tp>
      <tp>
        <v>1</v>
        <stp/>
        <stp>IO2004-P-3400.CFE</stp>
        <stp>Bid_Volume1</stp>
        <tr r="AI10" s="3"/>
      </tp>
      <tp>
        <v>3</v>
        <stp/>
        <stp>IO2005-P-3400.CFE</stp>
        <stp>Bid_Volume1</stp>
        <tr r="AI40" s="3"/>
      </tp>
      <tp>
        <v>2</v>
        <stp/>
        <stp>IO2006-P-3400.CFE</stp>
        <stp>Bid_Volume1</stp>
        <tr r="AI70" s="3"/>
      </tp>
      <tp>
        <v>0</v>
        <stp/>
        <stp>IO2006-P-4400.CFE</stp>
        <stp>Bid_Volume1</stp>
        <tr r="AI87" s="3"/>
      </tp>
      <tp>
        <v>1</v>
        <stp/>
        <stp>IO2005-P-4400.CFE</stp>
        <stp>Bid_Volume1</stp>
        <tr r="AI60" s="3"/>
      </tp>
      <tp>
        <v>0</v>
        <stp/>
        <stp>IO2004-P-4400.CFE</stp>
        <stp>Bid_Volume1</stp>
        <tr r="AI30" s="3"/>
      </tp>
      <tp>
        <v>0</v>
        <stp/>
        <stp>IO2009-P-4400.CFE</stp>
        <stp>Bid_Volume1</stp>
        <tr r="AI103" s="3"/>
      </tp>
      <tp>
        <v>16</v>
        <stp/>
        <stp>IO2009-P-3400.CFE</stp>
        <stp>Bid_Volume1</stp>
        <tr r="AI93" s="3"/>
      </tp>
      <tp>
        <v>0</v>
        <stp/>
        <stp>IO2012-P-4400.CFE</stp>
        <stp>Bid_Volume1</stp>
        <tr r="AI119" s="3"/>
      </tp>
      <tp>
        <v>2</v>
        <stp/>
        <stp>IO2012-P-3400.CFE</stp>
        <stp>Bid_Volume1</stp>
        <tr r="AI109" s="3"/>
      </tp>
      <tp>
        <v>1</v>
        <stp/>
        <stp>IO2004-P-3450.CFE</stp>
        <stp>Bid_Volume1</stp>
        <tr r="AI11" s="3"/>
      </tp>
      <tp>
        <v>1</v>
        <stp/>
        <stp>IO2005-P-3450.CFE</stp>
        <stp>Bid_Volume1</stp>
        <tr r="AI41" s="3"/>
      </tp>
      <tp>
        <v>1</v>
        <stp/>
        <stp>IO2006-P-3450.CFE</stp>
        <stp>Bid_Volume1</stp>
        <tr r="AI71" s="3"/>
      </tp>
      <tp>
        <v>1</v>
        <stp/>
        <stp>IO2005-P-4450.CFE</stp>
        <stp>Bid_Volume1</stp>
        <tr r="AI61" s="3"/>
      </tp>
      <tp>
        <v>0</v>
        <stp/>
        <stp>IO2004-P-4450.CFE</stp>
        <stp>Bid_Volume1</stp>
        <tr r="AI31" s="3"/>
      </tp>
      <tp>
        <v>1</v>
        <stp/>
        <stp>IO2012-C-4700.CFE</stp>
        <stp>Ask_Volume1</stp>
        <tr r="K122" s="3"/>
      </tp>
      <tp>
        <v>1</v>
        <stp/>
        <stp>IO2012-C-3700.CFE</stp>
        <stp>Ask_Volume1</stp>
        <tr r="K112" s="3"/>
      </tp>
      <tp>
        <v>1</v>
        <stp/>
        <stp>IO2004-C-3700.CFE</stp>
        <stp>Ask_Volume1</stp>
        <tr r="K16" s="3"/>
      </tp>
      <tp>
        <v>1</v>
        <stp/>
        <stp>IO2005-C-3700.CFE</stp>
        <stp>Ask_Volume1</stp>
        <tr r="K46" s="3"/>
      </tp>
      <tp>
        <v>0</v>
        <stp/>
        <stp>IO2006-C-3700.CFE</stp>
        <stp>Ask_Volume1</stp>
        <tr r="K76" s="3"/>
      </tp>
      <tp>
        <v>5</v>
        <stp/>
        <stp>IO2006-C-4700.CFE</stp>
        <stp>Ask_Volume1</stp>
        <tr r="K90" s="3"/>
      </tp>
      <tp>
        <v>2</v>
        <stp/>
        <stp>IO2009-C-4700.CFE</stp>
        <stp>Ask_Volume1</stp>
        <tr r="K106" s="3"/>
      </tp>
      <tp>
        <v>0</v>
        <stp/>
        <stp>IO2009-C-3700.CFE</stp>
        <stp>Ask_Volume1</stp>
        <tr r="K96" s="3"/>
      </tp>
      <tp>
        <v>1</v>
        <stp/>
        <stp>IO2103-C-3700.CFE</stp>
        <stp>Ask_Volume1</stp>
        <tr r="K128" s="3"/>
      </tp>
      <tp>
        <v>8</v>
        <stp/>
        <stp>IO2004-C-3750.CFE</stp>
        <stp>Ask_Volume1</stp>
        <tr r="K17" s="3"/>
      </tp>
      <tp>
        <v>1</v>
        <stp/>
        <stp>IO2005-C-3750.CFE</stp>
        <stp>Ask_Volume1</stp>
        <tr r="K47" s="3"/>
      </tp>
      <tp>
        <v>0</v>
        <stp/>
        <stp>IO2006-C-3750.CFE</stp>
        <stp>Ask_Volume1</stp>
        <tr r="K77" s="3"/>
      </tp>
      <tp>
        <v>3</v>
        <stp/>
        <stp>IO2004-C-3400.CFE</stp>
        <stp>Bid_Volume1</stp>
        <tr r="I10" s="3"/>
      </tp>
      <tp>
        <v>1</v>
        <stp/>
        <stp>IO2005-C-3400.CFE</stp>
        <stp>Bid_Volume1</stp>
        <tr r="I40" s="3"/>
      </tp>
      <tp>
        <v>3</v>
        <stp/>
        <stp>IO2006-C-3400.CFE</stp>
        <stp>Bid_Volume1</stp>
        <tr r="I70" s="3"/>
      </tp>
      <tp>
        <v>1</v>
        <stp/>
        <stp>IO2006-C-4400.CFE</stp>
        <stp>Bid_Volume1</stp>
        <tr r="I87" s="3"/>
      </tp>
      <tp>
        <v>1</v>
        <stp/>
        <stp>IO2005-C-4400.CFE</stp>
        <stp>Bid_Volume1</stp>
        <tr r="I60" s="3"/>
      </tp>
      <tp>
        <v>5</v>
        <stp/>
        <stp>IO2004-C-4400.CFE</stp>
        <stp>Bid_Volume1</stp>
        <tr r="I30" s="3"/>
      </tp>
      <tp>
        <v>0</v>
        <stp/>
        <stp>IO2009-C-4400.CFE</stp>
        <stp>Bid_Volume1</stp>
        <tr r="I103" s="3"/>
      </tp>
      <tp>
        <v>0</v>
        <stp/>
        <stp>IO2009-C-3400.CFE</stp>
        <stp>Bid_Volume1</stp>
        <tr r="I93" s="3"/>
      </tp>
      <tp>
        <v>1</v>
        <stp/>
        <stp>IO2012-C-4400.CFE</stp>
        <stp>Bid_Volume1</stp>
        <tr r="I119" s="3"/>
      </tp>
      <tp>
        <v>0</v>
        <stp/>
        <stp>IO2012-C-3400.CFE</stp>
        <stp>Bid_Volume1</stp>
        <tr r="I109" s="3"/>
      </tp>
      <tp>
        <v>1</v>
        <stp/>
        <stp>IO2103-C-3400.CFE</stp>
        <stp>Bid_Volume1</stp>
        <tr r="I125" s="3"/>
      </tp>
      <tp>
        <v>1</v>
        <stp/>
        <stp>IO2004-C-3450.CFE</stp>
        <stp>Bid_Volume1</stp>
        <tr r="I11" s="3"/>
      </tp>
      <tp>
        <v>1</v>
        <stp/>
        <stp>IO2005-C-3450.CFE</stp>
        <stp>Bid_Volume1</stp>
        <tr r="I41" s="3"/>
      </tp>
      <tp>
        <v>3</v>
        <stp/>
        <stp>IO2006-C-3450.CFE</stp>
        <stp>Bid_Volume1</stp>
        <tr r="I71" s="3"/>
      </tp>
      <tp>
        <v>1</v>
        <stp/>
        <stp>IO2005-C-4450.CFE</stp>
        <stp>Bid_Volume1</stp>
        <tr r="I61" s="3"/>
      </tp>
      <tp>
        <v>1</v>
        <stp/>
        <stp>IO2004-C-4450.CFE</stp>
        <stp>Bid_Volume1</stp>
        <tr r="I31" s="3"/>
      </tp>
      <tp>
        <v>0</v>
        <stp/>
        <stp>IO2103-P-3700.CFE</stp>
        <stp>Ask_Volume1</stp>
        <tr r="AK128" s="3"/>
      </tp>
      <tp>
        <v>0</v>
        <stp/>
        <stp>IO2012-P-4700.CFE</stp>
        <stp>Ask_Volume1</stp>
        <tr r="AK122" s="3"/>
      </tp>
      <tp>
        <v>0</v>
        <stp/>
        <stp>IO2012-P-3700.CFE</stp>
        <stp>Ask_Volume1</stp>
        <tr r="AK112" s="3"/>
      </tp>
      <tp>
        <v>3</v>
        <stp/>
        <stp>IO2004-P-3700.CFE</stp>
        <stp>Ask_Volume1</stp>
        <tr r="AK16" s="3"/>
      </tp>
      <tp>
        <v>0</v>
        <stp/>
        <stp>IO2005-P-3700.CFE</stp>
        <stp>Ask_Volume1</stp>
        <tr r="AK46" s="3"/>
      </tp>
      <tp>
        <v>0</v>
        <stp/>
        <stp>IO2006-P-3700.CFE</stp>
        <stp>Ask_Volume1</stp>
        <tr r="AK76" s="3"/>
      </tp>
      <tp>
        <v>2</v>
        <stp/>
        <stp>IO2006-P-4700.CFE</stp>
        <stp>Ask_Volume1</stp>
        <tr r="AK90" s="3"/>
      </tp>
      <tp>
        <v>0</v>
        <stp/>
        <stp>IO2009-P-4700.CFE</stp>
        <stp>Ask_Volume1</stp>
        <tr r="AK106" s="3"/>
      </tp>
      <tp>
        <v>0</v>
        <stp/>
        <stp>IO2009-P-3700.CFE</stp>
        <stp>Ask_Volume1</stp>
        <tr r="AK96" s="3"/>
      </tp>
      <tp>
        <v>1</v>
        <stp/>
        <stp>IO2004-P-3750.CFE</stp>
        <stp>Ask_Volume1</stp>
        <tr r="AK17" s="3"/>
      </tp>
      <tp>
        <v>0</v>
        <stp/>
        <stp>IO2005-P-3750.CFE</stp>
        <stp>Ask_Volume1</stp>
        <tr r="AK47" s="3"/>
      </tp>
      <tp>
        <v>0</v>
        <stp/>
        <stp>IO2006-P-3750.CFE</stp>
        <stp>Ask_Volume1</stp>
        <tr r="AK77" s="3"/>
      </tp>
      <tp>
        <v>0.72000000000000008</v>
        <stp/>
        <stp>10002431.SH</stp>
        <stp>Ask_Price1</stp>
        <tr r="J47" s="1"/>
      </tp>
      <tp>
        <v>0.55859999999999999</v>
        <stp/>
        <stp>10002411.SH</stp>
        <stp>Ask_Price1</stp>
        <tr r="J7" s="1"/>
      </tp>
      <tp>
        <v>8.3000000000000004E-2</v>
        <stp/>
        <stp>10002461.SH</stp>
        <stp>Ask_Price1</stp>
        <tr r="AJ23" s="1"/>
      </tp>
      <tp>
        <v>0</v>
        <stp/>
        <stp>10002451.SH</stp>
        <stp>Ask_Price1</stp>
        <tr r="J22" s="1"/>
      </tp>
      <tp>
        <v>0.29320000000000002</v>
        <stp/>
        <stp>10002171.SH</stp>
        <stp>Ask_Price1</stp>
        <tr r="J36" s="1"/>
      </tp>
      <tp>
        <v>0.2064</v>
        <stp/>
        <stp>10002181.SH</stp>
        <stp>Ask_Price1</stp>
        <tr r="AJ37" s="1"/>
      </tp>
      <tp>
        <v>3.5000000000000003E-2</v>
        <stp/>
        <stp>10002221.SH</stp>
        <stp>Ask_Price1</stp>
        <tr r="J45" s="1"/>
      </tp>
      <tp>
        <v>0.39910000000000001</v>
        <stp/>
        <stp>10002271.SH</stp>
        <stp>Ask_Price1</stp>
        <tr r="J52" s="1"/>
      </tp>
      <tp>
        <v>0.4587</v>
        <stp/>
        <stp>10002261.SH</stp>
        <stp>Ask_Price1</stp>
        <tr r="AJ56" s="1"/>
      </tp>
      <tp>
        <v>0.54959999999999998</v>
        <stp/>
        <stp>10002251.SH</stp>
        <stp>Ask_Price1</stp>
        <tr r="J55" s="1"/>
      </tp>
      <tp>
        <v>0.15920000000000001</v>
        <stp/>
        <stp>10002331.SH</stp>
        <stp>Ask_Price1</stp>
        <tr r="AJ50" s="1"/>
      </tp>
      <tp>
        <v>0.50050000000000006</v>
        <stp/>
        <stp>10002321.SH</stp>
        <stp>Ask_Price1</stp>
        <tr r="J33" s="1"/>
      </tp>
      <tp>
        <v>0.16450000000000001</v>
        <stp/>
        <stp>10002361.SH</stp>
        <stp>Ask_Price1</stp>
        <tr r="AJ13" s="1"/>
      </tp>
      <tp>
        <v>0.15</v>
        <stp/>
        <stp>10002351.SH</stp>
        <stp>Ask_Price1</stp>
        <tr r="J12" s="1"/>
      </tp>
      <tp>
        <v>2.07E-2</v>
        <stp/>
        <stp>10002391.SH</stp>
        <stp>Ask_Price1</stp>
        <tr r="AJ8" s="1"/>
      </tp>
      <tp>
        <v>2.1000000000000003E-3</v>
        <stp/>
        <stp>10002381.SH</stp>
        <stp>Ask_Price1</stp>
        <tr r="J21" s="1"/>
      </tp>
      <tp>
        <v>6.2400000000000004E-2</v>
        <stp/>
        <stp>10002451.SH</stp>
        <stp>Bid_Price1</stp>
        <tr r="H22" s="1"/>
      </tp>
      <tp>
        <v>6.770000000000001E-2</v>
        <stp/>
        <stp>10002461.SH</stp>
        <stp>Bid_Price1</stp>
        <tr r="AH23" s="1"/>
      </tp>
      <tp>
        <v>0.50050000000000006</v>
        <stp/>
        <stp>10002411.SH</stp>
        <stp>Bid_Price1</stp>
        <tr r="H7" s="1"/>
      </tp>
      <tp>
        <v>0.64900000000000002</v>
        <stp/>
        <stp>10002431.SH</stp>
        <stp>Bid_Price1</stp>
        <tr r="H47" s="1"/>
      </tp>
      <tp>
        <v>5.2299999999999999E-2</v>
        <stp/>
        <stp>10002251.SH</stp>
        <stp>Bid_Price1</stp>
        <tr r="H55" s="1"/>
      </tp>
      <tp>
        <v>0.41000000000000003</v>
        <stp/>
        <stp>10002261.SH</stp>
        <stp>Bid_Price1</stp>
        <tr r="AH56" s="1"/>
      </tp>
      <tp>
        <v>0.34320000000000001</v>
        <stp/>
        <stp>10002271.SH</stp>
        <stp>Bid_Price1</stp>
        <tr r="H52" s="1"/>
      </tp>
      <tp>
        <v>3.0700000000000002E-2</v>
        <stp/>
        <stp>10002221.SH</stp>
        <stp>Bid_Price1</stp>
        <tr r="H45" s="1"/>
      </tp>
      <tp>
        <v>1.8000000000000002E-3</v>
        <stp/>
        <stp>10002381.SH</stp>
        <stp>Bid_Price1</stp>
        <tr r="H21" s="1"/>
      </tp>
      <tp>
        <v>2.01E-2</v>
        <stp/>
        <stp>10002391.SH</stp>
        <stp>Bid_Price1</stp>
        <tr r="AH8" s="1"/>
      </tp>
      <tp>
        <v>0.1492</v>
        <stp/>
        <stp>10002351.SH</stp>
        <stp>Bid_Price1</stp>
        <tr r="H12" s="1"/>
      </tp>
      <tp>
        <v>0.16200000000000001</v>
        <stp/>
        <stp>10002361.SH</stp>
        <stp>Bid_Price1</stp>
        <tr r="AH13" s="1"/>
      </tp>
      <tp>
        <v>0.49200000000000005</v>
        <stp/>
        <stp>10002321.SH</stp>
        <stp>Bid_Price1</stp>
        <tr r="H33" s="1"/>
      </tp>
      <tp>
        <v>0.1</v>
        <stp/>
        <stp>10002331.SH</stp>
        <stp>Bid_Price1</stp>
        <tr r="AH50" s="1"/>
      </tp>
      <tp>
        <v>0.2</v>
        <stp/>
        <stp>10002181.SH</stp>
        <stp>Bid_Price1</stp>
        <tr r="AH37" s="1"/>
      </tp>
      <tp>
        <v>0.26019999999999999</v>
        <stp/>
        <stp>10002171.SH</stp>
        <stp>Bid_Price1</stp>
        <tr r="H36" s="1"/>
      </tp>
      <tp>
        <v>0</v>
        <stp/>
        <stp>IO2103-P-3500.CFE</stp>
        <stp>Bid_Volume1</stp>
        <tr r="AI126" s="3"/>
      </tp>
      <tp>
        <v>2</v>
        <stp/>
        <stp>IO2004-P-3500.CFE</stp>
        <stp>Bid_Volume1</stp>
        <tr r="AI12" s="3"/>
      </tp>
      <tp>
        <v>1</v>
        <stp/>
        <stp>IO2005-P-3500.CFE</stp>
        <stp>Bid_Volume1</stp>
        <tr r="AI42" s="3"/>
      </tp>
      <tp>
        <v>1</v>
        <stp/>
        <stp>IO2006-P-3500.CFE</stp>
        <stp>Bid_Volume1</stp>
        <tr r="AI72" s="3"/>
      </tp>
      <tp>
        <v>0</v>
        <stp/>
        <stp>IO2006-P-4500.CFE</stp>
        <stp>Bid_Volume1</stp>
        <tr r="AI88" s="3"/>
      </tp>
      <tp>
        <v>1</v>
        <stp/>
        <stp>IO2005-P-4500.CFE</stp>
        <stp>Bid_Volume1</stp>
        <tr r="AI62" s="3"/>
      </tp>
      <tp>
        <v>0</v>
        <stp/>
        <stp>IO2004-P-4500.CFE</stp>
        <stp>Bid_Volume1</stp>
        <tr r="AI32" s="3"/>
      </tp>
      <tp>
        <v>0</v>
        <stp/>
        <stp>IO2009-P-4500.CFE</stp>
        <stp>Bid_Volume1</stp>
        <tr r="AI104" s="3"/>
      </tp>
      <tp>
        <v>2</v>
        <stp/>
        <stp>IO2009-P-3500.CFE</stp>
        <stp>Bid_Volume1</stp>
        <tr r="AI94" s="3"/>
      </tp>
      <tp>
        <v>0</v>
        <stp/>
        <stp>IO2012-P-4500.CFE</stp>
        <stp>Bid_Volume1</stp>
        <tr r="AI120" s="3"/>
      </tp>
      <tp>
        <v>1</v>
        <stp/>
        <stp>IO2012-P-3500.CFE</stp>
        <stp>Bid_Volume1</stp>
        <tr r="AI110" s="3"/>
      </tp>
      <tp>
        <v>1</v>
        <stp/>
        <stp>IO2004-P-3550.CFE</stp>
        <stp>Bid_Volume1</stp>
        <tr r="AI13" s="3"/>
      </tp>
      <tp>
        <v>1</v>
        <stp/>
        <stp>IO2005-P-3550.CFE</stp>
        <stp>Bid_Volume1</stp>
        <tr r="AI43" s="3"/>
      </tp>
      <tp>
        <v>1</v>
        <stp/>
        <stp>IO2006-P-3550.CFE</stp>
        <stp>Bid_Volume1</stp>
        <tr r="AI73" s="3"/>
      </tp>
      <tp>
        <v>1</v>
        <stp/>
        <stp>IO2005-P-4550.CFE</stp>
        <stp>Bid_Volume1</stp>
        <tr r="AI63" s="3"/>
      </tp>
      <tp>
        <v>0</v>
        <stp/>
        <stp>IO2004-P-4550.CFE</stp>
        <stp>Bid_Volume1</stp>
        <tr r="AI33" s="3"/>
      </tp>
      <tp>
        <v>1</v>
        <stp/>
        <stp>IO2012-C-4600.CFE</stp>
        <stp>Ask_Volume1</stp>
        <tr r="K121" s="3"/>
      </tp>
      <tp>
        <v>0</v>
        <stp/>
        <stp>IO2012-C-3600.CFE</stp>
        <stp>Ask_Volume1</stp>
        <tr r="K111" s="3"/>
      </tp>
      <tp>
        <v>2</v>
        <stp/>
        <stp>IO2004-C-3600.CFE</stp>
        <stp>Ask_Volume1</stp>
        <tr r="K14" s="3"/>
      </tp>
      <tp>
        <v>0</v>
        <stp/>
        <stp>IO2005-C-3600.CFE</stp>
        <stp>Ask_Volume1</stp>
        <tr r="K44" s="3"/>
      </tp>
      <tp>
        <v>1</v>
        <stp/>
        <stp>IO2006-C-3600.CFE</stp>
        <stp>Ask_Volume1</stp>
        <tr r="K74" s="3"/>
      </tp>
      <tp>
        <v>1</v>
        <stp/>
        <stp>IO2006-C-4600.CFE</stp>
        <stp>Ask_Volume1</stp>
        <tr r="K89" s="3"/>
      </tp>
      <tp>
        <v>1</v>
        <stp/>
        <stp>IO2005-C-4600.CFE</stp>
        <stp>Ask_Volume1</stp>
        <tr r="K64" s="3"/>
      </tp>
      <tp>
        <v>11</v>
        <stp/>
        <stp>IO2004-C-4600.CFE</stp>
        <stp>Ask_Volume1</stp>
        <tr r="K34" s="3"/>
      </tp>
      <tp>
        <v>1</v>
        <stp/>
        <stp>IO2009-C-4600.CFE</stp>
        <stp>Ask_Volume1</stp>
        <tr r="K105" s="3"/>
      </tp>
      <tp>
        <v>0</v>
        <stp/>
        <stp>IO2009-C-3600.CFE</stp>
        <stp>Ask_Volume1</stp>
        <tr r="K95" s="3"/>
      </tp>
      <tp>
        <v>0</v>
        <stp/>
        <stp>IO2103-C-3600.CFE</stp>
        <stp>Ask_Volume1</stp>
        <tr r="K127" s="3"/>
      </tp>
      <tp>
        <v>1</v>
        <stp/>
        <stp>IO2004-C-3650.CFE</stp>
        <stp>Ask_Volume1</stp>
        <tr r="K15" s="3"/>
      </tp>
      <tp>
        <v>1</v>
        <stp/>
        <stp>IO2005-C-3650.CFE</stp>
        <stp>Ask_Volume1</stp>
        <tr r="K45" s="3"/>
      </tp>
      <tp>
        <v>0</v>
        <stp/>
        <stp>IO2006-C-3650.CFE</stp>
        <stp>Ask_Volume1</stp>
        <tr r="K75" s="3"/>
      </tp>
      <tp>
        <v>1</v>
        <stp/>
        <stp>IO2005-C-4650.CFE</stp>
        <stp>Ask_Volume1</stp>
        <tr r="K65" s="3"/>
      </tp>
      <tp>
        <v>16</v>
        <stp/>
        <stp>IO2004-C-4650.CFE</stp>
        <stp>Ask_Volume1</stp>
        <tr r="K35" s="3"/>
      </tp>
      <tp>
        <v>2</v>
        <stp/>
        <stp>IO2004-C-3500.CFE</stp>
        <stp>Bid_Volume1</stp>
        <tr r="I12" s="3"/>
      </tp>
      <tp>
        <v>1</v>
        <stp/>
        <stp>IO2005-C-3500.CFE</stp>
        <stp>Bid_Volume1</stp>
        <tr r="I42" s="3"/>
      </tp>
      <tp>
        <v>3</v>
        <stp/>
        <stp>IO2006-C-3500.CFE</stp>
        <stp>Bid_Volume1</stp>
        <tr r="I72" s="3"/>
      </tp>
      <tp>
        <v>1</v>
        <stp/>
        <stp>IO2006-C-4500.CFE</stp>
        <stp>Bid_Volume1</stp>
        <tr r="I88" s="3"/>
      </tp>
      <tp>
        <v>1</v>
        <stp/>
        <stp>IO2005-C-4500.CFE</stp>
        <stp>Bid_Volume1</stp>
        <tr r="I62" s="3"/>
      </tp>
      <tp>
        <v>26</v>
        <stp/>
        <stp>IO2004-C-4500.CFE</stp>
        <stp>Bid_Volume1</stp>
        <tr r="I32" s="3"/>
      </tp>
      <tp>
        <v>0</v>
        <stp/>
        <stp>IO2009-C-4500.CFE</stp>
        <stp>Bid_Volume1</stp>
        <tr r="I104" s="3"/>
      </tp>
      <tp>
        <v>1</v>
        <stp/>
        <stp>IO2009-C-3500.CFE</stp>
        <stp>Bid_Volume1</stp>
        <tr r="I94" s="3"/>
      </tp>
      <tp>
        <v>1</v>
        <stp/>
        <stp>IO2012-C-4500.CFE</stp>
        <stp>Bid_Volume1</stp>
        <tr r="I120" s="3"/>
      </tp>
      <tp>
        <v>0</v>
        <stp/>
        <stp>IO2012-C-3500.CFE</stp>
        <stp>Bid_Volume1</stp>
        <tr r="I110" s="3"/>
      </tp>
      <tp>
        <v>0</v>
        <stp/>
        <stp>IO2103-C-3500.CFE</stp>
        <stp>Bid_Volume1</stp>
        <tr r="I126" s="3"/>
      </tp>
      <tp>
        <v>1</v>
        <stp/>
        <stp>IO2004-C-3550.CFE</stp>
        <stp>Bid_Volume1</stp>
        <tr r="I13" s="3"/>
      </tp>
      <tp>
        <v>1</v>
        <stp/>
        <stp>IO2005-C-3550.CFE</stp>
        <stp>Bid_Volume1</stp>
        <tr r="I43" s="3"/>
      </tp>
      <tp>
        <v>3</v>
        <stp/>
        <stp>IO2006-C-3550.CFE</stp>
        <stp>Bid_Volume1</stp>
        <tr r="I73" s="3"/>
      </tp>
      <tp>
        <v>1</v>
        <stp/>
        <stp>IO2005-C-4550.CFE</stp>
        <stp>Bid_Volume1</stp>
        <tr r="I63" s="3"/>
      </tp>
      <tp>
        <v>4</v>
        <stp/>
        <stp>IO2004-C-4550.CFE</stp>
        <stp>Bid_Volume1</stp>
        <tr r="I33" s="3"/>
      </tp>
      <tp>
        <v>0</v>
        <stp/>
        <stp>IO2103-P-3600.CFE</stp>
        <stp>Ask_Volume1</stp>
        <tr r="AK127" s="3"/>
      </tp>
      <tp>
        <v>0</v>
        <stp/>
        <stp>IO2012-P-4600.CFE</stp>
        <stp>Ask_Volume1</stp>
        <tr r="AK121" s="3"/>
      </tp>
      <tp>
        <v>0</v>
        <stp/>
        <stp>IO2012-P-3600.CFE</stp>
        <stp>Ask_Volume1</stp>
        <tr r="AK111" s="3"/>
      </tp>
      <tp>
        <v>16</v>
        <stp/>
        <stp>IO2004-P-3600.CFE</stp>
        <stp>Ask_Volume1</stp>
        <tr r="AK14" s="3"/>
      </tp>
      <tp>
        <v>1</v>
        <stp/>
        <stp>IO2005-P-3600.CFE</stp>
        <stp>Ask_Volume1</stp>
        <tr r="AK44" s="3"/>
      </tp>
      <tp>
        <v>1</v>
        <stp/>
        <stp>IO2006-P-3600.CFE</stp>
        <stp>Ask_Volume1</stp>
        <tr r="AK74" s="3"/>
      </tp>
      <tp>
        <v>1</v>
        <stp/>
        <stp>IO2006-P-4600.CFE</stp>
        <stp>Ask_Volume1</stp>
        <tr r="AK89" s="3"/>
      </tp>
      <tp>
        <v>0</v>
        <stp/>
        <stp>IO2005-P-4600.CFE</stp>
        <stp>Ask_Volume1</stp>
        <tr r="AK64" s="3"/>
      </tp>
      <tp>
        <v>0</v>
        <stp/>
        <stp>IO2004-P-4600.CFE</stp>
        <stp>Ask_Volume1</stp>
        <tr r="AK34" s="3"/>
      </tp>
      <tp>
        <v>0</v>
        <stp/>
        <stp>IO2009-P-4600.CFE</stp>
        <stp>Ask_Volume1</stp>
        <tr r="AK105" s="3"/>
      </tp>
      <tp>
        <v>1</v>
        <stp/>
        <stp>IO2009-P-3600.CFE</stp>
        <stp>Ask_Volume1</stp>
        <tr r="AK95" s="3"/>
      </tp>
      <tp>
        <v>1</v>
        <stp/>
        <stp>IO2004-P-3650.CFE</stp>
        <stp>Ask_Volume1</stp>
        <tr r="AK15" s="3"/>
      </tp>
      <tp>
        <v>1</v>
        <stp/>
        <stp>IO2005-P-3650.CFE</stp>
        <stp>Ask_Volume1</stp>
        <tr r="AK45" s="3"/>
      </tp>
      <tp>
        <v>0</v>
        <stp/>
        <stp>IO2006-P-3650.CFE</stp>
        <stp>Ask_Volume1</stp>
        <tr r="AK75" s="3"/>
      </tp>
      <tp>
        <v>0</v>
        <stp/>
        <stp>IO2005-P-4650.CFE</stp>
        <stp>Ask_Volume1</stp>
        <tr r="AK65" s="3"/>
      </tp>
      <tp>
        <v>0</v>
        <stp/>
        <stp>IO2004-P-4650.CFE</stp>
        <stp>Ask_Volume1</stp>
        <tr r="AK35" s="3"/>
      </tp>
      <tp>
        <v>8.3000000000000004E-2</v>
        <stp/>
        <stp>10002432.SH</stp>
        <stp>Ask_Price1</stp>
        <tr r="AJ47" s="1"/>
      </tp>
      <tp>
        <v>1.35E-2</v>
        <stp/>
        <stp>10002412.SH</stp>
        <stp>Ask_Price1</stp>
        <tr r="AJ7" s="1"/>
      </tp>
      <tp>
        <v>0.10500000000000001</v>
        <stp/>
        <stp>10002462.SH</stp>
        <stp>Ask_Price1</stp>
        <tr r="AJ24" s="1"/>
      </tp>
      <tp>
        <v>0</v>
        <stp/>
        <stp>10002452.SH</stp>
        <stp>Ask_Price1</stp>
        <tr r="J23" s="1"/>
      </tp>
      <tp>
        <v>0.23800000000000002</v>
        <stp/>
        <stp>10002172.SH</stp>
        <stp>Ask_Price1</stp>
        <tr r="J37" s="1"/>
      </tp>
      <tp>
        <v>0.2611</v>
        <stp/>
        <stp>10002182.SH</stp>
        <stp>Ask_Price1</stp>
        <tr r="AJ38" s="1"/>
      </tp>
      <tp>
        <v>0</v>
        <stp/>
        <stp>10002222.SH</stp>
        <stp>Ask_Price1</stp>
        <tr r="AJ45" s="1"/>
      </tp>
      <tp>
        <v>0.248</v>
        <stp/>
        <stp>10002272.SH</stp>
        <stp>Ask_Price1</stp>
        <tr r="AJ52" s="1"/>
      </tp>
      <tp>
        <v>0</v>
        <stp/>
        <stp>10002262.SH</stp>
        <stp>Ask_Price1</stp>
        <tr r="AJ57" s="1"/>
      </tp>
      <tp>
        <v>0.19980000000000001</v>
        <stp/>
        <stp>10002252.SH</stp>
        <stp>Ask_Price1</stp>
        <tr r="J56" s="1"/>
      </tp>
      <tp>
        <v>0.21980000000000002</v>
        <stp/>
        <stp>10002332.SH</stp>
        <stp>Ask_Price1</stp>
        <tr r="AJ51" s="1"/>
      </tp>
      <tp>
        <v>0.42510000000000003</v>
        <stp/>
        <stp>10002322.SH</stp>
        <stp>Ask_Price1</stp>
        <tr r="J34" s="1"/>
      </tp>
      <tp>
        <v>0.22840000000000002</v>
        <stp/>
        <stp>10002362.SH</stp>
        <stp>Ask_Price1</stp>
        <tr r="AJ14" s="1"/>
      </tp>
      <tp>
        <v>0.1</v>
        <stp/>
        <stp>10002352.SH</stp>
        <stp>Ask_Price1</stp>
        <tr r="J13" s="1"/>
      </tp>
      <tp>
        <v>3.3000000000000002E-2</v>
        <stp/>
        <stp>10002392.SH</stp>
        <stp>Ask_Price1</stp>
        <tr r="AJ9" s="1"/>
      </tp>
      <tp>
        <v>0</v>
        <stp/>
        <stp>10002382.SH</stp>
        <stp>Ask_Price1</stp>
        <tr r="AJ21" s="1"/>
      </tp>
      <tp>
        <v>0.34550000000000003</v>
        <stp/>
        <stp>10002452.SH</stp>
        <stp>Bid_Price1</stp>
        <tr r="H23" s="1"/>
      </tp>
      <tp>
        <v>9.0000000000000011E-2</v>
        <stp/>
        <stp>10002462.SH</stp>
        <stp>Bid_Price1</stp>
        <tr r="AH24" s="1"/>
      </tp>
      <tp>
        <v>1.3000000000000001E-2</v>
        <stp/>
        <stp>10002412.SH</stp>
        <stp>Bid_Price1</stp>
        <tr r="AH7" s="1"/>
      </tp>
      <tp>
        <v>7.0000000000000007E-2</v>
        <stp/>
        <stp>10002432.SH</stp>
        <stp>Bid_Price1</stp>
        <tr r="AH47" s="1"/>
      </tp>
      <tp>
        <v>0.18630000000000002</v>
        <stp/>
        <stp>10002252.SH</stp>
        <stp>Bid_Price1</stp>
        <tr r="H56" s="1"/>
      </tp>
      <tp>
        <v>0</v>
        <stp/>
        <stp>10002262.SH</stp>
        <stp>Bid_Price1</stp>
        <tr r="AH57" s="1"/>
      </tp>
      <tp>
        <v>0.23200000000000001</v>
        <stp/>
        <stp>10002272.SH</stp>
        <stp>Bid_Price1</stp>
        <tr r="AH52" s="1"/>
      </tp>
      <tp>
        <v>0.74330000000000007</v>
        <stp/>
        <stp>10002222.SH</stp>
        <stp>Bid_Price1</stp>
        <tr r="AH45" s="1"/>
      </tp>
      <tp>
        <v>0.61209999999999998</v>
        <stp/>
        <stp>10002382.SH</stp>
        <stp>Bid_Price1</stp>
        <tr r="AH21" s="1"/>
      </tp>
      <tp>
        <v>3.2100000000000004E-2</v>
        <stp/>
        <stp>10002392.SH</stp>
        <stp>Bid_Price1</stp>
        <tr r="AH9" s="1"/>
      </tp>
      <tp>
        <v>9.9900000000000003E-2</v>
        <stp/>
        <stp>10002352.SH</stp>
        <stp>Bid_Price1</stp>
        <tr r="H13" s="1"/>
      </tp>
      <tp>
        <v>0.22590000000000002</v>
        <stp/>
        <stp>10002362.SH</stp>
        <stp>Bid_Price1</stp>
        <tr r="AH14" s="1"/>
      </tp>
      <tp>
        <v>0.38</v>
        <stp/>
        <stp>10002322.SH</stp>
        <stp>Bid_Price1</stp>
        <tr r="H34" s="1"/>
      </tp>
      <tp>
        <v>0.19</v>
        <stp/>
        <stp>10002332.SH</stp>
        <stp>Bid_Price1</stp>
        <tr r="AH51" s="1"/>
      </tp>
      <tp>
        <v>0.20370000000000002</v>
        <stp/>
        <stp>10002182.SH</stp>
        <stp>Bid_Price1</stp>
        <tr r="AH38" s="1"/>
      </tp>
      <tp>
        <v>0.22950000000000001</v>
        <stp/>
        <stp>10002172.SH</stp>
        <stp>Bid_Price1</stp>
        <tr r="H37" s="1"/>
      </tp>
      <tp>
        <v>0</v>
        <stp/>
        <stp>IO2103-P-3600.CFE</stp>
        <stp>Bid_Volume1</stp>
        <tr r="AI127" s="3"/>
      </tp>
      <tp>
        <v>2</v>
        <stp/>
        <stp>IO2004-P-3600.CFE</stp>
        <stp>Bid_Volume1</stp>
        <tr r="AI14" s="3"/>
      </tp>
      <tp>
        <v>1</v>
        <stp/>
        <stp>IO2005-P-3600.CFE</stp>
        <stp>Bid_Volume1</stp>
        <tr r="AI44" s="3"/>
      </tp>
      <tp>
        <v>1</v>
        <stp/>
        <stp>IO2006-P-3600.CFE</stp>
        <stp>Bid_Volume1</stp>
        <tr r="AI74" s="3"/>
      </tp>
      <tp>
        <v>0</v>
        <stp/>
        <stp>IO2006-P-4600.CFE</stp>
        <stp>Bid_Volume1</stp>
        <tr r="AI89" s="3"/>
      </tp>
      <tp>
        <v>0</v>
        <stp/>
        <stp>IO2005-P-4600.CFE</stp>
        <stp>Bid_Volume1</stp>
        <tr r="AI64" s="3"/>
      </tp>
      <tp>
        <v>0</v>
        <stp/>
        <stp>IO2004-P-4600.CFE</stp>
        <stp>Bid_Volume1</stp>
        <tr r="AI34" s="3"/>
      </tp>
      <tp>
        <v>0</v>
        <stp/>
        <stp>IO2009-P-4600.CFE</stp>
        <stp>Bid_Volume1</stp>
        <tr r="AI105" s="3"/>
      </tp>
      <tp>
        <v>1</v>
        <stp/>
        <stp>IO2009-P-3600.CFE</stp>
        <stp>Bid_Volume1</stp>
        <tr r="AI95" s="3"/>
      </tp>
      <tp>
        <v>0</v>
        <stp/>
        <stp>IO2012-P-4600.CFE</stp>
        <stp>Bid_Volume1</stp>
        <tr r="AI121" s="3"/>
      </tp>
      <tp>
        <v>3</v>
        <stp/>
        <stp>IO2012-P-3600.CFE</stp>
        <stp>Bid_Volume1</stp>
        <tr r="AI111" s="3"/>
      </tp>
      <tp>
        <v>2</v>
        <stp/>
        <stp>IO2004-P-3650.CFE</stp>
        <stp>Bid_Volume1</stp>
        <tr r="AI15" s="3"/>
      </tp>
      <tp>
        <v>1</v>
        <stp/>
        <stp>IO2005-P-3650.CFE</stp>
        <stp>Bid_Volume1</stp>
        <tr r="AI45" s="3"/>
      </tp>
      <tp>
        <v>1</v>
        <stp/>
        <stp>IO2006-P-3650.CFE</stp>
        <stp>Bid_Volume1</stp>
        <tr r="AI75" s="3"/>
      </tp>
      <tp>
        <v>0</v>
        <stp/>
        <stp>IO2005-P-4650.CFE</stp>
        <stp>Bid_Volume1</stp>
        <tr r="AI65" s="3"/>
      </tp>
      <tp>
        <v>0</v>
        <stp/>
        <stp>IO2004-P-4650.CFE</stp>
        <stp>Bid_Volume1</stp>
        <tr r="AI35" s="3"/>
      </tp>
      <tp>
        <v>0</v>
        <stp/>
        <stp>IO2012-C-4500.CFE</stp>
        <stp>Ask_Volume1</stp>
        <tr r="K120" s="3"/>
      </tp>
      <tp>
        <v>0</v>
        <stp/>
        <stp>IO2012-C-3500.CFE</stp>
        <stp>Ask_Volume1</stp>
        <tr r="K110" s="3"/>
      </tp>
      <tp>
        <v>0</v>
        <stp/>
        <stp>IO2004-C-3500.CFE</stp>
        <stp>Ask_Volume1</stp>
        <tr r="K12" s="3"/>
      </tp>
      <tp>
        <v>0</v>
        <stp/>
        <stp>IO2005-C-3500.CFE</stp>
        <stp>Ask_Volume1</stp>
        <tr r="K42" s="3"/>
      </tp>
      <tp>
        <v>0</v>
        <stp/>
        <stp>IO2006-C-3500.CFE</stp>
        <stp>Ask_Volume1</stp>
        <tr r="K72" s="3"/>
      </tp>
      <tp>
        <v>5</v>
        <stp/>
        <stp>IO2006-C-4500.CFE</stp>
        <stp>Ask_Volume1</stp>
        <tr r="K88" s="3"/>
      </tp>
      <tp>
        <v>5</v>
        <stp/>
        <stp>IO2005-C-4500.CFE</stp>
        <stp>Ask_Volume1</stp>
        <tr r="K62" s="3"/>
      </tp>
      <tp>
        <v>10</v>
        <stp/>
        <stp>IO2004-C-4500.CFE</stp>
        <stp>Ask_Volume1</stp>
        <tr r="K32" s="3"/>
      </tp>
      <tp>
        <v>2</v>
        <stp/>
        <stp>IO2009-C-4500.CFE</stp>
        <stp>Ask_Volume1</stp>
        <tr r="K104" s="3"/>
      </tp>
      <tp>
        <v>1</v>
        <stp/>
        <stp>IO2009-C-3500.CFE</stp>
        <stp>Ask_Volume1</stp>
        <tr r="K94" s="3"/>
      </tp>
      <tp>
        <v>0</v>
        <stp/>
        <stp>IO2103-C-3500.CFE</stp>
        <stp>Ask_Volume1</stp>
        <tr r="K126" s="3"/>
      </tp>
      <tp>
        <v>5</v>
        <stp/>
        <stp>IO2004-C-3550.CFE</stp>
        <stp>Ask_Volume1</stp>
        <tr r="K13" s="3"/>
      </tp>
      <tp>
        <v>0</v>
        <stp/>
        <stp>IO2005-C-3550.CFE</stp>
        <stp>Ask_Volume1</stp>
        <tr r="K43" s="3"/>
      </tp>
      <tp>
        <v>0</v>
        <stp/>
        <stp>IO2006-C-3550.CFE</stp>
        <stp>Ask_Volume1</stp>
        <tr r="K73" s="3"/>
      </tp>
      <tp>
        <v>1</v>
        <stp/>
        <stp>IO2005-C-4550.CFE</stp>
        <stp>Ask_Volume1</stp>
        <tr r="K63" s="3"/>
      </tp>
      <tp>
        <v>3</v>
        <stp/>
        <stp>IO2004-C-4550.CFE</stp>
        <stp>Ask_Volume1</stp>
        <tr r="K33" s="3"/>
      </tp>
      <tp>
        <v>1</v>
        <stp/>
        <stp>IO2004-C-3600.CFE</stp>
        <stp>Bid_Volume1</stp>
        <tr r="I14" s="3"/>
      </tp>
      <tp>
        <v>1</v>
        <stp/>
        <stp>IO2005-C-3600.CFE</stp>
        <stp>Bid_Volume1</stp>
        <tr r="I44" s="3"/>
      </tp>
      <tp>
        <v>2</v>
        <stp/>
        <stp>IO2006-C-3600.CFE</stp>
        <stp>Bid_Volume1</stp>
        <tr r="I74" s="3"/>
      </tp>
      <tp>
        <v>5</v>
        <stp/>
        <stp>IO2006-C-4600.CFE</stp>
        <stp>Bid_Volume1</stp>
        <tr r="I89" s="3"/>
      </tp>
      <tp>
        <v>1</v>
        <stp/>
        <stp>IO2005-C-4600.CFE</stp>
        <stp>Bid_Volume1</stp>
        <tr r="I64" s="3"/>
      </tp>
      <tp>
        <v>5</v>
        <stp/>
        <stp>IO2004-C-4600.CFE</stp>
        <stp>Bid_Volume1</stp>
        <tr r="I34" s="3"/>
      </tp>
      <tp>
        <v>14</v>
        <stp/>
        <stp>IO2009-C-4600.CFE</stp>
        <stp>Bid_Volume1</stp>
        <tr r="I105" s="3"/>
      </tp>
      <tp>
        <v>1</v>
        <stp/>
        <stp>IO2009-C-3600.CFE</stp>
        <stp>Bid_Volume1</stp>
        <tr r="I95" s="3"/>
      </tp>
      <tp>
        <v>2</v>
        <stp/>
        <stp>IO2012-C-4600.CFE</stp>
        <stp>Bid_Volume1</stp>
        <tr r="I121" s="3"/>
      </tp>
      <tp>
        <v>1</v>
        <stp/>
        <stp>IO2012-C-3600.CFE</stp>
        <stp>Bid_Volume1</stp>
        <tr r="I111" s="3"/>
      </tp>
      <tp>
        <v>0</v>
        <stp/>
        <stp>IO2103-C-3600.CFE</stp>
        <stp>Bid_Volume1</stp>
        <tr r="I127" s="3"/>
      </tp>
      <tp>
        <v>4</v>
        <stp/>
        <stp>IO2004-C-3650.CFE</stp>
        <stp>Bid_Volume1</stp>
        <tr r="I15" s="3"/>
      </tp>
      <tp>
        <v>1</v>
        <stp/>
        <stp>IO2005-C-3650.CFE</stp>
        <stp>Bid_Volume1</stp>
        <tr r="I45" s="3"/>
      </tp>
      <tp>
        <v>3</v>
        <stp/>
        <stp>IO2006-C-3650.CFE</stp>
        <stp>Bid_Volume1</stp>
        <tr r="I75" s="3"/>
      </tp>
      <tp>
        <v>1</v>
        <stp/>
        <stp>IO2005-C-4650.CFE</stp>
        <stp>Bid_Volume1</stp>
        <tr r="I65" s="3"/>
      </tp>
      <tp>
        <v>3</v>
        <stp/>
        <stp>IO2004-C-4650.CFE</stp>
        <stp>Bid_Volume1</stp>
        <tr r="I35" s="3"/>
      </tp>
      <tp>
        <v>0</v>
        <stp/>
        <stp>IO2103-P-3500.CFE</stp>
        <stp>Ask_Volume1</stp>
        <tr r="AK126" s="3"/>
      </tp>
      <tp>
        <v>0</v>
        <stp/>
        <stp>IO2012-P-4500.CFE</stp>
        <stp>Ask_Volume1</stp>
        <tr r="AK120" s="3"/>
      </tp>
      <tp>
        <v>0</v>
        <stp/>
        <stp>IO2012-P-3500.CFE</stp>
        <stp>Ask_Volume1</stp>
        <tr r="AK110" s="3"/>
      </tp>
      <tp>
        <v>1</v>
        <stp/>
        <stp>IO2004-P-3500.CFE</stp>
        <stp>Ask_Volume1</stp>
        <tr r="AK12" s="3"/>
      </tp>
      <tp>
        <v>1</v>
        <stp/>
        <stp>IO2005-P-3500.CFE</stp>
        <stp>Ask_Volume1</stp>
        <tr r="AK42" s="3"/>
      </tp>
      <tp>
        <v>0</v>
        <stp/>
        <stp>IO2006-P-3500.CFE</stp>
        <stp>Ask_Volume1</stp>
        <tr r="AK72" s="3"/>
      </tp>
      <tp>
        <v>0</v>
        <stp/>
        <stp>IO2006-P-4500.CFE</stp>
        <stp>Ask_Volume1</stp>
        <tr r="AK88" s="3"/>
      </tp>
      <tp>
        <v>0</v>
        <stp/>
        <stp>IO2005-P-4500.CFE</stp>
        <stp>Ask_Volume1</stp>
        <tr r="AK62" s="3"/>
      </tp>
      <tp>
        <v>0</v>
        <stp/>
        <stp>IO2004-P-4500.CFE</stp>
        <stp>Ask_Volume1</stp>
        <tr r="AK32" s="3"/>
      </tp>
      <tp>
        <v>0</v>
        <stp/>
        <stp>IO2009-P-4500.CFE</stp>
        <stp>Ask_Volume1</stp>
        <tr r="AK104" s="3"/>
      </tp>
      <tp>
        <v>0</v>
        <stp/>
        <stp>IO2009-P-3500.CFE</stp>
        <stp>Ask_Volume1</stp>
        <tr r="AK94" s="3"/>
      </tp>
      <tp>
        <v>1</v>
        <stp/>
        <stp>IO2004-P-3550.CFE</stp>
        <stp>Ask_Volume1</stp>
        <tr r="AK13" s="3"/>
      </tp>
      <tp>
        <v>3</v>
        <stp/>
        <stp>IO2005-P-3550.CFE</stp>
        <stp>Ask_Volume1</stp>
        <tr r="AK43" s="3"/>
      </tp>
      <tp>
        <v>0</v>
        <stp/>
        <stp>IO2006-P-3550.CFE</stp>
        <stp>Ask_Volume1</stp>
        <tr r="AK73" s="3"/>
      </tp>
      <tp>
        <v>0</v>
        <stp/>
        <stp>IO2005-P-4550.CFE</stp>
        <stp>Ask_Volume1</stp>
        <tr r="AK63" s="3"/>
      </tp>
      <tp>
        <v>0</v>
        <stp/>
        <stp>IO2004-P-4550.CFE</stp>
        <stp>Ask_Volume1</stp>
        <tr r="AK33" s="3"/>
      </tp>
      <tp>
        <v>0</v>
        <stp/>
        <stp>10002413.SH</stp>
        <stp>Ask_Price1</stp>
        <tr r="J32" s="1"/>
      </tp>
      <tp>
        <v>0.1399</v>
        <stp/>
        <stp>10002463.SH</stp>
        <stp>Ask_Price1</stp>
        <tr r="AJ25" s="1"/>
      </tp>
      <tp>
        <v>0.379</v>
        <stp/>
        <stp>10002453.SH</stp>
        <stp>Ask_Price1</stp>
        <tr r="J24" s="1"/>
      </tp>
      <tp>
        <v>0.19</v>
        <stp/>
        <stp>10002173.SH</stp>
        <stp>Ask_Price1</stp>
        <tr r="J38" s="1"/>
      </tp>
      <tp>
        <v>0.32030000000000003</v>
        <stp/>
        <stp>10002183.SH</stp>
        <stp>Ask_Price1</stp>
        <tr r="AJ39" s="1"/>
      </tp>
      <tp>
        <v>0.59599999999999997</v>
        <stp/>
        <stp>10002263.SH</stp>
        <stp>Ask_Price1</stp>
        <tr r="AJ58" s="1"/>
      </tp>
      <tp>
        <v>0.1646</v>
        <stp/>
        <stp>10002253.SH</stp>
        <stp>Ask_Price1</stp>
        <tr r="J57" s="1"/>
      </tp>
      <tp>
        <v>0.35500000000000004</v>
        <stp/>
        <stp>10002323.SH</stp>
        <stp>Ask_Price1</stp>
        <tr r="J35" s="1"/>
      </tp>
      <tp>
        <v>0.28689999999999999</v>
        <stp/>
        <stp>10002373.SH</stp>
        <stp>Ask_Price1</stp>
        <tr r="J10" s="1"/>
      </tp>
      <tp>
        <v>0.30370000000000003</v>
        <stp/>
        <stp>10002363.SH</stp>
        <stp>Ask_Price1</stp>
        <tr r="AJ15" s="1"/>
      </tp>
      <tp>
        <v>6.3399999999999998E-2</v>
        <stp/>
        <stp>10002353.SH</stp>
        <stp>Ask_Price1</stp>
        <tr r="J14" s="1"/>
      </tp>
      <tp>
        <v>6.6600000000000006E-2</v>
        <stp/>
        <stp>10002383.SH</stp>
        <stp>Ask_Price1</stp>
        <tr r="J62" s="1"/>
      </tp>
      <tp>
        <v>5.7200000000000001E-2</v>
        <stp/>
        <stp>10002453.SH</stp>
        <stp>Bid_Price1</stp>
        <tr r="H24" s="1"/>
      </tp>
      <tp>
        <v>0.11800000000000001</v>
        <stp/>
        <stp>10002463.SH</stp>
        <stp>Bid_Price1</stp>
        <tr r="AH25" s="1"/>
      </tp>
      <tp>
        <v>0.18990000000000001</v>
        <stp/>
        <stp>10002413.SH</stp>
        <stp>Bid_Price1</stp>
        <tr r="H32" s="1"/>
      </tp>
      <tp>
        <v>0.14500000000000002</v>
        <stp/>
        <stp>10002253.SH</stp>
        <stp>Bid_Price1</stp>
        <tr r="H57" s="1"/>
      </tp>
      <tp>
        <v>0</v>
        <stp/>
        <stp>10002263.SH</stp>
        <stp>Bid_Price1</stp>
        <tr r="AH58" s="1"/>
      </tp>
      <tp>
        <v>6.0000000000000005E-2</v>
        <stp/>
        <stp>10002383.SH</stp>
        <stp>Bid_Price1</stp>
        <tr r="H62" s="1"/>
      </tp>
      <tp>
        <v>6.3100000000000003E-2</v>
        <stp/>
        <stp>10002353.SH</stp>
        <stp>Bid_Price1</stp>
        <tr r="H14" s="1"/>
      </tp>
      <tp>
        <v>0.30049999999999999</v>
        <stp/>
        <stp>10002363.SH</stp>
        <stp>Bid_Price1</stp>
        <tr r="AH15" s="1"/>
      </tp>
      <tp>
        <v>0.28360000000000002</v>
        <stp/>
        <stp>10002373.SH</stp>
        <stp>Bid_Price1</stp>
        <tr r="H10" s="1"/>
      </tp>
      <tp>
        <v>0.33</v>
        <stp/>
        <stp>10002323.SH</stp>
        <stp>Bid_Price1</stp>
        <tr r="H35" s="1"/>
      </tp>
      <tp>
        <v>0.31520000000000004</v>
        <stp/>
        <stp>10002183.SH</stp>
        <stp>Bid_Price1</stp>
        <tr r="AH39" s="1"/>
      </tp>
      <tp>
        <v>0.183</v>
        <stp/>
        <stp>10002173.SH</stp>
        <stp>Bid_Price1</stp>
        <tr r="H38" s="1"/>
      </tp>
      <tp>
        <v>0</v>
        <stp/>
        <stp>IO2103-P-3700.CFE</stp>
        <stp>Bid_Volume1</stp>
        <tr r="AI128" s="3"/>
      </tp>
      <tp>
        <v>1</v>
        <stp/>
        <stp>IO2004-P-3700.CFE</stp>
        <stp>Bid_Volume1</stp>
        <tr r="AI16" s="3"/>
      </tp>
      <tp>
        <v>1</v>
        <stp/>
        <stp>IO2005-P-3700.CFE</stp>
        <stp>Bid_Volume1</stp>
        <tr r="AI46" s="3"/>
      </tp>
      <tp>
        <v>1</v>
        <stp/>
        <stp>IO2006-P-3700.CFE</stp>
        <stp>Bid_Volume1</stp>
        <tr r="AI76" s="3"/>
      </tp>
      <tp>
        <v>0</v>
        <stp/>
        <stp>IO2006-P-4700.CFE</stp>
        <stp>Bid_Volume1</stp>
        <tr r="AI90" s="3"/>
      </tp>
      <tp>
        <v>0</v>
        <stp/>
        <stp>IO2009-P-4700.CFE</stp>
        <stp>Bid_Volume1</stp>
        <tr r="AI106" s="3"/>
      </tp>
      <tp>
        <v>1</v>
        <stp/>
        <stp>IO2009-P-3700.CFE</stp>
        <stp>Bid_Volume1</stp>
        <tr r="AI96" s="3"/>
      </tp>
      <tp>
        <v>0</v>
        <stp/>
        <stp>IO2012-P-4700.CFE</stp>
        <stp>Bid_Volume1</stp>
        <tr r="AI122" s="3"/>
      </tp>
      <tp>
        <v>0</v>
        <stp/>
        <stp>IO2012-P-3700.CFE</stp>
        <stp>Bid_Volume1</stp>
        <tr r="AI112" s="3"/>
      </tp>
      <tp>
        <v>2</v>
        <stp/>
        <stp>IO2004-P-3750.CFE</stp>
        <stp>Bid_Volume1</stp>
        <tr r="AI17" s="3"/>
      </tp>
      <tp>
        <v>3</v>
        <stp/>
        <stp>IO2005-P-3750.CFE</stp>
        <stp>Bid_Volume1</stp>
        <tr r="AI47" s="3"/>
      </tp>
      <tp>
        <v>2</v>
        <stp/>
        <stp>IO2006-P-3750.CFE</stp>
        <stp>Bid_Volume1</stp>
        <tr r="AI77" s="3"/>
      </tp>
      <tp>
        <v>0</v>
        <stp/>
        <stp>IO2012-C-4400.CFE</stp>
        <stp>Ask_Volume1</stp>
        <tr r="K119" s="3"/>
      </tp>
      <tp>
        <v>0</v>
        <stp/>
        <stp>IO2012-C-3400.CFE</stp>
        <stp>Ask_Volume1</stp>
        <tr r="K109" s="3"/>
      </tp>
      <tp>
        <v>0</v>
        <stp/>
        <stp>IO2004-C-3400.CFE</stp>
        <stp>Ask_Volume1</stp>
        <tr r="K10" s="3"/>
      </tp>
      <tp>
        <v>0</v>
        <stp/>
        <stp>IO2005-C-3400.CFE</stp>
        <stp>Ask_Volume1</stp>
        <tr r="K40" s="3"/>
      </tp>
      <tp>
        <v>0</v>
        <stp/>
        <stp>IO2006-C-3400.CFE</stp>
        <stp>Ask_Volume1</stp>
        <tr r="K70" s="3"/>
      </tp>
      <tp>
        <v>2</v>
        <stp/>
        <stp>IO2006-C-4400.CFE</stp>
        <stp>Ask_Volume1</stp>
        <tr r="K87" s="3"/>
      </tp>
      <tp>
        <v>1</v>
        <stp/>
        <stp>IO2005-C-4400.CFE</stp>
        <stp>Ask_Volume1</stp>
        <tr r="K60" s="3"/>
      </tp>
      <tp>
        <v>1</v>
        <stp/>
        <stp>IO2004-C-4400.CFE</stp>
        <stp>Ask_Volume1</stp>
        <tr r="K30" s="3"/>
      </tp>
      <tp>
        <v>1</v>
        <stp/>
        <stp>IO2009-C-4400.CFE</stp>
        <stp>Ask_Volume1</stp>
        <tr r="K103" s="3"/>
      </tp>
      <tp>
        <v>0</v>
        <stp/>
        <stp>IO2009-C-3400.CFE</stp>
        <stp>Ask_Volume1</stp>
        <tr r="K93" s="3"/>
      </tp>
      <tp>
        <v>0</v>
        <stp/>
        <stp>IO2103-C-3400.CFE</stp>
        <stp>Ask_Volume1</stp>
        <tr r="K125" s="3"/>
      </tp>
      <tp>
        <v>0</v>
        <stp/>
        <stp>IO2004-C-3450.CFE</stp>
        <stp>Ask_Volume1</stp>
        <tr r="K11" s="3"/>
      </tp>
      <tp>
        <v>0</v>
        <stp/>
        <stp>IO2005-C-3450.CFE</stp>
        <stp>Ask_Volume1</stp>
        <tr r="K41" s="3"/>
      </tp>
      <tp>
        <v>0</v>
        <stp/>
        <stp>IO2006-C-3450.CFE</stp>
        <stp>Ask_Volume1</stp>
        <tr r="K71" s="3"/>
      </tp>
      <tp>
        <v>0</v>
        <stp/>
        <stp>IO2005-C-4450.CFE</stp>
        <stp>Ask_Volume1</stp>
        <tr r="K61" s="3"/>
      </tp>
      <tp>
        <v>6</v>
        <stp/>
        <stp>IO2004-C-4450.CFE</stp>
        <stp>Ask_Volume1</stp>
        <tr r="K31" s="3"/>
      </tp>
      <tp>
        <v>3</v>
        <stp/>
        <stp>IO2004-C-3700.CFE</stp>
        <stp>Bid_Volume1</stp>
        <tr r="I16" s="3"/>
      </tp>
      <tp>
        <v>1</v>
        <stp/>
        <stp>IO2005-C-3700.CFE</stp>
        <stp>Bid_Volume1</stp>
        <tr r="I46" s="3"/>
      </tp>
      <tp>
        <v>3</v>
        <stp/>
        <stp>IO2006-C-3700.CFE</stp>
        <stp>Bid_Volume1</stp>
        <tr r="I76" s="3"/>
      </tp>
      <tp>
        <v>1</v>
        <stp/>
        <stp>IO2006-C-4700.CFE</stp>
        <stp>Bid_Volume1</stp>
        <tr r="I90" s="3"/>
      </tp>
      <tp>
        <v>5</v>
        <stp/>
        <stp>IO2009-C-4700.CFE</stp>
        <stp>Bid_Volume1</stp>
        <tr r="I106" s="3"/>
      </tp>
      <tp>
        <v>1</v>
        <stp/>
        <stp>IO2009-C-3700.CFE</stp>
        <stp>Bid_Volume1</stp>
        <tr r="I96" s="3"/>
      </tp>
      <tp>
        <v>1</v>
        <stp/>
        <stp>IO2012-C-4700.CFE</stp>
        <stp>Bid_Volume1</stp>
        <tr r="I122" s="3"/>
      </tp>
      <tp>
        <v>1</v>
        <stp/>
        <stp>IO2012-C-3700.CFE</stp>
        <stp>Bid_Volume1</stp>
        <tr r="I112" s="3"/>
      </tp>
      <tp>
        <v>2</v>
        <stp/>
        <stp>IO2103-C-3700.CFE</stp>
        <stp>Bid_Volume1</stp>
        <tr r="I128" s="3"/>
      </tp>
      <tp>
        <v>2</v>
        <stp/>
        <stp>IO2004-C-3750.CFE</stp>
        <stp>Bid_Volume1</stp>
        <tr r="I17" s="3"/>
      </tp>
      <tp>
        <v>1</v>
        <stp/>
        <stp>IO2005-C-3750.CFE</stp>
        <stp>Bid_Volume1</stp>
        <tr r="I47" s="3"/>
      </tp>
      <tp>
        <v>3</v>
        <stp/>
        <stp>IO2006-C-3750.CFE</stp>
        <stp>Bid_Volume1</stp>
        <tr r="I77" s="3"/>
      </tp>
      <tp>
        <v>0</v>
        <stp/>
        <stp>IO2103-P-3400.CFE</stp>
        <stp>Ask_Volume1</stp>
        <tr r="AK125" s="3"/>
      </tp>
      <tp>
        <v>0</v>
        <stp/>
        <stp>IO2012-P-4400.CFE</stp>
        <stp>Ask_Volume1</stp>
        <tr r="AK119" s="3"/>
      </tp>
      <tp>
        <v>0</v>
        <stp/>
        <stp>IO2012-P-3400.CFE</stp>
        <stp>Ask_Volume1</stp>
        <tr r="AK109" s="3"/>
      </tp>
      <tp>
        <v>1</v>
        <stp/>
        <stp>IO2004-P-3400.CFE</stp>
        <stp>Ask_Volume1</stp>
        <tr r="AK10" s="3"/>
      </tp>
      <tp>
        <v>0</v>
        <stp/>
        <stp>IO2005-P-3400.CFE</stp>
        <stp>Ask_Volume1</stp>
        <tr r="AK40" s="3"/>
      </tp>
      <tp>
        <v>0</v>
        <stp/>
        <stp>IO2006-P-3400.CFE</stp>
        <stp>Ask_Volume1</stp>
        <tr r="AK70" s="3"/>
      </tp>
      <tp>
        <v>0</v>
        <stp/>
        <stp>IO2006-P-4400.CFE</stp>
        <stp>Ask_Volume1</stp>
        <tr r="AK87" s="3"/>
      </tp>
      <tp>
        <v>0</v>
        <stp/>
        <stp>IO2005-P-4400.CFE</stp>
        <stp>Ask_Volume1</stp>
        <tr r="AK60" s="3"/>
      </tp>
      <tp>
        <v>0</v>
        <stp/>
        <stp>IO2004-P-4400.CFE</stp>
        <stp>Ask_Volume1</stp>
        <tr r="AK30" s="3"/>
      </tp>
      <tp>
        <v>0</v>
        <stp/>
        <stp>IO2009-P-4400.CFE</stp>
        <stp>Ask_Volume1</stp>
        <tr r="AK103" s="3"/>
      </tp>
      <tp>
        <v>0</v>
        <stp/>
        <stp>IO2009-P-3400.CFE</stp>
        <stp>Ask_Volume1</stp>
        <tr r="AK93" s="3"/>
      </tp>
      <tp>
        <v>6</v>
        <stp/>
        <stp>IO2004-P-3450.CFE</stp>
        <stp>Ask_Volume1</stp>
        <tr r="AK11" s="3"/>
      </tp>
      <tp>
        <v>3</v>
        <stp/>
        <stp>IO2005-P-3450.CFE</stp>
        <stp>Ask_Volume1</stp>
        <tr r="AK41" s="3"/>
      </tp>
      <tp>
        <v>0</v>
        <stp/>
        <stp>IO2006-P-3450.CFE</stp>
        <stp>Ask_Volume1</stp>
        <tr r="AK71" s="3"/>
      </tp>
      <tp>
        <v>0</v>
        <stp/>
        <stp>IO2005-P-4450.CFE</stp>
        <stp>Ask_Volume1</stp>
        <tr r="AK61" s="3"/>
      </tp>
      <tp>
        <v>0</v>
        <stp/>
        <stp>IO2004-P-4450.CFE</stp>
        <stp>Ask_Volume1</stp>
        <tr r="AK31" s="3"/>
      </tp>
      <tp>
        <v>6.0700000000000004E-2</v>
        <stp/>
        <stp>10002414.SH</stp>
        <stp>Ask_Price1</stp>
        <tr r="AJ32" s="1"/>
      </tp>
      <tp>
        <v>0.1948</v>
        <stp/>
        <stp>10002464.SH</stp>
        <stp>Ask_Price1</stp>
        <tr r="AJ26" s="1"/>
      </tp>
      <tp>
        <v>0.314</v>
        <stp/>
        <stp>10002454.SH</stp>
        <stp>Ask_Price1</stp>
        <tr r="J25" s="1"/>
      </tp>
      <tp>
        <v>0.15</v>
        <stp/>
        <stp>10002174.SH</stp>
        <stp>Ask_Price1</stp>
        <tr r="J39" s="1"/>
      </tp>
      <tp>
        <v>0.38870000000000005</v>
        <stp/>
        <stp>10002184.SH</stp>
        <stp>Ask_Price1</stp>
        <tr r="AJ40" s="1"/>
      </tp>
      <tp>
        <v>0</v>
        <stp/>
        <stp>10002264.SH</stp>
        <stp>Ask_Price1</stp>
        <tr r="AJ59" s="1"/>
      </tp>
      <tp>
        <v>0.14990000000000001</v>
        <stp/>
        <stp>10002254.SH</stp>
        <stp>Ask_Price1</stp>
        <tr r="J58" s="1"/>
      </tp>
      <tp>
        <v>6.9500000000000006E-2</v>
        <stp/>
        <stp>10002324.SH</stp>
        <stp>Ask_Price1</stp>
        <tr r="AJ33" s="1"/>
      </tp>
      <tp>
        <v>0.21330000000000002</v>
        <stp/>
        <stp>10002374.SH</stp>
        <stp>Ask_Price1</stp>
        <tr r="J11" s="1"/>
      </tp>
      <tp>
        <v>0.3871</v>
        <stp/>
        <stp>10002364.SH</stp>
        <stp>Ask_Price1</stp>
        <tr r="AJ16" s="1"/>
      </tp>
      <tp>
        <v>3.8300000000000001E-2</v>
        <stp/>
        <stp>10002354.SH</stp>
        <stp>Ask_Price1</stp>
        <tr r="J15" s="1"/>
      </tp>
      <tp>
        <v>0</v>
        <stp/>
        <stp>10002384.SH</stp>
        <stp>Ask_Price1</stp>
        <tr r="AJ62" s="1"/>
      </tp>
      <tp>
        <v>0.21250000000000002</v>
        <stp/>
        <stp>10002454.SH</stp>
        <stp>Bid_Price1</stp>
        <tr r="H25" s="1"/>
      </tp>
      <tp>
        <v>0.16</v>
        <stp/>
        <stp>10002464.SH</stp>
        <stp>Bid_Price1</stp>
        <tr r="AH26" s="1"/>
      </tp>
      <tp>
        <v>5.2000000000000005E-2</v>
        <stp/>
        <stp>10002414.SH</stp>
        <stp>Bid_Price1</stp>
        <tr r="AH32" s="1"/>
      </tp>
      <tp>
        <v>2.52E-2</v>
        <stp/>
        <stp>10002254.SH</stp>
        <stp>Bid_Price1</stp>
        <tr r="H58" s="1"/>
      </tp>
      <tp>
        <v>0</v>
        <stp/>
        <stp>10002264.SH</stp>
        <stp>Bid_Price1</stp>
        <tr r="AH59" s="1"/>
      </tp>
      <tp>
        <v>0.90200000000000002</v>
        <stp/>
        <stp>10002384.SH</stp>
        <stp>Bid_Price1</stp>
        <tr r="AH62" s="1"/>
      </tp>
      <tp>
        <v>3.7900000000000003E-2</v>
        <stp/>
        <stp>10002354.SH</stp>
        <stp>Bid_Price1</stp>
        <tr r="H15" s="1"/>
      </tp>
      <tp>
        <v>0.38300000000000001</v>
        <stp/>
        <stp>10002364.SH</stp>
        <stp>Bid_Price1</stp>
        <tr r="AH16" s="1"/>
      </tp>
      <tp>
        <v>0.21310000000000001</v>
        <stp/>
        <stp>10002374.SH</stp>
        <stp>Bid_Price1</stp>
        <tr r="H11" s="1"/>
      </tp>
      <tp>
        <v>6.8600000000000008E-2</v>
        <stp/>
        <stp>10002324.SH</stp>
        <stp>Bid_Price1</stp>
        <tr r="AH33" s="1"/>
      </tp>
      <tp>
        <v>0.33069999999999999</v>
        <stp/>
        <stp>10002184.SH</stp>
        <stp>Bid_Price1</stp>
        <tr r="AH40" s="1"/>
      </tp>
      <tp>
        <v>0.14860000000000001</v>
        <stp/>
        <stp>10002174.SH</stp>
        <stp>Bid_Price1</stp>
        <tr r="H39" s="1"/>
      </tp>
      <tp>
        <v>1</v>
        <stp/>
        <stp>IO2103-P-4000.CFE</stp>
        <stp>Bid_Volume1</stp>
        <tr r="AI131" s="3"/>
      </tp>
      <tp>
        <v>1</v>
        <stp/>
        <stp>IO2006-P-4000.CFE</stp>
        <stp>Bid_Volume1</stp>
        <tr r="AI82" s="3"/>
      </tp>
      <tp>
        <v>1</v>
        <stp/>
        <stp>IO2005-P-4000.CFE</stp>
        <stp>Bid_Volume1</stp>
        <tr r="AI52" s="3"/>
      </tp>
      <tp>
        <v>3</v>
        <stp/>
        <stp>IO2004-P-4000.CFE</stp>
        <stp>Bid_Volume1</stp>
        <tr r="AI22" s="3"/>
      </tp>
      <tp>
        <v>0</v>
        <stp/>
        <stp>IO2009-P-4000.CFE</stp>
        <stp>Bid_Volume1</stp>
        <tr r="AI99" s="3"/>
      </tp>
      <tp>
        <v>1</v>
        <stp/>
        <stp>IO2012-P-4000.CFE</stp>
        <stp>Bid_Volume1</stp>
        <tr r="AI115" s="3"/>
      </tp>
      <tp>
        <v>0</v>
        <stp/>
        <stp>IO2006-P-4050.CFE</stp>
        <stp>Bid_Volume1</stp>
        <tr r="AI83" s="3"/>
      </tp>
      <tp>
        <v>1</v>
        <stp/>
        <stp>IO2005-P-4050.CFE</stp>
        <stp>Bid_Volume1</stp>
        <tr r="AI53" s="3"/>
      </tp>
      <tp>
        <v>0</v>
        <stp/>
        <stp>IO2004-P-4050.CFE</stp>
        <stp>Bid_Volume1</stp>
        <tr r="AI23" s="3"/>
      </tp>
      <tp>
        <v>0</v>
        <stp/>
        <stp>IO2012-C-4300.CFE</stp>
        <stp>Ask_Volume1</stp>
        <tr r="K118" s="3"/>
      </tp>
      <tp>
        <v>0</v>
        <stp/>
        <stp>IO2012-C-3300.CFE</stp>
        <stp>Ask_Volume1</stp>
        <tr r="K108" s="3"/>
      </tp>
      <tp>
        <v>1</v>
        <stp/>
        <stp>IO2004-C-3300.CFE</stp>
        <stp>Ask_Volume1</stp>
        <tr r="K8" s="3"/>
      </tp>
      <tp>
        <v>0</v>
        <stp/>
        <stp>IO2005-C-3300.CFE</stp>
        <stp>Ask_Volume1</stp>
        <tr r="K38" s="3"/>
      </tp>
      <tp>
        <v>1</v>
        <stp/>
        <stp>IO2006-C-3300.CFE</stp>
        <stp>Ask_Volume1</stp>
        <tr r="K68" s="3"/>
      </tp>
      <tp>
        <v>2</v>
        <stp/>
        <stp>IO2006-C-4300.CFE</stp>
        <stp>Ask_Volume1</stp>
        <tr r="K86" s="3"/>
      </tp>
      <tp>
        <v>2</v>
        <stp/>
        <stp>IO2005-C-4300.CFE</stp>
        <stp>Ask_Volume1</stp>
        <tr r="K58" s="3"/>
      </tp>
      <tp>
        <v>1</v>
        <stp/>
        <stp>IO2004-C-4300.CFE</stp>
        <stp>Ask_Volume1</stp>
        <tr r="K28" s="3"/>
      </tp>
      <tp>
        <v>1</v>
        <stp/>
        <stp>IO2009-C-4300.CFE</stp>
        <stp>Ask_Volume1</stp>
        <tr r="K102" s="3"/>
      </tp>
      <tp>
        <v>0</v>
        <stp/>
        <stp>IO2009-C-3300.CFE</stp>
        <stp>Ask_Volume1</stp>
        <tr r="K92" s="3"/>
      </tp>
      <tp>
        <v>0</v>
        <stp/>
        <stp>IO2103-C-3300.CFE</stp>
        <stp>Ask_Volume1</stp>
        <tr r="K124" s="3"/>
      </tp>
      <tp>
        <v>1</v>
        <stp/>
        <stp>IO2004-C-3350.CFE</stp>
        <stp>Ask_Volume1</stp>
        <tr r="K9" s="3"/>
      </tp>
      <tp>
        <v>0</v>
        <stp/>
        <stp>IO2005-C-3350.CFE</stp>
        <stp>Ask_Volume1</stp>
        <tr r="K39" s="3"/>
      </tp>
      <tp>
        <v>0</v>
        <stp/>
        <stp>IO2006-C-3350.CFE</stp>
        <stp>Ask_Volume1</stp>
        <tr r="K69" s="3"/>
      </tp>
      <tp>
        <v>0</v>
        <stp/>
        <stp>IO2005-C-4350.CFE</stp>
        <stp>Ask_Volume1</stp>
        <tr r="K59" s="3"/>
      </tp>
      <tp>
        <v>10</v>
        <stp/>
        <stp>IO2004-C-4350.CFE</stp>
        <stp>Ask_Volume1</stp>
        <tr r="K29" s="3"/>
      </tp>
      <tp>
        <v>2</v>
        <stp/>
        <stp>IO2006-C-4000.CFE</stp>
        <stp>Bid_Volume1</stp>
        <tr r="I82" s="3"/>
      </tp>
      <tp>
        <v>1</v>
        <stp/>
        <stp>IO2005-C-4000.CFE</stp>
        <stp>Bid_Volume1</stp>
        <tr r="I52" s="3"/>
      </tp>
      <tp>
        <v>1</v>
        <stp/>
        <stp>IO2004-C-4000.CFE</stp>
        <stp>Bid_Volume1</stp>
        <tr r="I22" s="3"/>
      </tp>
      <tp>
        <v>1</v>
        <stp/>
        <stp>IO2009-C-4000.CFE</stp>
        <stp>Bid_Volume1</stp>
        <tr r="I99" s="3"/>
      </tp>
      <tp>
        <v>25</v>
        <stp/>
        <stp>IO2012-C-4000.CFE</stp>
        <stp>Bid_Volume1</stp>
        <tr r="I115" s="3"/>
      </tp>
      <tp>
        <v>3</v>
        <stp/>
        <stp>IO2103-C-4000.CFE</stp>
        <stp>Bid_Volume1</stp>
        <tr r="I131" s="3"/>
      </tp>
      <tp>
        <v>1</v>
        <stp/>
        <stp>IO2006-C-4050.CFE</stp>
        <stp>Bid_Volume1</stp>
        <tr r="I83" s="3"/>
      </tp>
      <tp>
        <v>1</v>
        <stp/>
        <stp>IO2005-C-4050.CFE</stp>
        <stp>Bid_Volume1</stp>
        <tr r="I53" s="3"/>
      </tp>
      <tp>
        <v>1</v>
        <stp/>
        <stp>IO2004-C-4050.CFE</stp>
        <stp>Bid_Volume1</stp>
        <tr r="I23" s="3"/>
      </tp>
      <tp>
        <v>0</v>
        <stp/>
        <stp>IO2103-P-3300.CFE</stp>
        <stp>Ask_Volume1</stp>
        <tr r="AK124" s="3"/>
      </tp>
      <tp>
        <v>0</v>
        <stp/>
        <stp>IO2012-P-4300.CFE</stp>
        <stp>Ask_Volume1</stp>
        <tr r="AK118" s="3"/>
      </tp>
      <tp>
        <v>1</v>
        <stp/>
        <stp>IO2012-P-3300.CFE</stp>
        <stp>Ask_Volume1</stp>
        <tr r="AK108" s="3"/>
      </tp>
      <tp>
        <v>7</v>
        <stp/>
        <stp>IO2004-P-3300.CFE</stp>
        <stp>Ask_Volume1</stp>
        <tr r="AK8" s="3"/>
      </tp>
      <tp>
        <v>1</v>
        <stp/>
        <stp>IO2005-P-3300.CFE</stp>
        <stp>Ask_Volume1</stp>
        <tr r="AK38" s="3"/>
      </tp>
      <tp>
        <v>5</v>
        <stp/>
        <stp>IO2006-P-3300.CFE</stp>
        <stp>Ask_Volume1</stp>
        <tr r="AK68" s="3"/>
      </tp>
      <tp>
        <v>0</v>
        <stp/>
        <stp>IO2006-P-4300.CFE</stp>
        <stp>Ask_Volume1</stp>
        <tr r="AK86" s="3"/>
      </tp>
      <tp>
        <v>0</v>
        <stp/>
        <stp>IO2005-P-4300.CFE</stp>
        <stp>Ask_Volume1</stp>
        <tr r="AK58" s="3"/>
      </tp>
      <tp>
        <v>0</v>
        <stp/>
        <stp>IO2004-P-4300.CFE</stp>
        <stp>Ask_Volume1</stp>
        <tr r="AK28" s="3"/>
      </tp>
      <tp>
        <v>0</v>
        <stp/>
        <stp>IO2009-P-4300.CFE</stp>
        <stp>Ask_Volume1</stp>
        <tr r="AK102" s="3"/>
      </tp>
      <tp>
        <v>1</v>
        <stp/>
        <stp>IO2009-P-3300.CFE</stp>
        <stp>Ask_Volume1</stp>
        <tr r="AK92" s="3"/>
      </tp>
      <tp>
        <v>0</v>
        <stp/>
        <stp>IO2004-P-3350.CFE</stp>
        <stp>Ask_Volume1</stp>
        <tr r="AK9" s="3"/>
      </tp>
      <tp>
        <v>0</v>
        <stp/>
        <stp>IO2005-P-3350.CFE</stp>
        <stp>Ask_Volume1</stp>
        <tr r="AK39" s="3"/>
      </tp>
      <tp>
        <v>0</v>
        <stp/>
        <stp>IO2006-P-3350.CFE</stp>
        <stp>Ask_Volume1</stp>
        <tr r="AK69" s="3"/>
      </tp>
      <tp>
        <v>0</v>
        <stp/>
        <stp>IO2005-P-4350.CFE</stp>
        <stp>Ask_Volume1</stp>
        <tr r="AK59" s="3"/>
      </tp>
      <tp>
        <v>0</v>
        <stp/>
        <stp>IO2004-P-4350.CFE</stp>
        <stp>Ask_Volume1</stp>
        <tr r="AK29" s="3"/>
      </tp>
      <tp>
        <v>0</v>
        <stp/>
        <stp>10002415.SH</stp>
        <stp>Ask_Price1</stp>
        <tr r="J48" s="1"/>
      </tp>
      <tp>
        <v>0.254</v>
        <stp/>
        <stp>10002465.SH</stp>
        <stp>Ask_Price1</stp>
        <tr r="AJ27" s="1"/>
      </tp>
      <tp>
        <v>0.25630000000000003</v>
        <stp/>
        <stp>10002455.SH</stp>
        <stp>Ask_Price1</stp>
        <tr r="J26" s="1"/>
      </tp>
      <tp>
        <v>0.11850000000000001</v>
        <stp/>
        <stp>10002175.SH</stp>
        <stp>Ask_Price1</stp>
        <tr r="J40" s="1"/>
      </tp>
      <tp>
        <v>0.4637</v>
        <stp/>
        <stp>10002185.SH</stp>
        <stp>Ask_Price1</stp>
        <tr r="AJ41" s="1"/>
      </tp>
      <tp>
        <v>0</v>
        <stp/>
        <stp>10002265.SH</stp>
        <stp>Ask_Price1</stp>
        <tr r="AJ60" s="1"/>
      </tp>
      <tp>
        <v>0.115</v>
        <stp/>
        <stp>10002255.SH</stp>
        <stp>Ask_Price1</stp>
        <tr r="J59" s="1"/>
      </tp>
      <tp>
        <v>0.10550000000000001</v>
        <stp/>
        <stp>10002325.SH</stp>
        <stp>Ask_Price1</stp>
        <tr r="AJ34" s="1"/>
      </tp>
      <tp>
        <v>5.0900000000000001E-2</v>
        <stp/>
        <stp>10002375.SH</stp>
        <stp>Ask_Price1</stp>
        <tr r="AJ10" s="1"/>
      </tp>
      <tp>
        <v>0.49300000000000005</v>
        <stp/>
        <stp>10002365.SH</stp>
        <stp>Ask_Price1</stp>
        <tr r="AJ17" s="1"/>
      </tp>
      <tp>
        <v>2.2800000000000001E-2</v>
        <stp/>
        <stp>10002355.SH</stp>
        <stp>Ask_Price1</stp>
        <tr r="J16" s="1"/>
      </tp>
      <tp>
        <v>0.20330000000000001</v>
        <stp/>
        <stp>10002455.SH</stp>
        <stp>Bid_Price1</stp>
        <tr r="H26" s="1"/>
      </tp>
      <tp>
        <v>0.19370000000000001</v>
        <stp/>
        <stp>10002465.SH</stp>
        <stp>Bid_Price1</stp>
        <tr r="AH27" s="1"/>
      </tp>
      <tp>
        <v>0.57550000000000001</v>
        <stp/>
        <stp>10002415.SH</stp>
        <stp>Bid_Price1</stp>
        <tr r="H48" s="1"/>
      </tp>
      <tp>
        <v>9.0000000000000011E-2</v>
        <stp/>
        <stp>10002255.SH</stp>
        <stp>Bid_Price1</stp>
        <tr r="H59" s="1"/>
      </tp>
      <tp>
        <v>0.68020000000000003</v>
        <stp/>
        <stp>10002265.SH</stp>
        <stp>Bid_Price1</stp>
        <tr r="AH60" s="1"/>
      </tp>
      <tp>
        <v>2.2600000000000002E-2</v>
        <stp/>
        <stp>10002355.SH</stp>
        <stp>Bid_Price1</stp>
        <tr r="H16" s="1"/>
      </tp>
      <tp>
        <v>0.47300000000000003</v>
        <stp/>
        <stp>10002365.SH</stp>
        <stp>Bid_Price1</stp>
        <tr r="AH17" s="1"/>
      </tp>
      <tp>
        <v>5.0300000000000004E-2</v>
        <stp/>
        <stp>10002375.SH</stp>
        <stp>Bid_Price1</stp>
        <tr r="AH10" s="1"/>
      </tp>
      <tp>
        <v>9.0999999999999998E-2</v>
        <stp/>
        <stp>10002325.SH</stp>
        <stp>Bid_Price1</stp>
        <tr r="AH34" s="1"/>
      </tp>
      <tp>
        <v>0.4501</v>
        <stp/>
        <stp>10002185.SH</stp>
        <stp>Bid_Price1</stp>
        <tr r="AH41" s="1"/>
      </tp>
      <tp>
        <v>0.109</v>
        <stp/>
        <stp>10002175.SH</stp>
        <stp>Bid_Price1</stp>
        <tr r="H40" s="1"/>
      </tp>
      <tp>
        <v>1</v>
        <stp/>
        <stp>IO2103-P-4100.CFE</stp>
        <stp>Bid_Volume1</stp>
        <tr r="AI132" s="3"/>
      </tp>
      <tp>
        <v>0</v>
        <stp/>
        <stp>IO2006-P-4100.CFE</stp>
        <stp>Bid_Volume1</stp>
        <tr r="AI84" s="3"/>
      </tp>
      <tp>
        <v>1</v>
        <stp/>
        <stp>IO2005-P-4100.CFE</stp>
        <stp>Bid_Volume1</stp>
        <tr r="AI54" s="3"/>
      </tp>
      <tp>
        <v>0</v>
        <stp/>
        <stp>IO2004-P-4100.CFE</stp>
        <stp>Bid_Volume1</stp>
        <tr r="AI24" s="3"/>
      </tp>
      <tp>
        <v>0</v>
        <stp/>
        <stp>IO2009-P-4100.CFE</stp>
        <stp>Bid_Volume1</stp>
        <tr r="AI100" s="3"/>
      </tp>
      <tp>
        <v>0</v>
        <stp/>
        <stp>IO2012-P-4100.CFE</stp>
        <stp>Bid_Volume1</stp>
        <tr r="AI116" s="3"/>
      </tp>
      <tp>
        <v>1</v>
        <stp/>
        <stp>IO2005-P-4150.CFE</stp>
        <stp>Bid_Volume1</stp>
        <tr r="AI55" s="3"/>
      </tp>
      <tp>
        <v>0</v>
        <stp/>
        <stp>IO2004-P-4150.CFE</stp>
        <stp>Bid_Volume1</stp>
        <tr r="AI25" s="3"/>
      </tp>
      <tp>
        <v>0</v>
        <stp/>
        <stp>IO2012-C-4200.CFE</stp>
        <stp>Ask_Volume1</stp>
        <tr r="K117" s="3"/>
      </tp>
      <tp>
        <v>0</v>
        <stp/>
        <stp>IO2012-C-3200.CFE</stp>
        <stp>Ask_Volume1</stp>
        <tr r="K107" s="3"/>
      </tp>
      <tp>
        <v>1</v>
        <stp/>
        <stp>IO2004-C-3200.CFE</stp>
        <stp>Ask_Volume1</stp>
        <tr r="K6" s="3"/>
      </tp>
      <tp>
        <v>0</v>
        <stp/>
        <stp>IO2005-C-3200.CFE</stp>
        <stp>Ask_Volume1</stp>
        <tr r="K36" s="3"/>
      </tp>
      <tp>
        <v>0</v>
        <stp/>
        <stp>IO2006-C-3200.CFE</stp>
        <stp>Ask_Volume1</stp>
        <tr r="K66" s="3"/>
      </tp>
      <tp>
        <v>1</v>
        <stp/>
        <stp>IO2006-C-4200.CFE</stp>
        <stp>Ask_Volume1</stp>
        <tr r="K85" s="3"/>
      </tp>
      <tp>
        <v>1</v>
        <stp/>
        <stp>IO2005-C-4200.CFE</stp>
        <stp>Ask_Volume1</stp>
        <tr r="K56" s="3"/>
      </tp>
      <tp>
        <v>2</v>
        <stp/>
        <stp>IO2004-C-4200.CFE</stp>
        <stp>Ask_Volume1</stp>
        <tr r="K26" s="3"/>
      </tp>
      <tp>
        <v>0</v>
        <stp/>
        <stp>IO2009-C-4200.CFE</stp>
        <stp>Ask_Volume1</stp>
        <tr r="K101" s="3"/>
      </tp>
      <tp>
        <v>0</v>
        <stp/>
        <stp>IO2009-C-3200.CFE</stp>
        <stp>Ask_Volume1</stp>
        <tr r="K91" s="3"/>
      </tp>
      <tp>
        <v>0</v>
        <stp/>
        <stp>IO2103-C-3200.CFE</stp>
        <stp>Ask_Volume1</stp>
        <tr r="K123" s="3"/>
      </tp>
      <tp>
        <v>0</v>
        <stp/>
        <stp>IO2004-C-3250.CFE</stp>
        <stp>Ask_Volume1</stp>
        <tr r="K7" s="3"/>
      </tp>
      <tp>
        <v>0</v>
        <stp/>
        <stp>IO2005-C-3250.CFE</stp>
        <stp>Ask_Volume1</stp>
        <tr r="K37" s="3"/>
      </tp>
      <tp>
        <v>0</v>
        <stp/>
        <stp>IO2006-C-3250.CFE</stp>
        <stp>Ask_Volume1</stp>
        <tr r="K67" s="3"/>
      </tp>
      <tp>
        <v>1</v>
        <stp/>
        <stp>IO2005-C-4250.CFE</stp>
        <stp>Ask_Volume1</stp>
        <tr r="K57" s="3"/>
      </tp>
      <tp>
        <v>5</v>
        <stp/>
        <stp>IO2004-C-4250.CFE</stp>
        <stp>Ask_Volume1</stp>
        <tr r="K27" s="3"/>
      </tp>
      <tp>
        <v>1</v>
        <stp/>
        <stp>IO2006-C-4100.CFE</stp>
        <stp>Bid_Volume1</stp>
        <tr r="I84" s="3"/>
      </tp>
      <tp>
        <v>1</v>
        <stp/>
        <stp>IO2005-C-4100.CFE</stp>
        <stp>Bid_Volume1</stp>
        <tr r="I54" s="3"/>
      </tp>
      <tp>
        <v>1</v>
        <stp/>
        <stp>IO2004-C-4100.CFE</stp>
        <stp>Bid_Volume1</stp>
        <tr r="I24" s="3"/>
      </tp>
      <tp>
        <v>1</v>
        <stp/>
        <stp>IO2009-C-4100.CFE</stp>
        <stp>Bid_Volume1</stp>
        <tr r="I100" s="3"/>
      </tp>
      <tp>
        <v>1</v>
        <stp/>
        <stp>IO2012-C-4100.CFE</stp>
        <stp>Bid_Volume1</stp>
        <tr r="I116" s="3"/>
      </tp>
      <tp>
        <v>1</v>
        <stp/>
        <stp>IO2103-C-4100.CFE</stp>
        <stp>Bid_Volume1</stp>
        <tr r="I132" s="3"/>
      </tp>
      <tp>
        <v>1</v>
        <stp/>
        <stp>IO2005-C-4150.CFE</stp>
        <stp>Bid_Volume1</stp>
        <tr r="I55" s="3"/>
      </tp>
      <tp>
        <v>1</v>
        <stp/>
        <stp>IO2004-C-4150.CFE</stp>
        <stp>Bid_Volume1</stp>
        <tr r="I25" s="3"/>
      </tp>
      <tp>
        <v>0</v>
        <stp/>
        <stp>IO2103-P-3200.CFE</stp>
        <stp>Ask_Volume1</stp>
        <tr r="AK123" s="3"/>
      </tp>
      <tp>
        <v>0</v>
        <stp/>
        <stp>IO2012-P-4200.CFE</stp>
        <stp>Ask_Volume1</stp>
        <tr r="AK117" s="3"/>
      </tp>
      <tp>
        <v>0</v>
        <stp/>
        <stp>IO2012-P-3200.CFE</stp>
        <stp>Ask_Volume1</stp>
        <tr r="AK107" s="3"/>
      </tp>
      <tp>
        <v>5</v>
        <stp/>
        <stp>IO2004-P-3200.CFE</stp>
        <stp>Ask_Volume1</stp>
        <tr r="AK6" s="3"/>
      </tp>
      <tp>
        <v>3</v>
        <stp/>
        <stp>IO2005-P-3200.CFE</stp>
        <stp>Ask_Volume1</stp>
        <tr r="AK36" s="3"/>
      </tp>
      <tp>
        <v>9</v>
        <stp/>
        <stp>IO2006-P-3200.CFE</stp>
        <stp>Ask_Volume1</stp>
        <tr r="AK66" s="3"/>
      </tp>
      <tp>
        <v>0</v>
        <stp/>
        <stp>IO2006-P-4200.CFE</stp>
        <stp>Ask_Volume1</stp>
        <tr r="AK85" s="3"/>
      </tp>
      <tp>
        <v>0</v>
        <stp/>
        <stp>IO2005-P-4200.CFE</stp>
        <stp>Ask_Volume1</stp>
        <tr r="AK56" s="3"/>
      </tp>
      <tp>
        <v>0</v>
        <stp/>
        <stp>IO2004-P-4200.CFE</stp>
        <stp>Ask_Volume1</stp>
        <tr r="AK26" s="3"/>
      </tp>
      <tp>
        <v>0</v>
        <stp/>
        <stp>IO2009-P-4200.CFE</stp>
        <stp>Ask_Volume1</stp>
        <tr r="AK101" s="3"/>
      </tp>
      <tp>
        <v>1</v>
        <stp/>
        <stp>IO2009-P-3200.CFE</stp>
        <stp>Ask_Volume1</stp>
        <tr r="AK91" s="3"/>
      </tp>
      <tp>
        <v>1</v>
        <stp/>
        <stp>IO2004-P-3250.CFE</stp>
        <stp>Ask_Volume1</stp>
        <tr r="AK7" s="3"/>
      </tp>
      <tp>
        <v>2</v>
        <stp/>
        <stp>IO2005-P-3250.CFE</stp>
        <stp>Ask_Volume1</stp>
        <tr r="AK37" s="3"/>
      </tp>
      <tp>
        <v>0</v>
        <stp/>
        <stp>IO2006-P-3250.CFE</stp>
        <stp>Ask_Volume1</stp>
        <tr r="AK67" s="3"/>
      </tp>
      <tp>
        <v>0</v>
        <stp/>
        <stp>IO2005-P-4250.CFE</stp>
        <stp>Ask_Volume1</stp>
        <tr r="AK57" s="3"/>
      </tp>
      <tp>
        <v>0</v>
        <stp/>
        <stp>IO2004-P-4250.CFE</stp>
        <stp>Ask_Volume1</stp>
        <tr r="AK27" s="3"/>
      </tp>
      <tp>
        <v>0.1024</v>
        <stp/>
        <stp>10002416.SH</stp>
        <stp>Ask_Price1</stp>
        <tr r="AJ48" s="1"/>
      </tp>
      <tp>
        <v>0.2888</v>
        <stp/>
        <stp>10002466.SH</stp>
        <stp>Ask_Price1</stp>
        <tr r="AJ28" s="1"/>
      </tp>
      <tp>
        <v>0.2087</v>
        <stp/>
        <stp>10002456.SH</stp>
        <stp>Ask_Price1</stp>
        <tr r="J27" s="1"/>
      </tp>
      <tp>
        <v>9.2499999999999999E-2</v>
        <stp/>
        <stp>10002176.SH</stp>
        <stp>Ask_Price1</stp>
        <tr r="J41" s="1"/>
      </tp>
      <tp>
        <v>0.60010000000000008</v>
        <stp/>
        <stp>10002186.SH</stp>
        <stp>Ask_Price1</stp>
        <tr r="AJ42" s="1"/>
      </tp>
      <tp>
        <v>0</v>
        <stp/>
        <stp>10002266.SH</stp>
        <stp>Ask_Price1</stp>
        <tr r="AJ61" s="1"/>
      </tp>
      <tp>
        <v>0.11</v>
        <stp/>
        <stp>10002256.SH</stp>
        <stp>Ask_Price1</stp>
        <tr r="J60" s="1"/>
      </tp>
      <tp>
        <v>0.12440000000000001</v>
        <stp/>
        <stp>10002326.SH</stp>
        <stp>Ask_Price1</stp>
        <tr r="AJ35" s="1"/>
      </tp>
      <tp>
        <v>7.7600000000000002E-2</v>
        <stp/>
        <stp>10002376.SH</stp>
        <stp>Ask_Price1</stp>
        <tr r="AJ11" s="1"/>
      </tp>
      <tp>
        <v>0</v>
        <stp/>
        <stp>10002366.SH</stp>
        <stp>Ask_Price1</stp>
        <tr r="AJ18" s="1"/>
      </tp>
      <tp>
        <v>1.34E-2</v>
        <stp/>
        <stp>10002356.SH</stp>
        <stp>Ask_Price1</stp>
        <tr r="J17" s="1"/>
      </tp>
      <tp>
        <v>0.1545</v>
        <stp/>
        <stp>10002456.SH</stp>
        <stp>Bid_Price1</stp>
        <tr r="H27" s="1"/>
      </tp>
      <tp>
        <v>0.23280000000000001</v>
        <stp/>
        <stp>10002466.SH</stp>
        <stp>Bid_Price1</stp>
        <tr r="AH28" s="1"/>
      </tp>
      <tp>
        <v>9.9000000000000005E-2</v>
        <stp/>
        <stp>10002416.SH</stp>
        <stp>Bid_Price1</stp>
        <tr r="AH48" s="1"/>
      </tp>
      <tp>
        <v>8.5000000000000006E-2</v>
        <stp/>
        <stp>10002256.SH</stp>
        <stp>Bid_Price1</stp>
        <tr r="H60" s="1"/>
      </tp>
      <tp>
        <v>0</v>
        <stp/>
        <stp>10002266.SH</stp>
        <stp>Bid_Price1</stp>
        <tr r="AH61" s="1"/>
      </tp>
      <tp>
        <v>1.3300000000000001E-2</v>
        <stp/>
        <stp>10002356.SH</stp>
        <stp>Bid_Price1</stp>
        <tr r="H17" s="1"/>
      </tp>
      <tp>
        <v>0.56000000000000005</v>
        <stp/>
        <stp>10002366.SH</stp>
        <stp>Bid_Price1</stp>
        <tr r="AH18" s="1"/>
      </tp>
      <tp>
        <v>7.6999999999999999E-2</v>
        <stp/>
        <stp>10002376.SH</stp>
        <stp>Bid_Price1</stp>
        <tr r="AH11" s="1"/>
      </tp>
      <tp>
        <v>0.1163</v>
        <stp/>
        <stp>10002326.SH</stp>
        <stp>Bid_Price1</stp>
        <tr r="AH35" s="1"/>
      </tp>
      <tp>
        <v>0.50009999999999999</v>
        <stp/>
        <stp>10002186.SH</stp>
        <stp>Bid_Price1</stp>
        <tr r="AH42" s="1"/>
      </tp>
      <tp>
        <v>8.1200000000000008E-2</v>
        <stp/>
        <stp>10002176.SH</stp>
        <stp>Bid_Price1</stp>
        <tr r="H41" s="1"/>
      </tp>
      <tp>
        <v>0</v>
        <stp/>
        <stp>IO2103-P-3200.CFE</stp>
        <stp>Bid_Volume1</stp>
        <tr r="AI123" s="3"/>
      </tp>
      <tp>
        <v>8</v>
        <stp/>
        <stp>IO2004-P-3200.CFE</stp>
        <stp>Bid_Volume1</stp>
        <tr r="AI6" s="3"/>
      </tp>
      <tp>
        <v>3</v>
        <stp/>
        <stp>IO2005-P-3200.CFE</stp>
        <stp>Bid_Volume1</stp>
        <tr r="AI36" s="3"/>
      </tp>
      <tp>
        <v>3</v>
        <stp/>
        <stp>IO2006-P-3200.CFE</stp>
        <stp>Bid_Volume1</stp>
        <tr r="AI66" s="3"/>
      </tp>
      <tp>
        <v>0</v>
        <stp/>
        <stp>IO2006-P-4200.CFE</stp>
        <stp>Bid_Volume1</stp>
        <tr r="AI85" s="3"/>
      </tp>
      <tp>
        <v>1</v>
        <stp/>
        <stp>IO2005-P-4200.CFE</stp>
        <stp>Bid_Volume1</stp>
        <tr r="AI56" s="3"/>
      </tp>
      <tp>
        <v>0</v>
        <stp/>
        <stp>IO2004-P-4200.CFE</stp>
        <stp>Bid_Volume1</stp>
        <tr r="AI26" s="3"/>
      </tp>
      <tp>
        <v>0</v>
        <stp/>
        <stp>IO2009-P-4200.CFE</stp>
        <stp>Bid_Volume1</stp>
        <tr r="AI101" s="3"/>
      </tp>
      <tp>
        <v>1</v>
        <stp/>
        <stp>IO2009-P-3200.CFE</stp>
        <stp>Bid_Volume1</stp>
        <tr r="AI91" s="3"/>
      </tp>
      <tp>
        <v>0</v>
        <stp/>
        <stp>IO2012-P-4200.CFE</stp>
        <stp>Bid_Volume1</stp>
        <tr r="AI117" s="3"/>
      </tp>
      <tp>
        <v>0</v>
        <stp/>
        <stp>IO2012-P-3200.CFE</stp>
        <stp>Bid_Volume1</stp>
        <tr r="AI107" s="3"/>
      </tp>
      <tp>
        <v>4</v>
        <stp/>
        <stp>IO2004-P-3250.CFE</stp>
        <stp>Bid_Volume1</stp>
        <tr r="AI7" s="3"/>
      </tp>
      <tp>
        <v>1</v>
        <stp/>
        <stp>IO2005-P-3250.CFE</stp>
        <stp>Bid_Volume1</stp>
        <tr r="AI37" s="3"/>
      </tp>
      <tp>
        <v>3</v>
        <stp/>
        <stp>IO2006-P-3250.CFE</stp>
        <stp>Bid_Volume1</stp>
        <tr r="AI67" s="3"/>
      </tp>
      <tp>
        <v>1</v>
        <stp/>
        <stp>IO2005-P-4250.CFE</stp>
        <stp>Bid_Volume1</stp>
        <tr r="AI57" s="3"/>
      </tp>
      <tp>
        <v>0</v>
        <stp/>
        <stp>IO2004-P-4250.CFE</stp>
        <stp>Bid_Volume1</stp>
        <tr r="AI27" s="3"/>
      </tp>
      <tp>
        <v>0</v>
        <stp/>
        <stp>IO2012-C-4100.CFE</stp>
        <stp>Ask_Volume1</stp>
        <tr r="K116" s="3"/>
      </tp>
      <tp>
        <v>2</v>
        <stp/>
        <stp>IO2006-C-4100.CFE</stp>
        <stp>Ask_Volume1</stp>
        <tr r="K84" s="3"/>
      </tp>
      <tp>
        <v>1</v>
        <stp/>
        <stp>IO2005-C-4100.CFE</stp>
        <stp>Ask_Volume1</stp>
        <tr r="K54" s="3"/>
      </tp>
      <tp>
        <v>1</v>
        <stp/>
        <stp>IO2004-C-4100.CFE</stp>
        <stp>Ask_Volume1</stp>
        <tr r="K24" s="3"/>
      </tp>
      <tp>
        <v>2</v>
        <stp/>
        <stp>IO2009-C-4100.CFE</stp>
        <stp>Ask_Volume1</stp>
        <tr r="K100" s="3"/>
      </tp>
      <tp>
        <v>1</v>
        <stp/>
        <stp>IO2103-C-4100.CFE</stp>
        <stp>Ask_Volume1</stp>
        <tr r="K132" s="3"/>
      </tp>
      <tp>
        <v>1</v>
        <stp/>
        <stp>IO2005-C-4150.CFE</stp>
        <stp>Ask_Volume1</stp>
        <tr r="K55" s="3"/>
      </tp>
      <tp>
        <v>1</v>
        <stp/>
        <stp>IO2004-C-4150.CFE</stp>
        <stp>Ask_Volume1</stp>
        <tr r="K25" s="3"/>
      </tp>
      <tp>
        <v>1</v>
        <stp/>
        <stp>IO2004-C-3200.CFE</stp>
        <stp>Bid_Volume1</stp>
        <tr r="I6" s="3"/>
      </tp>
      <tp>
        <v>1</v>
        <stp/>
        <stp>IO2005-C-3200.CFE</stp>
        <stp>Bid_Volume1</stp>
        <tr r="I36" s="3"/>
      </tp>
      <tp>
        <v>0</v>
        <stp/>
        <stp>IO2006-C-3200.CFE</stp>
        <stp>Bid_Volume1</stp>
        <tr r="I66" s="3"/>
      </tp>
      <tp>
        <v>1</v>
        <stp/>
        <stp>IO2006-C-4200.CFE</stp>
        <stp>Bid_Volume1</stp>
        <tr r="I85" s="3"/>
      </tp>
      <tp>
        <v>1</v>
        <stp/>
        <stp>IO2005-C-4200.CFE</stp>
        <stp>Bid_Volume1</stp>
        <tr r="I56" s="3"/>
      </tp>
      <tp>
        <v>1</v>
        <stp/>
        <stp>IO2004-C-4200.CFE</stp>
        <stp>Bid_Volume1</stp>
        <tr r="I26" s="3"/>
      </tp>
      <tp>
        <v>3</v>
        <stp/>
        <stp>IO2009-C-4200.CFE</stp>
        <stp>Bid_Volume1</stp>
        <tr r="I101" s="3"/>
      </tp>
      <tp>
        <v>0</v>
        <stp/>
        <stp>IO2009-C-3200.CFE</stp>
        <stp>Bid_Volume1</stp>
        <tr r="I91" s="3"/>
      </tp>
      <tp>
        <v>1</v>
        <stp/>
        <stp>IO2012-C-4200.CFE</stp>
        <stp>Bid_Volume1</stp>
        <tr r="I117" s="3"/>
      </tp>
      <tp>
        <v>2</v>
        <stp/>
        <stp>IO2012-C-3200.CFE</stp>
        <stp>Bid_Volume1</stp>
        <tr r="I107" s="3"/>
      </tp>
      <tp>
        <v>0</v>
        <stp/>
        <stp>IO2103-C-3200.CFE</stp>
        <stp>Bid_Volume1</stp>
        <tr r="I123" s="3"/>
      </tp>
      <tp>
        <v>0</v>
        <stp/>
        <stp>IO2004-C-3250.CFE</stp>
        <stp>Bid_Volume1</stp>
        <tr r="I7" s="3"/>
      </tp>
      <tp>
        <v>1</v>
        <stp/>
        <stp>IO2005-C-3250.CFE</stp>
        <stp>Bid_Volume1</stp>
        <tr r="I37" s="3"/>
      </tp>
      <tp>
        <v>0</v>
        <stp/>
        <stp>IO2006-C-3250.CFE</stp>
        <stp>Bid_Volume1</stp>
        <tr r="I67" s="3"/>
      </tp>
      <tp>
        <v>1</v>
        <stp/>
        <stp>IO2005-C-4250.CFE</stp>
        <stp>Bid_Volume1</stp>
        <tr r="I57" s="3"/>
      </tp>
      <tp>
        <v>1</v>
        <stp/>
        <stp>IO2004-C-4250.CFE</stp>
        <stp>Bid_Volume1</stp>
        <tr r="I27" s="3"/>
      </tp>
      <tp>
        <v>0</v>
        <stp/>
        <stp>IO2103-P-4100.CFE</stp>
        <stp>Ask_Volume1</stp>
        <tr r="AK132" s="3"/>
      </tp>
      <tp>
        <v>0</v>
        <stp/>
        <stp>IO2012-P-4100.CFE</stp>
        <stp>Ask_Volume1</stp>
        <tr r="AK116" s="3"/>
      </tp>
      <tp>
        <v>0</v>
        <stp/>
        <stp>IO2006-P-4100.CFE</stp>
        <stp>Ask_Volume1</stp>
        <tr r="AK84" s="3"/>
      </tp>
      <tp>
        <v>0</v>
        <stp/>
        <stp>IO2005-P-4100.CFE</stp>
        <stp>Ask_Volume1</stp>
        <tr r="AK54" s="3"/>
      </tp>
      <tp>
        <v>0</v>
        <stp/>
        <stp>IO2004-P-4100.CFE</stp>
        <stp>Ask_Volume1</stp>
        <tr r="AK24" s="3"/>
      </tp>
      <tp>
        <v>1</v>
        <stp/>
        <stp>IO2009-P-4100.CFE</stp>
        <stp>Ask_Volume1</stp>
        <tr r="AK100" s="3"/>
      </tp>
      <tp>
        <v>0</v>
        <stp/>
        <stp>IO2005-P-4150.CFE</stp>
        <stp>Ask_Volume1</stp>
        <tr r="AK55" s="3"/>
      </tp>
      <tp>
        <v>3</v>
        <stp/>
        <stp>IO2004-P-4150.CFE</stp>
        <stp>Ask_Volume1</stp>
        <tr r="AK25" s="3"/>
      </tp>
      <tp>
        <v>0.64240000000000008</v>
        <stp/>
        <stp>10002427.SH</stp>
        <stp>Ask_Price1</stp>
        <tr r="J6" s="1"/>
      </tp>
      <tp>
        <v>0.3589</v>
        <stp/>
        <stp>10002467.SH</stp>
        <stp>Ask_Price1</stp>
        <tr r="AJ29" s="1"/>
      </tp>
      <tp>
        <v>0.1198</v>
        <stp/>
        <stp>10002457.SH</stp>
        <stp>Ask_Price1</stp>
        <tr r="J28" s="1"/>
      </tp>
      <tp>
        <v>7.2500000000000009E-2</v>
        <stp/>
        <stp>10002177.SH</stp>
        <stp>Ask_Price1</stp>
        <tr r="J42" s="1"/>
      </tp>
      <tp>
        <v>0</v>
        <stp/>
        <stp>10002187.SH</stp>
        <stp>Ask_Price1</stp>
        <tr r="AJ43" s="1"/>
      </tp>
      <tp>
        <v>0.08</v>
        <stp/>
        <stp>10002257.SH</stp>
        <stp>Ask_Price1</stp>
        <tr r="J61" s="1"/>
      </tp>
      <tp>
        <v>0.56520000000000004</v>
        <stp/>
        <stp>10002327.SH</stp>
        <stp>Ask_Price1</stp>
        <tr r="J49" s="1"/>
      </tp>
      <tp>
        <v>0</v>
        <stp/>
        <stp>10002367.SH</stp>
        <stp>Ask_Price1</stp>
        <tr r="AJ19" s="1"/>
      </tp>
      <tp>
        <v>8.0999999999999996E-3</v>
        <stp/>
        <stp>10002357.SH</stp>
        <stp>Ask_Price1</stp>
        <tr r="J18" s="1"/>
      </tp>
      <tp>
        <v>0.10110000000000001</v>
        <stp/>
        <stp>10002457.SH</stp>
        <stp>Bid_Price1</stp>
        <tr r="H28" s="1"/>
      </tp>
      <tp>
        <v>0.314</v>
        <stp/>
        <stp>10002467.SH</stp>
        <stp>Bid_Price1</stp>
        <tr r="AH29" s="1"/>
      </tp>
      <tp>
        <v>0.61270000000000002</v>
        <stp/>
        <stp>10002427.SH</stp>
        <stp>Bid_Price1</stp>
        <tr r="H6" s="1"/>
      </tp>
      <tp>
        <v>6.5000000000000002E-2</v>
        <stp/>
        <stp>10002257.SH</stp>
        <stp>Bid_Price1</stp>
        <tr r="H61" s="1"/>
      </tp>
      <tp>
        <v>8.0000000000000002E-3</v>
        <stp/>
        <stp>10002357.SH</stp>
        <stp>Bid_Price1</stp>
        <tr r="H18" s="1"/>
      </tp>
      <tp>
        <v>0.66110000000000002</v>
        <stp/>
        <stp>10002367.SH</stp>
        <stp>Bid_Price1</stp>
        <tr r="AH19" s="1"/>
      </tp>
      <tp>
        <v>0.53410000000000002</v>
        <stp/>
        <stp>10002327.SH</stp>
        <stp>Bid_Price1</stp>
        <tr r="H49" s="1"/>
      </tp>
      <tp>
        <v>0.58000000000000007</v>
        <stp/>
        <stp>10002187.SH</stp>
        <stp>Bid_Price1</stp>
        <tr r="AH43" s="1"/>
      </tp>
      <tp>
        <v>6.6000000000000003E-2</v>
        <stp/>
        <stp>10002177.SH</stp>
        <stp>Bid_Price1</stp>
        <tr r="H42" s="1"/>
      </tp>
      <tp>
        <v>0</v>
        <stp/>
        <stp>IO2103-P-3300.CFE</stp>
        <stp>Bid_Volume1</stp>
        <tr r="AI124" s="3"/>
      </tp>
      <tp>
        <v>2</v>
        <stp/>
        <stp>IO2004-P-3300.CFE</stp>
        <stp>Bid_Volume1</stp>
        <tr r="AI8" s="3"/>
      </tp>
      <tp>
        <v>1</v>
        <stp/>
        <stp>IO2005-P-3300.CFE</stp>
        <stp>Bid_Volume1</stp>
        <tr r="AI38" s="3"/>
      </tp>
      <tp>
        <v>5</v>
        <stp/>
        <stp>IO2006-P-3300.CFE</stp>
        <stp>Bid_Volume1</stp>
        <tr r="AI68" s="3"/>
      </tp>
      <tp>
        <v>0</v>
        <stp/>
        <stp>IO2006-P-4300.CFE</stp>
        <stp>Bid_Volume1</stp>
        <tr r="AI86" s="3"/>
      </tp>
      <tp>
        <v>1</v>
        <stp/>
        <stp>IO2005-P-4300.CFE</stp>
        <stp>Bid_Volume1</stp>
        <tr r="AI58" s="3"/>
      </tp>
      <tp>
        <v>0</v>
        <stp/>
        <stp>IO2004-P-4300.CFE</stp>
        <stp>Bid_Volume1</stp>
        <tr r="AI28" s="3"/>
      </tp>
      <tp>
        <v>0</v>
        <stp/>
        <stp>IO2009-P-4300.CFE</stp>
        <stp>Bid_Volume1</stp>
        <tr r="AI102" s="3"/>
      </tp>
      <tp>
        <v>1</v>
        <stp/>
        <stp>IO2009-P-3300.CFE</stp>
        <stp>Bid_Volume1</stp>
        <tr r="AI92" s="3"/>
      </tp>
      <tp>
        <v>0</v>
        <stp/>
        <stp>IO2012-P-4300.CFE</stp>
        <stp>Bid_Volume1</stp>
        <tr r="AI118" s="3"/>
      </tp>
      <tp>
        <v>3</v>
        <stp/>
        <stp>IO2012-P-3300.CFE</stp>
        <stp>Bid_Volume1</stp>
        <tr r="AI108" s="3"/>
      </tp>
      <tp>
        <v>2</v>
        <stp/>
        <stp>IO2004-P-3350.CFE</stp>
        <stp>Bid_Volume1</stp>
        <tr r="AI9" s="3"/>
      </tp>
      <tp>
        <v>1</v>
        <stp/>
        <stp>IO2005-P-3350.CFE</stp>
        <stp>Bid_Volume1</stp>
        <tr r="AI39" s="3"/>
      </tp>
      <tp>
        <v>3</v>
        <stp/>
        <stp>IO2006-P-3350.CFE</stp>
        <stp>Bid_Volume1</stp>
        <tr r="AI69" s="3"/>
      </tp>
      <tp>
        <v>1</v>
        <stp/>
        <stp>IO2005-P-4350.CFE</stp>
        <stp>Bid_Volume1</stp>
        <tr r="AI59" s="3"/>
      </tp>
      <tp>
        <v>0</v>
        <stp/>
        <stp>IO2004-P-4350.CFE</stp>
        <stp>Bid_Volume1</stp>
        <tr r="AI29" s="3"/>
      </tp>
      <tp>
        <v>2</v>
        <stp/>
        <stp>IO2012-C-4000.CFE</stp>
        <stp>Ask_Volume1</stp>
        <tr r="K115" s="3"/>
      </tp>
      <tp>
        <v>1</v>
        <stp/>
        <stp>IO2006-C-4000.CFE</stp>
        <stp>Ask_Volume1</stp>
        <tr r="K82" s="3"/>
      </tp>
      <tp>
        <v>5</v>
        <stp/>
        <stp>IO2005-C-4000.CFE</stp>
        <stp>Ask_Volume1</stp>
        <tr r="K52" s="3"/>
      </tp>
      <tp>
        <v>3</v>
        <stp/>
        <stp>IO2004-C-4000.CFE</stp>
        <stp>Ask_Volume1</stp>
        <tr r="K22" s="3"/>
      </tp>
      <tp>
        <v>1</v>
        <stp/>
        <stp>IO2009-C-4000.CFE</stp>
        <stp>Ask_Volume1</stp>
        <tr r="K99" s="3"/>
      </tp>
      <tp>
        <v>0</v>
        <stp/>
        <stp>IO2103-C-4000.CFE</stp>
        <stp>Ask_Volume1</stp>
        <tr r="K131" s="3"/>
      </tp>
      <tp>
        <v>0</v>
        <stp/>
        <stp>IO2006-C-4050.CFE</stp>
        <stp>Ask_Volume1</stp>
        <tr r="K83" s="3"/>
      </tp>
      <tp>
        <v>1</v>
        <stp/>
        <stp>IO2005-C-4050.CFE</stp>
        <stp>Ask_Volume1</stp>
        <tr r="K53" s="3"/>
      </tp>
      <tp>
        <v>5</v>
        <stp/>
        <stp>IO2004-C-4050.CFE</stp>
        <stp>Ask_Volume1</stp>
        <tr r="K23" s="3"/>
      </tp>
      <tp>
        <v>2</v>
        <stp/>
        <stp>IO2004-C-3300.CFE</stp>
        <stp>Bid_Volume1</stp>
        <tr r="I8" s="3"/>
      </tp>
      <tp>
        <v>1</v>
        <stp/>
        <stp>IO2005-C-3300.CFE</stp>
        <stp>Bid_Volume1</stp>
        <tr r="I38" s="3"/>
      </tp>
      <tp>
        <v>0</v>
        <stp/>
        <stp>IO2006-C-3300.CFE</stp>
        <stp>Bid_Volume1</stp>
        <tr r="I68" s="3"/>
      </tp>
      <tp>
        <v>1</v>
        <stp/>
        <stp>IO2006-C-4300.CFE</stp>
        <stp>Bid_Volume1</stp>
        <tr r="I86" s="3"/>
      </tp>
      <tp>
        <v>10</v>
        <stp/>
        <stp>IO2005-C-4300.CFE</stp>
        <stp>Bid_Volume1</stp>
        <tr r="I58" s="3"/>
      </tp>
      <tp>
        <v>4</v>
        <stp/>
        <stp>IO2004-C-4300.CFE</stp>
        <stp>Bid_Volume1</stp>
        <tr r="I28" s="3"/>
      </tp>
      <tp>
        <v>1</v>
        <stp/>
        <stp>IO2009-C-4300.CFE</stp>
        <stp>Bid_Volume1</stp>
        <tr r="I102" s="3"/>
      </tp>
      <tp>
        <v>0</v>
        <stp/>
        <stp>IO2009-C-3300.CFE</stp>
        <stp>Bid_Volume1</stp>
        <tr r="I92" s="3"/>
      </tp>
      <tp>
        <v>1</v>
        <stp/>
        <stp>IO2012-C-4300.CFE</stp>
        <stp>Bid_Volume1</stp>
        <tr r="I118" s="3"/>
      </tp>
      <tp>
        <v>0</v>
        <stp/>
        <stp>IO2012-C-3300.CFE</stp>
        <stp>Bid_Volume1</stp>
        <tr r="I108" s="3"/>
      </tp>
      <tp>
        <v>0</v>
        <stp/>
        <stp>IO2103-C-3300.CFE</stp>
        <stp>Bid_Volume1</stp>
        <tr r="I124" s="3"/>
      </tp>
      <tp>
        <v>1</v>
        <stp/>
        <stp>IO2004-C-3350.CFE</stp>
        <stp>Bid_Volume1</stp>
        <tr r="I9" s="3"/>
      </tp>
      <tp>
        <v>1</v>
        <stp/>
        <stp>IO2005-C-3350.CFE</stp>
        <stp>Bid_Volume1</stp>
        <tr r="I39" s="3"/>
      </tp>
      <tp>
        <v>2</v>
        <stp/>
        <stp>IO2006-C-3350.CFE</stp>
        <stp>Bid_Volume1</stp>
        <tr r="I69" s="3"/>
      </tp>
      <tp>
        <v>12</v>
        <stp/>
        <stp>IO2005-C-4350.CFE</stp>
        <stp>Bid_Volume1</stp>
        <tr r="I59" s="3"/>
      </tp>
      <tp>
        <v>1</v>
        <stp/>
        <stp>IO2004-C-4350.CFE</stp>
        <stp>Bid_Volume1</stp>
        <tr r="I29" s="3"/>
      </tp>
      <tp>
        <v>0</v>
        <stp/>
        <stp>IO2103-P-4000.CFE</stp>
        <stp>Ask_Volume1</stp>
        <tr r="AK131" s="3"/>
      </tp>
      <tp>
        <v>0</v>
        <stp/>
        <stp>IO2012-P-4000.CFE</stp>
        <stp>Ask_Volume1</stp>
        <tr r="AK115" s="3"/>
      </tp>
      <tp>
        <v>0</v>
        <stp/>
        <stp>IO2006-P-4000.CFE</stp>
        <stp>Ask_Volume1</stp>
        <tr r="AK82" s="3"/>
      </tp>
      <tp>
        <v>1</v>
        <stp/>
        <stp>IO2005-P-4000.CFE</stp>
        <stp>Ask_Volume1</stp>
        <tr r="AK52" s="3"/>
      </tp>
      <tp>
        <v>1</v>
        <stp/>
        <stp>IO2004-P-4000.CFE</stp>
        <stp>Ask_Volume1</stp>
        <tr r="AK22" s="3"/>
      </tp>
      <tp>
        <v>1</v>
        <stp/>
        <stp>IO2009-P-4000.CFE</stp>
        <stp>Ask_Volume1</stp>
        <tr r="AK99" s="3"/>
      </tp>
      <tp>
        <v>0</v>
        <stp/>
        <stp>IO2006-P-4050.CFE</stp>
        <stp>Ask_Volume1</stp>
        <tr r="AK83" s="3"/>
      </tp>
      <tp>
        <v>0</v>
        <stp/>
        <stp>IO2005-P-4050.CFE</stp>
        <stp>Ask_Volume1</stp>
        <tr r="AK53" s="3"/>
      </tp>
      <tp>
        <v>0</v>
        <stp/>
        <stp>IO2004-P-4050.CFE</stp>
        <stp>Ask_Volume1</stp>
        <tr r="AK23" s="3"/>
      </tp>
      <tp>
        <v>24.2</v>
        <stp/>
        <stp>IO2004-C-4100.CFE</stp>
        <stp>Ask_Price1</stp>
        <tr r="J24" s="3"/>
      </tp>
      <tp>
        <v>18</v>
        <stp/>
        <stp>IO2004-C-4150.CFE</stp>
        <stp>Ask_Price1</stp>
        <tr r="J25" s="3"/>
      </tp>
      <tp>
        <v>0</v>
        <stp/>
        <stp>IO2004-P-4200.CFE</stp>
        <stp>Bid_Price1</stp>
        <tr r="AH26" s="3"/>
      </tp>
      <tp>
        <v>0</v>
        <stp/>
        <stp>IO2103-P-3200.CFE</stp>
        <stp>Bid_Price1</stp>
        <tr r="AH123" s="3"/>
      </tp>
      <tp>
        <v>0</v>
        <stp/>
        <stp>IO2004-P-4250.CFE</stp>
        <stp>Bid_Price1</stp>
        <tr r="AH27" s="3"/>
      </tp>
      <tp>
        <v>0</v>
        <stp/>
        <stp>IO2004-P-4100.CFE</stp>
        <stp>Ask_Price1</stp>
        <tr r="AJ24" s="3"/>
      </tp>
      <tp>
        <v>427.6</v>
        <stp/>
        <stp>IO2004-P-4150.CFE</stp>
        <stp>Ask_Price1</stp>
        <tr r="AJ25" s="3"/>
      </tp>
      <tp>
        <v>0</v>
        <stp/>
        <stp>IO2103-C-3200.CFE</stp>
        <stp>Bid_Price1</stp>
        <tr r="H123" s="3"/>
      </tp>
      <tp>
        <v>10.8</v>
        <stp/>
        <stp>IO2004-C-4200.CFE</stp>
        <stp>Bid_Price1</stp>
        <tr r="H26" s="3"/>
      </tp>
      <tp>
        <v>8.6</v>
        <stp/>
        <stp>IO2004-C-4250.CFE</stp>
        <stp>Bid_Price1</stp>
        <tr r="H27" s="3"/>
      </tp>
      <tp>
        <v>39.800000000000004</v>
        <stp/>
        <stp>IO2004-C-4000.CFE</stp>
        <stp>Ask_Price1</stp>
        <tr r="J22" s="3"/>
      </tp>
      <tp>
        <v>30.8</v>
        <stp/>
        <stp>IO2004-C-4050.CFE</stp>
        <stp>Ask_Price1</stp>
        <tr r="J23" s="3"/>
      </tp>
      <tp>
        <v>0</v>
        <stp/>
        <stp>IO2004-P-4300.CFE</stp>
        <stp>Bid_Price1</stp>
        <tr r="AH28" s="3"/>
      </tp>
      <tp>
        <v>0</v>
        <stp/>
        <stp>IO2103-P-3300.CFE</stp>
        <stp>Bid_Price1</stp>
        <tr r="AH124" s="3"/>
      </tp>
      <tp>
        <v>0</v>
        <stp/>
        <stp>IO2004-P-4350.CFE</stp>
        <stp>Bid_Price1</stp>
        <tr r="AH29" s="3"/>
      </tp>
      <tp>
        <v>369</v>
        <stp/>
        <stp>IO2004-P-4000.CFE</stp>
        <stp>Ask_Price1</stp>
        <tr r="AJ22" s="3"/>
      </tp>
      <tp>
        <v>0</v>
        <stp/>
        <stp>IO2004-P-4050.CFE</stp>
        <stp>Ask_Price1</stp>
        <tr r="AJ23" s="3"/>
      </tp>
      <tp>
        <v>0</v>
        <stp/>
        <stp>IO2103-C-3300.CFE</stp>
        <stp>Bid_Price1</stp>
        <tr r="H124" s="3"/>
      </tp>
      <tp>
        <v>7.8</v>
        <stp/>
        <stp>IO2004-C-4300.CFE</stp>
        <stp>Bid_Price1</stp>
        <tr r="H28" s="3"/>
      </tp>
      <tp>
        <v>1.4000000000000001</v>
        <stp/>
        <stp>IO2004-C-4350.CFE</stp>
        <stp>Bid_Price1</stp>
        <tr r="H29" s="3"/>
      </tp>
      <tp>
        <v>0</v>
        <stp/>
        <stp>IO2103-C-3300.CFE</stp>
        <stp>Ask_Price1</stp>
        <tr r="J124" s="3"/>
      </tp>
      <tp>
        <v>9</v>
        <stp/>
        <stp>IO2004-C-4300.CFE</stp>
        <stp>Ask_Price1</stp>
        <tr r="J28" s="3"/>
      </tp>
      <tp>
        <v>46</v>
        <stp/>
        <stp>IO2004-C-4350.CFE</stp>
        <stp>Ask_Price1</stp>
        <tr r="J29" s="3"/>
      </tp>
      <tp>
        <v>7</v>
        <stp/>
        <stp>IO2004-P-4000.CFE</stp>
        <stp>Bid_Price1</stp>
        <tr r="AH22" s="3"/>
      </tp>
      <tp>
        <v>0</v>
        <stp/>
        <stp>IO2004-P-4050.CFE</stp>
        <stp>Bid_Price1</stp>
        <tr r="AH23" s="3"/>
      </tp>
      <tp>
        <v>0</v>
        <stp/>
        <stp>IO2004-P-4300.CFE</stp>
        <stp>Ask_Price1</stp>
        <tr r="AJ28" s="3"/>
      </tp>
      <tp>
        <v>0</v>
        <stp/>
        <stp>IO2103-P-3300.CFE</stp>
        <stp>Ask_Price1</stp>
        <tr r="AJ124" s="3"/>
      </tp>
      <tp>
        <v>0</v>
        <stp/>
        <stp>IO2004-P-4350.CFE</stp>
        <stp>Ask_Price1</stp>
        <tr r="AJ29" s="3"/>
      </tp>
      <tp>
        <v>38.200000000000003</v>
        <stp/>
        <stp>IO2004-C-4000.CFE</stp>
        <stp>Bid_Price1</stp>
        <tr r="H22" s="3"/>
      </tp>
      <tp>
        <v>29.400000000000002</v>
        <stp/>
        <stp>IO2004-C-4050.CFE</stp>
        <stp>Bid_Price1</stp>
        <tr r="H23" s="3"/>
      </tp>
      <tp>
        <v>0</v>
        <stp/>
        <stp>IO2103-C-3200.CFE</stp>
        <stp>Ask_Price1</stp>
        <tr r="J123" s="3"/>
      </tp>
      <tp>
        <v>13.8</v>
        <stp/>
        <stp>IO2004-C-4200.CFE</stp>
        <stp>Ask_Price1</stp>
        <tr r="J26" s="3"/>
      </tp>
      <tp>
        <v>10.8</v>
        <stp/>
        <stp>IO2004-C-4250.CFE</stp>
        <stp>Ask_Price1</stp>
        <tr r="J27" s="3"/>
      </tp>
      <tp>
        <v>0</v>
        <stp/>
        <stp>IO2004-P-4100.CFE</stp>
        <stp>Bid_Price1</stp>
        <tr r="AH24" s="3"/>
      </tp>
      <tp>
        <v>0</v>
        <stp/>
        <stp>IO2004-P-4150.CFE</stp>
        <stp>Bid_Price1</stp>
        <tr r="AH25" s="3"/>
      </tp>
      <tp>
        <v>0</v>
        <stp/>
        <stp>IO2004-P-4200.CFE</stp>
        <stp>Ask_Price1</stp>
        <tr r="AJ26" s="3"/>
      </tp>
      <tp>
        <v>0</v>
        <stp/>
        <stp>IO2103-P-3200.CFE</stp>
        <stp>Ask_Price1</stp>
        <tr r="AJ123" s="3"/>
      </tp>
      <tp>
        <v>0</v>
        <stp/>
        <stp>IO2004-P-4250.CFE</stp>
        <stp>Ask_Price1</stp>
        <tr r="AJ27" s="3"/>
      </tp>
      <tp>
        <v>21.6</v>
        <stp/>
        <stp>IO2004-C-4100.CFE</stp>
        <stp>Bid_Price1</stp>
        <tr r="H24" s="3"/>
      </tp>
      <tp>
        <v>14.200000000000001</v>
        <stp/>
        <stp>IO2004-C-4150.CFE</stp>
        <stp>Bid_Price1</stp>
        <tr r="H25" s="3"/>
      </tp>
      <tp>
        <v>0</v>
        <stp/>
        <stp>IO2103-C-3500.CFE</stp>
        <stp>Ask_Price1</stp>
        <tr r="J126" s="3"/>
      </tp>
      <tp>
        <v>3.2</v>
        <stp/>
        <stp>IO2004-C-4500.CFE</stp>
        <stp>Ask_Price1</stp>
        <tr r="J32" s="3"/>
      </tp>
      <tp>
        <v>2.4</v>
        <stp/>
        <stp>IO2004-C-4550.CFE</stp>
        <stp>Ask_Price1</stp>
        <tr r="J33" s="3"/>
      </tp>
      <tp>
        <v>0</v>
        <stp/>
        <stp>IO2004-P-4600.CFE</stp>
        <stp>Bid_Price1</stp>
        <tr r="AH34" s="3"/>
      </tp>
      <tp>
        <v>0</v>
        <stp/>
        <stp>IO2103-P-3600.CFE</stp>
        <stp>Bid_Price1</stp>
        <tr r="AH127" s="3"/>
      </tp>
      <tp>
        <v>0</v>
        <stp/>
        <stp>IO2004-P-4650.CFE</stp>
        <stp>Bid_Price1</stp>
        <tr r="AH35" s="3"/>
      </tp>
      <tp>
        <v>0</v>
        <stp/>
        <stp>IO2004-P-4500.CFE</stp>
        <stp>Ask_Price1</stp>
        <tr r="AJ32" s="3"/>
      </tp>
      <tp>
        <v>0</v>
        <stp/>
        <stp>IO2103-P-3500.CFE</stp>
        <stp>Ask_Price1</stp>
        <tr r="AJ126" s="3"/>
      </tp>
      <tp>
        <v>0</v>
        <stp/>
        <stp>IO2004-P-4550.CFE</stp>
        <stp>Ask_Price1</stp>
        <tr r="AJ33" s="3"/>
      </tp>
      <tp>
        <v>0</v>
        <stp/>
        <stp>IO2103-C-3600.CFE</stp>
        <stp>Bid_Price1</stp>
        <tr r="H127" s="3"/>
      </tp>
      <tp>
        <v>1.8</v>
        <stp/>
        <stp>IO2004-C-4600.CFE</stp>
        <stp>Bid_Price1</stp>
        <tr r="H34" s="3"/>
      </tp>
      <tp>
        <v>1.6</v>
        <stp/>
        <stp>IO2004-C-4650.CFE</stp>
        <stp>Bid_Price1</stp>
        <tr r="H35" s="3"/>
      </tp>
      <tp>
        <v>0</v>
        <stp/>
        <stp>IO2103-C-3400.CFE</stp>
        <stp>Ask_Price1</stp>
        <tr r="J125" s="3"/>
      </tp>
      <tp>
        <v>4.8</v>
        <stp/>
        <stp>IO2004-C-4400.CFE</stp>
        <stp>Ask_Price1</stp>
        <tr r="J30" s="3"/>
      </tp>
      <tp>
        <v>4</v>
        <stp/>
        <stp>IO2004-C-4450.CFE</stp>
        <stp>Ask_Price1</stp>
        <tr r="J31" s="3"/>
      </tp>
      <tp>
        <v>0</v>
        <stp/>
        <stp>IO2103-P-3700.CFE</stp>
        <stp>Bid_Price1</stp>
        <tr r="AH128" s="3"/>
      </tp>
      <tp>
        <v>0</v>
        <stp/>
        <stp>IO2004-P-4400.CFE</stp>
        <stp>Ask_Price1</stp>
        <tr r="AJ30" s="3"/>
      </tp>
      <tp>
        <v>0</v>
        <stp/>
        <stp>IO2103-P-3400.CFE</stp>
        <stp>Ask_Price1</stp>
        <tr r="AJ125" s="3"/>
      </tp>
      <tp>
        <v>0</v>
        <stp/>
        <stp>IO2004-P-4450.CFE</stp>
        <stp>Ask_Price1</stp>
        <tr r="AJ31" s="3"/>
      </tp>
      <tp>
        <v>5</v>
        <stp/>
        <stp>IO2103-C-3700.CFE</stp>
        <stp>Bid_Price1</stp>
        <tr r="H128" s="3"/>
      </tp>
      <tp>
        <v>480</v>
        <stp/>
        <stp>IO2103-C-3700.CFE</stp>
        <stp>Ask_Price1</stp>
        <tr r="J128" s="3"/>
      </tp>
      <tp>
        <v>0</v>
        <stp/>
        <stp>IO2004-P-4400.CFE</stp>
        <stp>Bid_Price1</stp>
        <tr r="AH30" s="3"/>
      </tp>
      <tp>
        <v>0</v>
        <stp/>
        <stp>IO2103-P-3400.CFE</stp>
        <stp>Bid_Price1</stp>
        <tr r="AH125" s="3"/>
      </tp>
      <tp>
        <v>0</v>
        <stp/>
        <stp>IO2004-P-4450.CFE</stp>
        <stp>Bid_Price1</stp>
        <tr r="AH31" s="3"/>
      </tp>
      <tp>
        <v>0</v>
        <stp/>
        <stp>IO2103-P-3700.CFE</stp>
        <stp>Ask_Price1</stp>
        <tr r="AJ128" s="3"/>
      </tp>
      <tp>
        <v>466</v>
        <stp/>
        <stp>IO2103-C-3400.CFE</stp>
        <stp>Bid_Price1</stp>
        <tr r="H125" s="3"/>
      </tp>
      <tp>
        <v>4.2</v>
        <stp/>
        <stp>IO2004-C-4400.CFE</stp>
        <stp>Bid_Price1</stp>
        <tr r="H30" s="3"/>
      </tp>
      <tp>
        <v>1</v>
        <stp/>
        <stp>IO2004-C-4450.CFE</stp>
        <stp>Bid_Price1</stp>
        <tr r="H31" s="3"/>
      </tp>
      <tp>
        <v>0</v>
        <stp/>
        <stp>IO2103-C-3600.CFE</stp>
        <stp>Ask_Price1</stp>
        <tr r="J127" s="3"/>
      </tp>
      <tp>
        <v>2.2000000000000002</v>
        <stp/>
        <stp>IO2004-C-4600.CFE</stp>
        <stp>Ask_Price1</stp>
        <tr r="J34" s="3"/>
      </tp>
      <tp>
        <v>1.8</v>
        <stp/>
        <stp>IO2004-C-4650.CFE</stp>
        <stp>Ask_Price1</stp>
        <tr r="J35" s="3"/>
      </tp>
      <tp>
        <v>0</v>
        <stp/>
        <stp>IO2004-P-4500.CFE</stp>
        <stp>Bid_Price1</stp>
        <tr r="AH32" s="3"/>
      </tp>
      <tp>
        <v>0</v>
        <stp/>
        <stp>IO2103-P-3500.CFE</stp>
        <stp>Bid_Price1</stp>
        <tr r="AH126" s="3"/>
      </tp>
      <tp>
        <v>0</v>
        <stp/>
        <stp>IO2004-P-4550.CFE</stp>
        <stp>Bid_Price1</stp>
        <tr r="AH33" s="3"/>
      </tp>
      <tp>
        <v>0</v>
        <stp/>
        <stp>IO2004-P-4600.CFE</stp>
        <stp>Ask_Price1</stp>
        <tr r="AJ34" s="3"/>
      </tp>
      <tp>
        <v>0</v>
        <stp/>
        <stp>IO2103-P-3600.CFE</stp>
        <stp>Ask_Price1</stp>
        <tr r="AJ127" s="3"/>
      </tp>
      <tp>
        <v>0</v>
        <stp/>
        <stp>IO2004-P-4650.CFE</stp>
        <stp>Ask_Price1</stp>
        <tr r="AJ35" s="3"/>
      </tp>
      <tp>
        <v>0</v>
        <stp/>
        <stp>IO2103-C-3500.CFE</stp>
        <stp>Bid_Price1</stp>
        <tr r="H126" s="3"/>
      </tp>
      <tp>
        <v>3</v>
        <stp/>
        <stp>IO2004-C-4500.CFE</stp>
        <stp>Bid_Price1</stp>
        <tr r="H32" s="3"/>
      </tp>
      <tp>
        <v>2.2000000000000002</v>
        <stp/>
        <stp>IO2004-C-4550.CFE</stp>
        <stp>Bid_Price1</stp>
        <tr r="H33" s="3"/>
      </tp>
      <tp>
        <v>0</v>
        <stp/>
        <stp>IO2103-C-3900.CFE</stp>
        <stp>Ask_Price1</stp>
        <tr r="J130" s="3"/>
      </tp>
      <tp>
        <v>0</v>
        <stp/>
        <stp>IO2103-P-3900.CFE</stp>
        <stp>Ask_Price1</stp>
        <tr r="AJ130" s="3"/>
      </tp>
      <tp>
        <v>0</v>
        <stp/>
        <stp>IO2103-C-3800.CFE</stp>
        <stp>Ask_Price1</stp>
        <tr r="J129" s="3"/>
      </tp>
      <tp>
        <v>0</v>
        <stp/>
        <stp>IO2103-P-3800.CFE</stp>
        <stp>Ask_Price1</stp>
        <tr r="AJ129" s="3"/>
      </tp>
      <tp>
        <v>0</v>
        <stp/>
        <stp>IO2103-P-3800.CFE</stp>
        <stp>Bid_Price1</stp>
        <tr r="AH129" s="3"/>
      </tp>
      <tp>
        <v>2.2000000000000002</v>
        <stp/>
        <stp>IO2103-C-3800.CFE</stp>
        <stp>Bid_Price1</stp>
        <tr r="H129" s="3"/>
      </tp>
      <tp>
        <v>0</v>
        <stp/>
        <stp>IO2103-P-3900.CFE</stp>
        <stp>Bid_Price1</stp>
        <tr r="AH130" s="3"/>
      </tp>
      <tp>
        <v>2.2000000000000002</v>
        <stp/>
        <stp>IO2103-C-3900.CFE</stp>
        <stp>Bid_Price1</stp>
        <tr r="H130" s="3"/>
      </tp>
      <tp>
        <v>64.8</v>
        <stp/>
        <stp>IO2005-C-4100.CFE</stp>
        <stp>Ask_Price1</stp>
        <tr r="J54" s="3"/>
      </tp>
      <tp>
        <v>50</v>
        <stp/>
        <stp>IO2005-C-4150.CFE</stp>
        <stp>Ask_Price1</stp>
        <tr r="J55" s="3"/>
      </tp>
      <tp>
        <v>234.6</v>
        <stp/>
        <stp>IO2005-P-4200.CFE</stp>
        <stp>Bid_Price1</stp>
        <tr r="AH56" s="3"/>
      </tp>
      <tp>
        <v>0</v>
        <stp/>
        <stp>IO2012-P-3200.CFE</stp>
        <stp>Bid_Price1</stp>
        <tr r="AH107" s="3"/>
      </tp>
      <tp>
        <v>288.8</v>
        <stp/>
        <stp>IO2005-P-4250.CFE</stp>
        <stp>Bid_Price1</stp>
        <tr r="AH57" s="3"/>
      </tp>
      <tp>
        <v>0</v>
        <stp/>
        <stp>IO2005-P-4100.CFE</stp>
        <stp>Ask_Price1</stp>
        <tr r="AJ54" s="3"/>
      </tp>
      <tp>
        <v>0</v>
        <stp/>
        <stp>IO2005-P-4150.CFE</stp>
        <stp>Ask_Price1</stp>
        <tr r="AJ55" s="3"/>
      </tp>
      <tp>
        <v>36.6</v>
        <stp/>
        <stp>IO2005-C-4200.CFE</stp>
        <stp>Bid_Price1</stp>
        <tr r="H56" s="3"/>
      </tp>
      <tp>
        <v>240</v>
        <stp/>
        <stp>IO2012-C-3200.CFE</stp>
        <stp>Bid_Price1</stp>
        <tr r="H107" s="3"/>
      </tp>
      <tp>
        <v>6</v>
        <stp/>
        <stp>IO2005-C-4250.CFE</stp>
        <stp>Bid_Price1</stp>
        <tr r="H57" s="3"/>
      </tp>
      <tp>
        <v>77.8</v>
        <stp/>
        <stp>IO2005-C-4000.CFE</stp>
        <stp>Ask_Price1</stp>
        <tr r="J52" s="3"/>
      </tp>
      <tp>
        <v>73</v>
        <stp/>
        <stp>IO2005-C-4050.CFE</stp>
        <stp>Ask_Price1</stp>
        <tr r="J53" s="3"/>
      </tp>
      <tp>
        <v>333.40000000000003</v>
        <stp/>
        <stp>IO2005-P-4300.CFE</stp>
        <stp>Bid_Price1</stp>
        <tr r="AH58" s="3"/>
      </tp>
      <tp>
        <v>180</v>
        <stp/>
        <stp>IO2012-P-3300.CFE</stp>
        <stp>Bid_Price1</stp>
        <tr r="AH108" s="3"/>
      </tp>
      <tp>
        <v>388.8</v>
        <stp/>
        <stp>IO2005-P-4350.CFE</stp>
        <stp>Bid_Price1</stp>
        <tr r="AH59" s="3"/>
      </tp>
      <tp>
        <v>588.80000000000007</v>
        <stp/>
        <stp>IO2005-P-4000.CFE</stp>
        <stp>Ask_Price1</stp>
        <tr r="AJ52" s="3"/>
      </tp>
      <tp>
        <v>0</v>
        <stp/>
        <stp>IO2005-P-4050.CFE</stp>
        <stp>Ask_Price1</stp>
        <tr r="AJ53" s="3"/>
      </tp>
      <tp>
        <v>16.8</v>
        <stp/>
        <stp>IO2005-C-4300.CFE</stp>
        <stp>Bid_Price1</stp>
        <tr r="H58" s="3"/>
      </tp>
      <tp>
        <v>0</v>
        <stp/>
        <stp>IO2012-C-3300.CFE</stp>
        <stp>Bid_Price1</stp>
        <tr r="H108" s="3"/>
      </tp>
      <tp>
        <v>15</v>
        <stp/>
        <stp>IO2005-C-4350.CFE</stp>
        <stp>Bid_Price1</stp>
        <tr r="H59" s="3"/>
      </tp>
      <tp>
        <v>0</v>
        <stp/>
        <stp>IO2012-C-3300.CFE</stp>
        <stp>Ask_Price1</stp>
        <tr r="J108" s="3"/>
      </tp>
      <tp>
        <v>35</v>
        <stp/>
        <stp>IO2005-C-4300.CFE</stp>
        <stp>Ask_Price1</stp>
        <tr r="J58" s="3"/>
      </tp>
      <tp>
        <v>0</v>
        <stp/>
        <stp>IO2005-C-4350.CFE</stp>
        <stp>Ask_Price1</stp>
        <tr r="J59" s="3"/>
      </tp>
      <tp>
        <v>218.8</v>
        <stp/>
        <stp>IO2005-P-4000.CFE</stp>
        <stp>Bid_Price1</stp>
        <tr r="AH52" s="3"/>
      </tp>
      <tp>
        <v>123.4</v>
        <stp/>
        <stp>IO2005-P-4050.CFE</stp>
        <stp>Bid_Price1</stp>
        <tr r="AH53" s="3"/>
      </tp>
      <tp>
        <v>499</v>
        <stp/>
        <stp>IO2012-P-3300.CFE</stp>
        <stp>Ask_Price1</stp>
        <tr r="AJ108" s="3"/>
      </tp>
      <tp>
        <v>0</v>
        <stp/>
        <stp>IO2005-P-4300.CFE</stp>
        <stp>Ask_Price1</stp>
        <tr r="AJ58" s="3"/>
      </tp>
      <tp>
        <v>0</v>
        <stp/>
        <stp>IO2005-P-4350.CFE</stp>
        <stp>Ask_Price1</stp>
        <tr r="AJ59" s="3"/>
      </tp>
      <tp>
        <v>72.600000000000009</v>
        <stp/>
        <stp>IO2005-C-4000.CFE</stp>
        <stp>Bid_Price1</stp>
        <tr r="H52" s="3"/>
      </tp>
      <tp>
        <v>58.6</v>
        <stp/>
        <stp>IO2005-C-4050.CFE</stp>
        <stp>Bid_Price1</stp>
        <tr r="H53" s="3"/>
      </tp>
      <tp>
        <v>0</v>
        <stp/>
        <stp>IO2012-C-3200.CFE</stp>
        <stp>Ask_Price1</stp>
        <tr r="J107" s="3"/>
      </tp>
      <tp>
        <v>50.6</v>
        <stp/>
        <stp>IO2005-C-4200.CFE</stp>
        <stp>Ask_Price1</stp>
        <tr r="J56" s="3"/>
      </tp>
      <tp>
        <v>35.4</v>
        <stp/>
        <stp>IO2005-C-4250.CFE</stp>
        <stp>Ask_Price1</stp>
        <tr r="J57" s="3"/>
      </tp>
      <tp>
        <v>156.80000000000001</v>
        <stp/>
        <stp>IO2005-P-4100.CFE</stp>
        <stp>Bid_Price1</stp>
        <tr r="AH54" s="3"/>
      </tp>
      <tp>
        <v>201.4</v>
        <stp/>
        <stp>IO2005-P-4150.CFE</stp>
        <stp>Bid_Price1</stp>
        <tr r="AH55" s="3"/>
      </tp>
      <tp>
        <v>0</v>
        <stp/>
        <stp>IO2012-P-3200.CFE</stp>
        <stp>Ask_Price1</stp>
        <tr r="AJ107" s="3"/>
      </tp>
      <tp>
        <v>0</v>
        <stp/>
        <stp>IO2005-P-4200.CFE</stp>
        <stp>Ask_Price1</stp>
        <tr r="AJ56" s="3"/>
      </tp>
      <tp>
        <v>0</v>
        <stp/>
        <stp>IO2005-P-4250.CFE</stp>
        <stp>Ask_Price1</stp>
        <tr r="AJ57" s="3"/>
      </tp>
      <tp>
        <v>50.6</v>
        <stp/>
        <stp>IO2005-C-4100.CFE</stp>
        <stp>Bid_Price1</stp>
        <tr r="H54" s="3"/>
      </tp>
      <tp>
        <v>40.6</v>
        <stp/>
        <stp>IO2005-C-4150.CFE</stp>
        <stp>Bid_Price1</stp>
        <tr r="H55" s="3"/>
      </tp>
      <tp>
        <v>0</v>
        <stp/>
        <stp>IO2012-C-3500.CFE</stp>
        <stp>Ask_Price1</stp>
        <tr r="J110" s="3"/>
      </tp>
      <tp>
        <v>15.8</v>
        <stp/>
        <stp>IO2005-C-4500.CFE</stp>
        <stp>Ask_Price1</stp>
        <tr r="J62" s="3"/>
      </tp>
      <tp>
        <v>26.6</v>
        <stp/>
        <stp>IO2005-C-4550.CFE</stp>
        <stp>Ask_Price1</stp>
        <tr r="J63" s="3"/>
      </tp>
      <tp>
        <v>0</v>
        <stp/>
        <stp>IO2005-P-4600.CFE</stp>
        <stp>Bid_Price1</stp>
        <tr r="AH64" s="3"/>
      </tp>
      <tp>
        <v>99</v>
        <stp/>
        <stp>IO2012-P-3600.CFE</stp>
        <stp>Bid_Price1</stp>
        <tr r="AH111" s="3"/>
      </tp>
      <tp>
        <v>0</v>
        <stp/>
        <stp>IO2005-P-4650.CFE</stp>
        <stp>Bid_Price1</stp>
        <tr r="AH65" s="3"/>
      </tp>
      <tp>
        <v>0</v>
        <stp/>
        <stp>IO2012-P-3500.CFE</stp>
        <stp>Ask_Price1</stp>
        <tr r="AJ110" s="3"/>
      </tp>
      <tp>
        <v>0</v>
        <stp/>
        <stp>IO2005-P-4500.CFE</stp>
        <stp>Ask_Price1</stp>
        <tr r="AJ62" s="3"/>
      </tp>
      <tp>
        <v>0</v>
        <stp/>
        <stp>IO2005-P-4550.CFE</stp>
        <stp>Ask_Price1</stp>
        <tr r="AJ63" s="3"/>
      </tp>
      <tp>
        <v>2</v>
        <stp/>
        <stp>IO2005-C-4600.CFE</stp>
        <stp>Bid_Price1</stp>
        <tr r="H64" s="3"/>
      </tp>
      <tp>
        <v>2</v>
        <stp/>
        <stp>IO2012-C-3600.CFE</stp>
        <stp>Bid_Price1</stp>
        <tr r="H111" s="3"/>
      </tp>
      <tp>
        <v>9</v>
        <stp/>
        <stp>IO2005-C-4650.CFE</stp>
        <stp>Bid_Price1</stp>
        <tr r="H65" s="3"/>
      </tp>
      <tp>
        <v>0</v>
        <stp/>
        <stp>IO2012-C-3400.CFE</stp>
        <stp>Ask_Price1</stp>
        <tr r="J109" s="3"/>
      </tp>
      <tp>
        <v>22</v>
        <stp/>
        <stp>IO2005-C-4400.CFE</stp>
        <stp>Ask_Price1</stp>
        <tr r="J60" s="3"/>
      </tp>
      <tp>
        <v>0</v>
        <stp/>
        <stp>IO2005-C-4450.CFE</stp>
        <stp>Ask_Price1</stp>
        <tr r="J61" s="3"/>
      </tp>
      <tp>
        <v>0</v>
        <stp/>
        <stp>IO2012-P-3700.CFE</stp>
        <stp>Bid_Price1</stp>
        <tr r="AH112" s="3"/>
      </tp>
      <tp>
        <v>0</v>
        <stp/>
        <stp>IO2012-P-3400.CFE</stp>
        <stp>Ask_Price1</stp>
        <tr r="AJ109" s="3"/>
      </tp>
      <tp>
        <v>0</v>
        <stp/>
        <stp>IO2005-P-4400.CFE</stp>
        <stp>Ask_Price1</stp>
        <tr r="AJ60" s="3"/>
      </tp>
      <tp>
        <v>0</v>
        <stp/>
        <stp>IO2005-P-4450.CFE</stp>
        <stp>Ask_Price1</stp>
        <tr r="AJ61" s="3"/>
      </tp>
      <tp>
        <v>2</v>
        <stp/>
        <stp>IO2012-C-3700.CFE</stp>
        <stp>Bid_Price1</stp>
        <tr r="H112" s="3"/>
      </tp>
      <tp>
        <v>355</v>
        <stp/>
        <stp>IO2012-C-3700.CFE</stp>
        <stp>Ask_Price1</stp>
        <tr r="J112" s="3"/>
      </tp>
      <tp>
        <v>432.40000000000003</v>
        <stp/>
        <stp>IO2005-P-4400.CFE</stp>
        <stp>Bid_Price1</stp>
        <tr r="AH60" s="3"/>
      </tp>
      <tp>
        <v>66</v>
        <stp/>
        <stp>IO2012-P-3400.CFE</stp>
        <stp>Bid_Price1</stp>
        <tr r="AH109" s="3"/>
      </tp>
      <tp>
        <v>477.8</v>
        <stp/>
        <stp>IO2005-P-4450.CFE</stp>
        <stp>Bid_Price1</stp>
        <tr r="AH61" s="3"/>
      </tp>
      <tp>
        <v>0</v>
        <stp/>
        <stp>IO2012-P-3700.CFE</stp>
        <stp>Ask_Price1</stp>
        <tr r="AJ112" s="3"/>
      </tp>
      <tp>
        <v>10</v>
        <stp/>
        <stp>IO2005-C-4400.CFE</stp>
        <stp>Bid_Price1</stp>
        <tr r="H60" s="3"/>
      </tp>
      <tp>
        <v>0</v>
        <stp/>
        <stp>IO2012-C-3400.CFE</stp>
        <stp>Bid_Price1</stp>
        <tr r="H109" s="3"/>
      </tp>
      <tp>
        <v>15.4</v>
        <stp/>
        <stp>IO2005-C-4450.CFE</stp>
        <stp>Bid_Price1</stp>
        <tr r="H61" s="3"/>
      </tp>
      <tp>
        <v>0</v>
        <stp/>
        <stp>IO2012-C-3600.CFE</stp>
        <stp>Ask_Price1</stp>
        <tr r="J111" s="3"/>
      </tp>
      <tp>
        <v>12.200000000000001</v>
        <stp/>
        <stp>IO2005-C-4600.CFE</stp>
        <stp>Ask_Price1</stp>
        <tr r="J64" s="3"/>
      </tp>
      <tp>
        <v>11.200000000000001</v>
        <stp/>
        <stp>IO2005-C-4650.CFE</stp>
        <stp>Ask_Price1</stp>
        <tr r="J65" s="3"/>
      </tp>
      <tp>
        <v>523.4</v>
        <stp/>
        <stp>IO2005-P-4500.CFE</stp>
        <stp>Bid_Price1</stp>
        <tr r="AH62" s="3"/>
      </tp>
      <tp>
        <v>156</v>
        <stp/>
        <stp>IO2012-P-3500.CFE</stp>
        <stp>Bid_Price1</stp>
        <tr r="AH110" s="3"/>
      </tp>
      <tp>
        <v>600.20000000000005</v>
        <stp/>
        <stp>IO2005-P-4550.CFE</stp>
        <stp>Bid_Price1</stp>
        <tr r="AH63" s="3"/>
      </tp>
      <tp>
        <v>0</v>
        <stp/>
        <stp>IO2012-P-3600.CFE</stp>
        <stp>Ask_Price1</stp>
        <tr r="AJ111" s="3"/>
      </tp>
      <tp>
        <v>0</v>
        <stp/>
        <stp>IO2005-P-4600.CFE</stp>
        <stp>Ask_Price1</stp>
        <tr r="AJ64" s="3"/>
      </tp>
      <tp>
        <v>0</v>
        <stp/>
        <stp>IO2005-P-4650.CFE</stp>
        <stp>Ask_Price1</stp>
        <tr r="AJ65" s="3"/>
      </tp>
      <tp>
        <v>3</v>
        <stp/>
        <stp>IO2005-C-4500.CFE</stp>
        <stp>Bid_Price1</stp>
        <tr r="H62" s="3"/>
      </tp>
      <tp>
        <v>0</v>
        <stp/>
        <stp>IO2012-C-3500.CFE</stp>
        <stp>Bid_Price1</stp>
        <tr r="H110" s="3"/>
      </tp>
      <tp>
        <v>2</v>
        <stp/>
        <stp>IO2005-C-4550.CFE</stp>
        <stp>Bid_Price1</stp>
        <tr r="H63" s="3"/>
      </tp>
      <tp>
        <v>308</v>
        <stp/>
        <stp>IO2012-C-3900.CFE</stp>
        <stp>Ask_Price1</stp>
        <tr r="J114" s="3"/>
      </tp>
      <tp>
        <v>0</v>
        <stp/>
        <stp>IO2012-P-3900.CFE</stp>
        <stp>Ask_Price1</stp>
        <tr r="AJ114" s="3"/>
      </tp>
      <tp>
        <v>0</v>
        <stp/>
        <stp>IO2012-C-3800.CFE</stp>
        <stp>Ask_Price1</stp>
        <tr r="J113" s="3"/>
      </tp>
      <tp>
        <v>0</v>
        <stp/>
        <stp>IO2012-P-3800.CFE</stp>
        <stp>Ask_Price1</stp>
        <tr r="AJ113" s="3"/>
      </tp>
      <tp>
        <v>0</v>
        <stp/>
        <stp>IO2012-P-3800.CFE</stp>
        <stp>Bid_Price1</stp>
        <tr r="AH113" s="3"/>
      </tp>
      <tp>
        <v>5</v>
        <stp/>
        <stp>IO2012-C-3800.CFE</stp>
        <stp>Bid_Price1</stp>
        <tr r="H113" s="3"/>
      </tp>
      <tp>
        <v>200.20000000000002</v>
        <stp/>
        <stp>IO2012-P-3900.CFE</stp>
        <stp>Bid_Price1</stp>
        <tr r="AH114" s="3"/>
      </tp>
      <tp>
        <v>5</v>
        <stp/>
        <stp>IO2012-C-3900.CFE</stp>
        <stp>Bid_Price1</stp>
        <tr r="H114" s="3"/>
      </tp>
      <tp>
        <v>3757.1</v>
        <stp/>
        <stp>000300.SH</stp>
        <stp>LastPrice</stp>
        <tr r="F2" s="3"/>
        <tr r="AF2" s="3"/>
        <tr r="F2" s="1"/>
      </tp>
      <tp>
        <v>100</v>
        <stp/>
        <stp>IO2006-C-4100.CFE</stp>
        <stp>Ask_Price1</stp>
        <tr r="J84" s="3"/>
      </tp>
      <tp>
        <v>0</v>
        <stp/>
        <stp>IO2006-P-4200.CFE</stp>
        <stp>Bid_Price1</stp>
        <tr r="AH85" s="3"/>
      </tp>
      <tp>
        <v>0</v>
        <stp/>
        <stp>IO2006-P-4100.CFE</stp>
        <stp>Ask_Price1</stp>
        <tr r="AJ84" s="3"/>
      </tp>
      <tp>
        <v>12</v>
        <stp/>
        <stp>IO2006-C-4200.CFE</stp>
        <stp>Bid_Price1</stp>
        <tr r="H85" s="3"/>
      </tp>
      <tp>
        <v>115</v>
        <stp/>
        <stp>IO2006-C-4000.CFE</stp>
        <stp>Ask_Price1</stp>
        <tr r="J82" s="3"/>
      </tp>
      <tp>
        <v>0</v>
        <stp/>
        <stp>IO2006-C-4050.CFE</stp>
        <stp>Ask_Price1</stp>
        <tr r="J83" s="3"/>
      </tp>
      <tp>
        <v>0</v>
        <stp/>
        <stp>IO2006-P-4300.CFE</stp>
        <stp>Bid_Price1</stp>
        <tr r="AH86" s="3"/>
      </tp>
      <tp>
        <v>0</v>
        <stp/>
        <stp>IO2006-P-4000.CFE</stp>
        <stp>Ask_Price1</stp>
        <tr r="AJ82" s="3"/>
      </tp>
      <tp>
        <v>0</v>
        <stp/>
        <stp>IO2006-P-4050.CFE</stp>
        <stp>Ask_Price1</stp>
        <tr r="AJ83" s="3"/>
      </tp>
      <tp>
        <v>45</v>
        <stp/>
        <stp>IO2006-C-4300.CFE</stp>
        <stp>Bid_Price1</stp>
        <tr r="H86" s="3"/>
      </tp>
      <tp>
        <v>65</v>
        <stp/>
        <stp>IO2006-C-4300.CFE</stp>
        <stp>Ask_Price1</stp>
        <tr r="J86" s="3"/>
      </tp>
      <tp>
        <v>101</v>
        <stp/>
        <stp>IO2006-P-4000.CFE</stp>
        <stp>Bid_Price1</stp>
        <tr r="AH82" s="3"/>
      </tp>
      <tp>
        <v>0</v>
        <stp/>
        <stp>IO2006-P-4050.CFE</stp>
        <stp>Bid_Price1</stp>
        <tr r="AH83" s="3"/>
      </tp>
      <tp>
        <v>0</v>
        <stp/>
        <stp>IO2006-P-4300.CFE</stp>
        <stp>Ask_Price1</stp>
        <tr r="AJ86" s="3"/>
      </tp>
      <tp>
        <v>86</v>
        <stp/>
        <stp>IO2006-C-4000.CFE</stp>
        <stp>Bid_Price1</stp>
        <tr r="H82" s="3"/>
      </tp>
      <tp>
        <v>16</v>
        <stp/>
        <stp>IO2006-C-4050.CFE</stp>
        <stp>Bid_Price1</stp>
        <tr r="H83" s="3"/>
      </tp>
      <tp>
        <v>85</v>
        <stp/>
        <stp>IO2006-C-4200.CFE</stp>
        <stp>Ask_Price1</stp>
        <tr r="J85" s="3"/>
      </tp>
      <tp>
        <v>0</v>
        <stp/>
        <stp>IO2006-P-4100.CFE</stp>
        <stp>Bid_Price1</stp>
        <tr r="AH84" s="3"/>
      </tp>
      <tp>
        <v>0</v>
        <stp/>
        <stp>IO2006-P-4200.CFE</stp>
        <stp>Ask_Price1</stp>
        <tr r="AJ85" s="3"/>
      </tp>
      <tp>
        <v>14</v>
        <stp/>
        <stp>IO2006-C-4100.CFE</stp>
        <stp>Bid_Price1</stp>
        <tr r="H84" s="3"/>
      </tp>
      <tp>
        <v>50</v>
        <stp/>
        <stp>IO2006-C-4500.CFE</stp>
        <stp>Ask_Price1</stp>
        <tr r="J88" s="3"/>
      </tp>
      <tp>
        <v>0</v>
        <stp/>
        <stp>IO2006-P-4600.CFE</stp>
        <stp>Bid_Price1</stp>
        <tr r="AH89" s="3"/>
      </tp>
      <tp>
        <v>0</v>
        <stp/>
        <stp>IO2006-P-4500.CFE</stp>
        <stp>Ask_Price1</stp>
        <tr r="AJ88" s="3"/>
      </tp>
      <tp>
        <v>26.2</v>
        <stp/>
        <stp>IO2006-C-4600.CFE</stp>
        <stp>Bid_Price1</stp>
        <tr r="H89" s="3"/>
      </tp>
      <tp>
        <v>59.800000000000004</v>
        <stp/>
        <stp>IO2006-C-4400.CFE</stp>
        <stp>Ask_Price1</stp>
        <tr r="J87" s="3"/>
      </tp>
      <tp>
        <v>0</v>
        <stp/>
        <stp>IO2006-P-4700.CFE</stp>
        <stp>Bid_Price1</stp>
        <tr r="AH90" s="3"/>
      </tp>
      <tp>
        <v>0</v>
        <stp/>
        <stp>IO2006-P-4400.CFE</stp>
        <stp>Ask_Price1</stp>
        <tr r="AJ87" s="3"/>
      </tp>
      <tp>
        <v>17.2</v>
        <stp/>
        <stp>IO2006-C-4700.CFE</stp>
        <stp>Bid_Price1</stp>
        <tr r="H90" s="3"/>
      </tp>
      <tp>
        <v>24.8</v>
        <stp/>
        <stp>IO2006-C-4700.CFE</stp>
        <stp>Ask_Price1</stp>
        <tr r="J90" s="3"/>
      </tp>
      <tp>
        <v>0</v>
        <stp/>
        <stp>IO2006-P-4400.CFE</stp>
        <stp>Bid_Price1</stp>
        <tr r="AH87" s="3"/>
      </tp>
      <tp>
        <v>1017</v>
        <stp/>
        <stp>IO2006-P-4700.CFE</stp>
        <stp>Ask_Price1</stp>
        <tr r="AJ90" s="3"/>
      </tp>
      <tp>
        <v>9</v>
        <stp/>
        <stp>IO2006-C-4400.CFE</stp>
        <stp>Bid_Price1</stp>
        <tr r="H87" s="3"/>
      </tp>
      <tp>
        <v>31.2</v>
        <stp/>
        <stp>IO2006-C-4600.CFE</stp>
        <stp>Ask_Price1</stp>
        <tr r="J89" s="3"/>
      </tp>
      <tp>
        <v>0</v>
        <stp/>
        <stp>IO2006-P-4500.CFE</stp>
        <stp>Bid_Price1</stp>
        <tr r="AH88" s="3"/>
      </tp>
      <tp>
        <v>925.6</v>
        <stp/>
        <stp>IO2006-P-4600.CFE</stp>
        <stp>Ask_Price1</stp>
        <tr r="AJ89" s="3"/>
      </tp>
      <tp>
        <v>7</v>
        <stp/>
        <stp>IO2006-C-4500.CFE</stp>
        <stp>Bid_Price1</stp>
        <tr r="H88" s="3"/>
      </tp>
      <tp>
        <v>5</v>
        <stp/>
        <stp>10002416.SH</stp>
        <stp>Bid_Volume1</stp>
        <tr r="AI48" s="1"/>
      </tp>
      <tp>
        <v>2</v>
        <stp/>
        <stp>10002415.SH</stp>
        <stp>Bid_Volume1</stp>
        <tr r="I48" s="1"/>
      </tp>
      <tp>
        <v>25</v>
        <stp/>
        <stp>10002414.SH</stp>
        <stp>Bid_Volume1</stp>
        <tr r="AI32" s="1"/>
      </tp>
      <tp>
        <v>1</v>
        <stp/>
        <stp>10002413.SH</stp>
        <stp>Bid_Volume1</stp>
        <tr r="I32" s="1"/>
      </tp>
      <tp>
        <v>34</v>
        <stp/>
        <stp>10002412.SH</stp>
        <stp>Bid_Volume1</stp>
        <tr r="AI7" s="1"/>
      </tp>
      <tp>
        <v>3</v>
        <stp/>
        <stp>10002411.SH</stp>
        <stp>Bid_Volume1</stp>
        <tr r="I7" s="1"/>
      </tp>
      <tp>
        <v>0</v>
        <stp/>
        <stp>10002429.SH</stp>
        <stp>Bid_Volume1</stp>
        <tr r="I31" s="1"/>
      </tp>
      <tp>
        <v>9</v>
        <stp/>
        <stp>10002428.SH</stp>
        <stp>Bid_Volume1</stp>
        <tr r="AI6" s="1"/>
      </tp>
      <tp>
        <v>30</v>
        <stp/>
        <stp>10002427.SH</stp>
        <stp>Bid_Volume1</stp>
        <tr r="I6" s="1"/>
      </tp>
      <tp>
        <v>2</v>
        <stp/>
        <stp>10002432.SH</stp>
        <stp>Bid_Volume1</stp>
        <tr r="AI47" s="1"/>
      </tp>
      <tp>
        <v>1</v>
        <stp/>
        <stp>10002431.SH</stp>
        <stp>Bid_Volume1</stp>
        <tr r="I47" s="1"/>
      </tp>
      <tp>
        <v>7</v>
        <stp/>
        <stp>10002430.SH</stp>
        <stp>Bid_Volume1</stp>
        <tr r="AI31" s="1"/>
      </tp>
      <tp>
        <v>9</v>
        <stp/>
        <stp>10002459.SH</stp>
        <stp>Bid_Volume1</stp>
        <tr r="I30" s="1"/>
      </tp>
      <tp>
        <v>29</v>
        <stp/>
        <stp>10002458.SH</stp>
        <stp>Bid_Volume1</stp>
        <tr r="I29" s="1"/>
      </tp>
      <tp>
        <v>7</v>
        <stp/>
        <stp>10002457.SH</stp>
        <stp>Bid_Volume1</stp>
        <tr r="I28" s="1"/>
      </tp>
      <tp>
        <v>2</v>
        <stp/>
        <stp>10002456.SH</stp>
        <stp>Bid_Volume1</stp>
        <tr r="I27" s="1"/>
      </tp>
      <tp>
        <v>5</v>
        <stp/>
        <stp>10002455.SH</stp>
        <stp>Bid_Volume1</stp>
        <tr r="I26" s="1"/>
      </tp>
      <tp>
        <v>5</v>
        <stp/>
        <stp>10002454.SH</stp>
        <stp>Bid_Volume1</stp>
        <tr r="I25" s="1"/>
      </tp>
      <tp>
        <v>1</v>
        <stp/>
        <stp>10002453.SH</stp>
        <stp>Bid_Volume1</stp>
        <tr r="I24" s="1"/>
      </tp>
      <tp>
        <v>1</v>
        <stp/>
        <stp>10002452.SH</stp>
        <stp>Bid_Volume1</stp>
        <tr r="I23" s="1"/>
      </tp>
      <tp>
        <v>1</v>
        <stp/>
        <stp>10002451.SH</stp>
        <stp>Bid_Volume1</stp>
        <tr r="I22" s="1"/>
      </tp>
      <tp>
        <v>1</v>
        <stp/>
        <stp>10002468.SH</stp>
        <stp>Bid_Volume1</stp>
        <tr r="AI30" s="1"/>
      </tp>
      <tp>
        <v>34</v>
        <stp/>
        <stp>10002467.SH</stp>
        <stp>Bid_Volume1</stp>
        <tr r="AI29" s="1"/>
      </tp>
      <tp>
        <v>9</v>
        <stp/>
        <stp>10002466.SH</stp>
        <stp>Bid_Volume1</stp>
        <tr r="AI28" s="1"/>
      </tp>
      <tp>
        <v>35</v>
        <stp/>
        <stp>10002465.SH</stp>
        <stp>Bid_Volume1</stp>
        <tr r="AI27" s="1"/>
      </tp>
      <tp>
        <v>34</v>
        <stp/>
        <stp>10002464.SH</stp>
        <stp>Bid_Volume1</stp>
        <tr r="AI26" s="1"/>
      </tp>
      <tp>
        <v>5</v>
        <stp/>
        <stp>10002463.SH</stp>
        <stp>Bid_Volume1</stp>
        <tr r="AI25" s="1"/>
      </tp>
      <tp>
        <v>7</v>
        <stp/>
        <stp>10002462.SH</stp>
        <stp>Bid_Volume1</stp>
        <tr r="AI24" s="1"/>
      </tp>
      <tp>
        <v>1</v>
        <stp/>
        <stp>10002461.SH</stp>
        <stp>Bid_Volume1</stp>
        <tr r="AI23" s="1"/>
      </tp>
      <tp>
        <v>28</v>
        <stp/>
        <stp>10002460.SH</stp>
        <stp>Bid_Volume1</stp>
        <tr r="AI22" s="1"/>
      </tp>
      <tp>
        <v>1</v>
        <stp/>
        <stp>10002389.SH</stp>
        <stp>Bid_Volume1</stp>
        <tr r="I8" s="1"/>
      </tp>
      <tp>
        <v>1</v>
        <stp/>
        <stp>10002384.SH</stp>
        <stp>Bid_Volume1</stp>
        <tr r="AI62" s="1"/>
      </tp>
      <tp>
        <v>6</v>
        <stp/>
        <stp>10002383.SH</stp>
        <stp>Bid_Volume1</stp>
        <tr r="I62" s="1"/>
      </tp>
      <tp>
        <v>10</v>
        <stp/>
        <stp>10002382.SH</stp>
        <stp>Bid_Volume1</stp>
        <tr r="AI21" s="1"/>
      </tp>
      <tp>
        <v>60</v>
        <stp/>
        <stp>10002381.SH</stp>
        <stp>Bid_Volume1</stp>
        <tr r="I21" s="1"/>
      </tp>
      <tp>
        <v>54</v>
        <stp/>
        <stp>10002392.SH</stp>
        <stp>Bid_Volume1</stp>
        <tr r="AI9" s="1"/>
      </tp>
      <tp>
        <v>19</v>
        <stp/>
        <stp>10002391.SH</stp>
        <stp>Bid_Volume1</stp>
        <tr r="AI8" s="1"/>
      </tp>
      <tp>
        <v>5</v>
        <stp/>
        <stp>10002390.SH</stp>
        <stp>Bid_Volume1</stp>
        <tr r="I9" s="1"/>
      </tp>
      <tp>
        <v>10</v>
        <stp/>
        <stp>10002329.SH</stp>
        <stp>Bid_Volume1</stp>
        <tr r="I51" s="1"/>
      </tp>
      <tp>
        <v>1</v>
        <stp/>
        <stp>10002328.SH</stp>
        <stp>Bid_Volume1</stp>
        <tr r="I50" s="1"/>
      </tp>
      <tp>
        <v>1</v>
        <stp/>
        <stp>10002327.SH</stp>
        <stp>Bid_Volume1</stp>
        <tr r="I49" s="1"/>
      </tp>
      <tp>
        <v>3</v>
        <stp/>
        <stp>10002326.SH</stp>
        <stp>Bid_Volume1</stp>
        <tr r="AI35" s="1"/>
      </tp>
      <tp>
        <v>4</v>
        <stp/>
        <stp>10002325.SH</stp>
        <stp>Bid_Volume1</stp>
        <tr r="AI34" s="1"/>
      </tp>
      <tp>
        <v>2</v>
        <stp/>
        <stp>10002324.SH</stp>
        <stp>Bid_Volume1</stp>
        <tr r="AI33" s="1"/>
      </tp>
      <tp>
        <v>13</v>
        <stp/>
        <stp>10002323.SH</stp>
        <stp>Bid_Volume1</stp>
        <tr r="I35" s="1"/>
      </tp>
      <tp>
        <v>3</v>
        <stp/>
        <stp>10002322.SH</stp>
        <stp>Bid_Volume1</stp>
        <tr r="I34" s="1"/>
      </tp>
      <tp>
        <v>3</v>
        <stp/>
        <stp>10002321.SH</stp>
        <stp>Bid_Volume1</stp>
        <tr r="I33" s="1"/>
      </tp>
      <tp>
        <v>1</v>
        <stp/>
        <stp>10002332.SH</stp>
        <stp>Bid_Volume1</stp>
        <tr r="AI51" s="1"/>
      </tp>
      <tp>
        <v>1</v>
        <stp/>
        <stp>10002331.SH</stp>
        <stp>Bid_Volume1</stp>
        <tr r="AI50" s="1"/>
      </tp>
      <tp>
        <v>40</v>
        <stp/>
        <stp>10002330.SH</stp>
        <stp>Bid_Volume1</stp>
        <tr r="AI49" s="1"/>
      </tp>
      <tp>
        <v>819</v>
        <stp/>
        <stp>10002359.SH</stp>
        <stp>Bid_Volume1</stp>
        <tr r="I20" s="1"/>
      </tp>
      <tp>
        <v>220</v>
        <stp/>
        <stp>10002358.SH</stp>
        <stp>Bid_Volume1</stp>
        <tr r="I19" s="1"/>
      </tp>
      <tp>
        <v>175</v>
        <stp/>
        <stp>10002357.SH</stp>
        <stp>Bid_Volume1</stp>
        <tr r="I18" s="1"/>
      </tp>
      <tp>
        <v>149</v>
        <stp/>
        <stp>10002356.SH</stp>
        <stp>Bid_Volume1</stp>
        <tr r="I17" s="1"/>
      </tp>
      <tp>
        <v>20</v>
        <stp/>
        <stp>10002355.SH</stp>
        <stp>Bid_Volume1</stp>
        <tr r="I16" s="1"/>
      </tp>
      <tp>
        <v>12</v>
        <stp/>
        <stp>10002354.SH</stp>
        <stp>Bid_Volume1</stp>
        <tr r="I15" s="1"/>
      </tp>
      <tp>
        <v>105</v>
        <stp/>
        <stp>10002353.SH</stp>
        <stp>Bid_Volume1</stp>
        <tr r="I14" s="1"/>
      </tp>
      <tp>
        <v>2</v>
        <stp/>
        <stp>10002352.SH</stp>
        <stp>Bid_Volume1</stp>
        <tr r="I13" s="1"/>
      </tp>
      <tp>
        <v>29</v>
        <stp/>
        <stp>10002351.SH</stp>
        <stp>Bid_Volume1</stp>
        <tr r="I12" s="1"/>
      </tp>
      <tp>
        <v>10</v>
        <stp/>
        <stp>10002368.SH</stp>
        <stp>Bid_Volume1</stp>
        <tr r="AI20" s="1"/>
      </tp>
      <tp>
        <v>1</v>
        <stp/>
        <stp>10002367.SH</stp>
        <stp>Bid_Volume1</stp>
        <tr r="AI19" s="1"/>
      </tp>
      <tp>
        <v>2</v>
        <stp/>
        <stp>10002366.SH</stp>
        <stp>Bid_Volume1</stp>
        <tr r="AI18" s="1"/>
      </tp>
      <tp>
        <v>2</v>
        <stp/>
        <stp>10002365.SH</stp>
        <stp>Bid_Volume1</stp>
        <tr r="AI17" s="1"/>
      </tp>
      <tp>
        <v>2</v>
        <stp/>
        <stp>10002364.SH</stp>
        <stp>Bid_Volume1</stp>
        <tr r="AI16" s="1"/>
      </tp>
      <tp>
        <v>4</v>
        <stp/>
        <stp>10002363.SH</stp>
        <stp>Bid_Volume1</stp>
        <tr r="AI15" s="1"/>
      </tp>
      <tp>
        <v>30</v>
        <stp/>
        <stp>10002362.SH</stp>
        <stp>Bid_Volume1</stp>
        <tr r="AI14" s="1"/>
      </tp>
      <tp>
        <v>10</v>
        <stp/>
        <stp>10002361.SH</stp>
        <stp>Bid_Volume1</stp>
        <tr r="AI13" s="1"/>
      </tp>
      <tp>
        <v>11</v>
        <stp/>
        <stp>10002360.SH</stp>
        <stp>Bid_Volume1</stp>
        <tr r="AI12" s="1"/>
      </tp>
      <tp>
        <v>1</v>
        <stp/>
        <stp>10002376.SH</stp>
        <stp>Bid_Volume1</stp>
        <tr r="AI11" s="1"/>
      </tp>
      <tp>
        <v>1</v>
        <stp/>
        <stp>10002375.SH</stp>
        <stp>Bid_Volume1</stp>
        <tr r="AI10" s="1"/>
      </tp>
      <tp>
        <v>4</v>
        <stp/>
        <stp>10002374.SH</stp>
        <stp>Bid_Volume1</stp>
        <tr r="I11" s="1"/>
      </tp>
      <tp>
        <v>1</v>
        <stp/>
        <stp>10002373.SH</stp>
        <stp>Bid_Volume1</stp>
        <tr r="I10" s="1"/>
      </tp>
      <tp>
        <v>4</v>
        <stp/>
        <stp>10002229.SH</stp>
        <stp>Bid_Volume1</stp>
        <tr r="I46" s="1"/>
      </tp>
      <tp>
        <v>1</v>
        <stp/>
        <stp>10002222.SH</stp>
        <stp>Bid_Volume1</stp>
        <tr r="AI45" s="1"/>
      </tp>
      <tp>
        <v>30</v>
        <stp/>
        <stp>10002221.SH</stp>
        <stp>Bid_Volume1</stp>
        <tr r="I45" s="1"/>
      </tp>
      <tp>
        <v>3</v>
        <stp/>
        <stp>10002230.SH</stp>
        <stp>Bid_Volume1</stp>
        <tr r="AI46" s="1"/>
      </tp>
      <tp>
        <v>11</v>
        <stp/>
        <stp>10002249.SH</stp>
        <stp>Bid_Volume1</stp>
        <tr r="I53" s="1"/>
      </tp>
      <tp>
        <v>4</v>
        <stp/>
        <stp>10002259.SH</stp>
        <stp>Bid_Volume1</stp>
        <tr r="AI54" s="1"/>
      </tp>
      <tp>
        <v>5</v>
        <stp/>
        <stp>10002258.SH</stp>
        <stp>Bid_Volume1</stp>
        <tr r="AI53" s="1"/>
      </tp>
      <tp>
        <v>3</v>
        <stp/>
        <stp>10002257.SH</stp>
        <stp>Bid_Volume1</stp>
        <tr r="I61" s="1"/>
      </tp>
      <tp>
        <v>1</v>
        <stp/>
        <stp>10002256.SH</stp>
        <stp>Bid_Volume1</stp>
        <tr r="I60" s="1"/>
      </tp>
      <tp>
        <v>3</v>
        <stp/>
        <stp>10002255.SH</stp>
        <stp>Bid_Volume1</stp>
        <tr r="I59" s="1"/>
      </tp>
      <tp>
        <v>2</v>
        <stp/>
        <stp>10002254.SH</stp>
        <stp>Bid_Volume1</stp>
        <tr r="I58" s="1"/>
      </tp>
      <tp>
        <v>1</v>
        <stp/>
        <stp>10002253.SH</stp>
        <stp>Bid_Volume1</stp>
        <tr r="I57" s="1"/>
      </tp>
      <tp>
        <v>2</v>
        <stp/>
        <stp>10002252.SH</stp>
        <stp>Bid_Volume1</stp>
        <tr r="I56" s="1"/>
      </tp>
      <tp>
        <v>2</v>
        <stp/>
        <stp>10002251.SH</stp>
        <stp>Bid_Volume1</stp>
        <tr r="I55" s="1"/>
      </tp>
      <tp>
        <v>5</v>
        <stp/>
        <stp>10002250.SH</stp>
        <stp>Bid_Volume1</stp>
        <tr r="I54" s="1"/>
      </tp>
      <tp>
        <v>0</v>
        <stp/>
        <stp>10002266.SH</stp>
        <stp>Bid_Volume1</stp>
        <tr r="AI61" s="1"/>
      </tp>
      <tp>
        <v>1</v>
        <stp/>
        <stp>10002265.SH</stp>
        <stp>Bid_Volume1</stp>
        <tr r="AI60" s="1"/>
      </tp>
      <tp>
        <v>0</v>
        <stp/>
        <stp>10002264.SH</stp>
        <stp>Bid_Volume1</stp>
        <tr r="AI59" s="1"/>
      </tp>
      <tp>
        <v>0</v>
        <stp/>
        <stp>10002263.SH</stp>
        <stp>Bid_Volume1</stp>
        <tr r="AI58" s="1"/>
      </tp>
      <tp>
        <v>0</v>
        <stp/>
        <stp>10002262.SH</stp>
        <stp>Bid_Volume1</stp>
        <tr r="AI57" s="1"/>
      </tp>
      <tp>
        <v>1</v>
        <stp/>
        <stp>10002261.SH</stp>
        <stp>Bid_Volume1</stp>
        <tr r="AI56" s="1"/>
      </tp>
      <tp>
        <v>1</v>
        <stp/>
        <stp>10002260.SH</stp>
        <stp>Bid_Volume1</stp>
        <tr r="AI55" s="1"/>
      </tp>
      <tp>
        <v>1</v>
        <stp/>
        <stp>10002272.SH</stp>
        <stp>Bid_Volume1</stp>
        <tr r="AI52" s="1"/>
      </tp>
      <tp>
        <v>1</v>
        <stp/>
        <stp>10002271.SH</stp>
        <stp>Bid_Volume1</stp>
        <tr r="I52" s="1"/>
      </tp>
      <tp>
        <v>0</v>
        <stp/>
        <stp>10002188.SH</stp>
        <stp>Bid_Volume1</stp>
        <tr r="AI44" s="1"/>
      </tp>
      <tp>
        <v>6</v>
        <stp/>
        <stp>10002187.SH</stp>
        <stp>Bid_Volume1</stp>
        <tr r="AI43" s="1"/>
      </tp>
      <tp>
        <v>11</v>
        <stp/>
        <stp>10002186.SH</stp>
        <stp>Bid_Volume1</stp>
        <tr r="AI42" s="1"/>
      </tp>
      <tp>
        <v>1</v>
        <stp/>
        <stp>10002185.SH</stp>
        <stp>Bid_Volume1</stp>
        <tr r="AI41" s="1"/>
      </tp>
      <tp>
        <v>6</v>
        <stp/>
        <stp>10002184.SH</stp>
        <stp>Bid_Volume1</stp>
        <tr r="AI40" s="1"/>
      </tp>
      <tp>
        <v>1</v>
        <stp/>
        <stp>10002183.SH</stp>
        <stp>Bid_Volume1</stp>
        <tr r="AI39" s="1"/>
      </tp>
      <tp>
        <v>6</v>
        <stp/>
        <stp>10002182.SH</stp>
        <stp>Bid_Volume1</stp>
        <tr r="AI38" s="1"/>
      </tp>
      <tp>
        <v>4</v>
        <stp/>
        <stp>10002181.SH</stp>
        <stp>Bid_Volume1</stp>
        <tr r="AI37" s="1"/>
      </tp>
      <tp>
        <v>1</v>
        <stp/>
        <stp>10002180.SH</stp>
        <stp>Bid_Volume1</stp>
        <tr r="AI36" s="1"/>
      </tp>
      <tp>
        <v>1</v>
        <stp/>
        <stp>10002179.SH</stp>
        <stp>Bid_Volume1</stp>
        <tr r="I44" s="1"/>
      </tp>
      <tp>
        <v>50</v>
        <stp/>
        <stp>10002178.SH</stp>
        <stp>Bid_Volume1</stp>
        <tr r="I43" s="1"/>
      </tp>
      <tp>
        <v>1</v>
        <stp/>
        <stp>10002177.SH</stp>
        <stp>Bid_Volume1</stp>
        <tr r="I42" s="1"/>
      </tp>
      <tp>
        <v>12</v>
        <stp/>
        <stp>10002176.SH</stp>
        <stp>Bid_Volume1</stp>
        <tr r="I41" s="1"/>
      </tp>
      <tp>
        <v>9</v>
        <stp/>
        <stp>10002175.SH</stp>
        <stp>Bid_Volume1</stp>
        <tr r="I40" s="1"/>
      </tp>
      <tp>
        <v>5</v>
        <stp/>
        <stp>10002174.SH</stp>
        <stp>Bid_Volume1</stp>
        <tr r="I39" s="1"/>
      </tp>
      <tp>
        <v>10</v>
        <stp/>
        <stp>10002173.SH</stp>
        <stp>Bid_Volume1</stp>
        <tr r="I38" s="1"/>
      </tp>
      <tp>
        <v>3</v>
        <stp/>
        <stp>10002172.SH</stp>
        <stp>Bid_Volume1</stp>
        <tr r="I37" s="1"/>
      </tp>
      <tp>
        <v>7</v>
        <stp/>
        <stp>10002171.SH</stp>
        <stp>Bid_Volume1</stp>
        <tr r="I36" s="1"/>
      </tp>
      <tp>
        <v>36</v>
        <stp/>
        <stp>IO2006-P-3200.CFE</stp>
        <stp>Bid_Price1</stp>
        <tr r="AH66" s="3"/>
      </tp>
      <tp>
        <v>42</v>
        <stp/>
        <stp>IO2006-P-3250.CFE</stp>
        <stp>Bid_Price1</stp>
        <tr r="AH67" s="3"/>
      </tp>
      <tp>
        <v>0</v>
        <stp/>
        <stp>IO2006-C-3200.CFE</stp>
        <stp>Bid_Price1</stp>
        <tr r="H66" s="3"/>
      </tp>
      <tp>
        <v>0</v>
        <stp/>
        <stp>IO2006-C-3250.CFE</stp>
        <stp>Bid_Price1</stp>
        <tr r="H67" s="3"/>
      </tp>
      <tp>
        <v>76.8</v>
        <stp/>
        <stp>IO2006-P-3300.CFE</stp>
        <stp>Bid_Price1</stp>
        <tr r="AH68" s="3"/>
      </tp>
      <tp>
        <v>52</v>
        <stp/>
        <stp>IO2006-P-3350.CFE</stp>
        <stp>Bid_Price1</stp>
        <tr r="AH69" s="3"/>
      </tp>
      <tp>
        <v>0</v>
        <stp/>
        <stp>IO2006-C-3300.CFE</stp>
        <stp>Bid_Price1</stp>
        <tr r="H68" s="3"/>
      </tp>
      <tp>
        <v>22.400000000000002</v>
        <stp/>
        <stp>IO2006-C-3350.CFE</stp>
        <stp>Bid_Price1</stp>
        <tr r="H69" s="3"/>
      </tp>
      <tp>
        <v>500</v>
        <stp/>
        <stp>IO2006-C-3300.CFE</stp>
        <stp>Ask_Price1</stp>
        <tr r="J68" s="3"/>
      </tp>
      <tp>
        <v>0</v>
        <stp/>
        <stp>IO2006-C-3350.CFE</stp>
        <stp>Ask_Price1</stp>
        <tr r="J69" s="3"/>
      </tp>
      <tp>
        <v>130</v>
        <stp/>
        <stp>IO2006-P-3300.CFE</stp>
        <stp>Ask_Price1</stp>
        <tr r="AJ68" s="3"/>
      </tp>
      <tp>
        <v>0</v>
        <stp/>
        <stp>IO2006-P-3350.CFE</stp>
        <stp>Ask_Price1</stp>
        <tr r="AJ69" s="3"/>
      </tp>
      <tp>
        <v>0</v>
        <stp/>
        <stp>IO2006-C-3200.CFE</stp>
        <stp>Ask_Price1</stp>
        <tr r="J66" s="3"/>
      </tp>
      <tp>
        <v>0</v>
        <stp/>
        <stp>IO2006-C-3250.CFE</stp>
        <stp>Ask_Price1</stp>
        <tr r="J67" s="3"/>
      </tp>
      <tp>
        <v>300</v>
        <stp/>
        <stp>IO2006-P-3200.CFE</stp>
        <stp>Ask_Price1</stp>
        <tr r="AJ66" s="3"/>
      </tp>
      <tp>
        <v>0</v>
        <stp/>
        <stp>IO2006-P-3250.CFE</stp>
        <stp>Ask_Price1</stp>
        <tr r="AJ67" s="3"/>
      </tp>
      <tp>
        <v>0</v>
        <stp/>
        <stp>IO2006-C-3500.CFE</stp>
        <stp>Ask_Price1</stp>
        <tr r="J72" s="3"/>
      </tp>
      <tp>
        <v>0</v>
        <stp/>
        <stp>IO2006-C-3550.CFE</stp>
        <stp>Ask_Price1</stp>
        <tr r="J73" s="3"/>
      </tp>
      <tp>
        <v>163.20000000000002</v>
        <stp/>
        <stp>IO2006-P-3600.CFE</stp>
        <stp>Bid_Price1</stp>
        <tr r="AH74" s="3"/>
      </tp>
      <tp>
        <v>50</v>
        <stp/>
        <stp>IO2006-P-3650.CFE</stp>
        <stp>Bid_Price1</stp>
        <tr r="AH75" s="3"/>
      </tp>
      <tp>
        <v>0</v>
        <stp/>
        <stp>IO2006-P-3500.CFE</stp>
        <stp>Ask_Price1</stp>
        <tr r="AJ72" s="3"/>
      </tp>
      <tp>
        <v>0</v>
        <stp/>
        <stp>IO2006-P-3550.CFE</stp>
        <stp>Ask_Price1</stp>
        <tr r="AJ73" s="3"/>
      </tp>
      <tp>
        <v>2</v>
        <stp/>
        <stp>IO2006-C-3600.CFE</stp>
        <stp>Bid_Price1</stp>
        <tr r="H74" s="3"/>
      </tp>
      <tp>
        <v>7</v>
        <stp/>
        <stp>IO2006-C-3650.CFE</stp>
        <stp>Bid_Price1</stp>
        <tr r="H75" s="3"/>
      </tp>
      <tp>
        <v>0</v>
        <stp/>
        <stp>IO2006-C-3400.CFE</stp>
        <stp>Ask_Price1</stp>
        <tr r="J70" s="3"/>
      </tp>
      <tp>
        <v>0</v>
        <stp/>
        <stp>IO2006-C-3450.CFE</stp>
        <stp>Ask_Price1</stp>
        <tr r="J71" s="3"/>
      </tp>
      <tp>
        <v>36</v>
        <stp/>
        <stp>IO2006-P-3700.CFE</stp>
        <stp>Bid_Price1</stp>
        <tr r="AH76" s="3"/>
      </tp>
      <tp>
        <v>16</v>
        <stp/>
        <stp>IO2006-P-3750.CFE</stp>
        <stp>Bid_Price1</stp>
        <tr r="AH77" s="3"/>
      </tp>
      <tp>
        <v>0</v>
        <stp/>
        <stp>IO2006-P-3400.CFE</stp>
        <stp>Ask_Price1</stp>
        <tr r="AJ70" s="3"/>
      </tp>
      <tp>
        <v>0</v>
        <stp/>
        <stp>IO2006-P-3450.CFE</stp>
        <stp>Ask_Price1</stp>
        <tr r="AJ71" s="3"/>
      </tp>
      <tp>
        <v>7</v>
        <stp/>
        <stp>IO2006-C-3700.CFE</stp>
        <stp>Bid_Price1</stp>
        <tr r="H76" s="3"/>
      </tp>
      <tp>
        <v>7</v>
        <stp/>
        <stp>IO2006-C-3750.CFE</stp>
        <stp>Bid_Price1</stp>
        <tr r="H77" s="3"/>
      </tp>
      <tp>
        <v>0</v>
        <stp/>
        <stp>IO2006-C-3700.CFE</stp>
        <stp>Ask_Price1</stp>
        <tr r="J76" s="3"/>
      </tp>
      <tp>
        <v>0</v>
        <stp/>
        <stp>IO2006-C-3750.CFE</stp>
        <stp>Ask_Price1</stp>
        <tr r="J77" s="3"/>
      </tp>
      <tp>
        <v>86.600000000000009</v>
        <stp/>
        <stp>IO2006-P-3400.CFE</stp>
        <stp>Bid_Price1</stp>
        <tr r="AH70" s="3"/>
      </tp>
      <tp>
        <v>21</v>
        <stp/>
        <stp>IO2006-P-3450.CFE</stp>
        <stp>Bid_Price1</stp>
        <tr r="AH71" s="3"/>
      </tp>
      <tp>
        <v>0</v>
        <stp/>
        <stp>IO2006-P-3700.CFE</stp>
        <stp>Ask_Price1</stp>
        <tr r="AJ76" s="3"/>
      </tp>
      <tp>
        <v>0</v>
        <stp/>
        <stp>IO2006-P-3750.CFE</stp>
        <stp>Ask_Price1</stp>
        <tr r="AJ77" s="3"/>
      </tp>
      <tp>
        <v>300</v>
        <stp/>
        <stp>IO2006-C-3400.CFE</stp>
        <stp>Bid_Price1</stp>
        <tr r="H70" s="3"/>
      </tp>
      <tp>
        <v>16</v>
        <stp/>
        <stp>IO2006-C-3450.CFE</stp>
        <stp>Bid_Price1</stp>
        <tr r="H71" s="3"/>
      </tp>
      <tp>
        <v>281.2</v>
        <stp/>
        <stp>IO2006-C-3600.CFE</stp>
        <stp>Ask_Price1</stp>
        <tr r="J74" s="3"/>
      </tp>
      <tp>
        <v>0</v>
        <stp/>
        <stp>IO2006-C-3650.CFE</stp>
        <stp>Ask_Price1</stp>
        <tr r="J75" s="3"/>
      </tp>
      <tp>
        <v>24</v>
        <stp/>
        <stp>IO2006-P-3500.CFE</stp>
        <stp>Bid_Price1</stp>
        <tr r="AH72" s="3"/>
      </tp>
      <tp>
        <v>27</v>
        <stp/>
        <stp>IO2006-P-3550.CFE</stp>
        <stp>Bid_Price1</stp>
        <tr r="AH73" s="3"/>
      </tp>
      <tp>
        <v>224</v>
        <stp/>
        <stp>IO2006-P-3600.CFE</stp>
        <stp>Ask_Price1</stp>
        <tr r="AJ74" s="3"/>
      </tp>
      <tp>
        <v>0</v>
        <stp/>
        <stp>IO2006-P-3650.CFE</stp>
        <stp>Ask_Price1</stp>
        <tr r="AJ75" s="3"/>
      </tp>
      <tp>
        <v>16</v>
        <stp/>
        <stp>IO2006-C-3500.CFE</stp>
        <stp>Bid_Price1</stp>
        <tr r="H72" s="3"/>
      </tp>
      <tp>
        <v>16</v>
        <stp/>
        <stp>IO2006-C-3550.CFE</stp>
        <stp>Bid_Price1</stp>
        <tr r="H73" s="3"/>
      </tp>
      <tp>
        <v>148.80000000000001</v>
        <stp/>
        <stp>IO2006-C-3900.CFE</stp>
        <stp>Ask_Price1</stp>
        <tr r="J80" s="3"/>
      </tp>
      <tp>
        <v>138</v>
        <stp/>
        <stp>IO2006-C-3950.CFE</stp>
        <stp>Ask_Price1</stp>
        <tr r="J81" s="3"/>
      </tp>
      <tp>
        <v>0</v>
        <stp/>
        <stp>IO2006-P-3900.CFE</stp>
        <stp>Ask_Price1</stp>
        <tr r="AJ80" s="3"/>
      </tp>
      <tp>
        <v>0</v>
        <stp/>
        <stp>IO2006-P-3950.CFE</stp>
        <stp>Ask_Price1</stp>
        <tr r="AJ81" s="3"/>
      </tp>
      <tp>
        <v>185</v>
        <stp/>
        <stp>IO2006-C-3800.CFE</stp>
        <stp>Ask_Price1</stp>
        <tr r="J78" s="3"/>
      </tp>
      <tp>
        <v>0</v>
        <stp/>
        <stp>IO2006-C-3850.CFE</stp>
        <stp>Ask_Price1</stp>
        <tr r="J79" s="3"/>
      </tp>
      <tp>
        <v>0</v>
        <stp/>
        <stp>IO2006-P-3800.CFE</stp>
        <stp>Ask_Price1</stp>
        <tr r="AJ78" s="3"/>
      </tp>
      <tp>
        <v>0</v>
        <stp/>
        <stp>IO2006-P-3850.CFE</stp>
        <stp>Ask_Price1</stp>
        <tr r="AJ79" s="3"/>
      </tp>
      <tp>
        <v>16</v>
        <stp/>
        <stp>IO2006-P-3800.CFE</stp>
        <stp>Bid_Price1</stp>
        <tr r="AH78" s="3"/>
      </tp>
      <tp>
        <v>16</v>
        <stp/>
        <stp>IO2006-P-3850.CFE</stp>
        <stp>Bid_Price1</stp>
        <tr r="AH79" s="3"/>
      </tp>
      <tp>
        <v>168</v>
        <stp/>
        <stp>IO2006-C-3800.CFE</stp>
        <stp>Bid_Price1</stp>
        <tr r="H78" s="3"/>
      </tp>
      <tp>
        <v>66</v>
        <stp/>
        <stp>IO2006-C-3850.CFE</stp>
        <stp>Bid_Price1</stp>
        <tr r="H79" s="3"/>
      </tp>
      <tp>
        <v>53</v>
        <stp/>
        <stp>IO2006-P-3900.CFE</stp>
        <stp>Bid_Price1</stp>
        <tr r="AH80" s="3"/>
      </tp>
      <tp>
        <v>0</v>
        <stp/>
        <stp>IO2006-P-3950.CFE</stp>
        <stp>Bid_Price1</stp>
        <tr r="AH81" s="3"/>
      </tp>
      <tp>
        <v>80</v>
        <stp/>
        <stp>IO2006-C-3900.CFE</stp>
        <stp>Bid_Price1</stp>
        <tr r="H80" s="3"/>
      </tp>
      <tp>
        <v>20</v>
        <stp/>
        <stp>IO2006-C-3950.CFE</stp>
        <stp>Bid_Price1</stp>
        <tr r="H81" s="3"/>
      </tp>
      <tp>
        <v>0</v>
        <stp/>
        <stp>IO2012-C-4100.CFE</stp>
        <stp>Ask_Price1</stp>
        <tr r="J116" s="3"/>
      </tp>
      <tp>
        <v>26</v>
        <stp/>
        <stp>IO2005-P-3200.CFE</stp>
        <stp>Bid_Price1</stp>
        <tr r="AH36" s="3"/>
      </tp>
      <tp>
        <v>0</v>
        <stp/>
        <stp>IO2012-P-4200.CFE</stp>
        <stp>Bid_Price1</stp>
        <tr r="AH117" s="3"/>
      </tp>
      <tp>
        <v>33.200000000000003</v>
        <stp/>
        <stp>IO2005-P-3250.CFE</stp>
        <stp>Bid_Price1</stp>
        <tr r="AH37" s="3"/>
      </tp>
      <tp>
        <v>0</v>
        <stp/>
        <stp>IO2012-P-4100.CFE</stp>
        <stp>Ask_Price1</stp>
        <tr r="AJ116" s="3"/>
      </tp>
      <tp>
        <v>155.4</v>
        <stp/>
        <stp>IO2005-C-3200.CFE</stp>
        <stp>Bid_Price1</stp>
        <tr r="H36" s="3"/>
      </tp>
      <tp>
        <v>5</v>
        <stp/>
        <stp>IO2012-C-4200.CFE</stp>
        <stp>Bid_Price1</stp>
        <tr r="H117" s="3"/>
      </tp>
      <tp>
        <v>111.4</v>
        <stp/>
        <stp>IO2005-C-3250.CFE</stp>
        <stp>Bid_Price1</stp>
        <tr r="H37" s="3"/>
      </tp>
      <tp>
        <v>568.80000000000007</v>
        <stp/>
        <stp>IO2012-C-4000.CFE</stp>
        <stp>Ask_Price1</stp>
        <tr r="J115" s="3"/>
      </tp>
      <tp>
        <v>41.2</v>
        <stp/>
        <stp>IO2005-P-3300.CFE</stp>
        <stp>Bid_Price1</stp>
        <tr r="AH38" s="3"/>
      </tp>
      <tp>
        <v>0</v>
        <stp/>
        <stp>IO2012-P-4300.CFE</stp>
        <stp>Bid_Price1</stp>
        <tr r="AH118" s="3"/>
      </tp>
      <tp>
        <v>50.2</v>
        <stp/>
        <stp>IO2005-P-3350.CFE</stp>
        <stp>Bid_Price1</stp>
        <tr r="AH39" s="3"/>
      </tp>
      <tp>
        <v>0</v>
        <stp/>
        <stp>IO2012-P-4000.CFE</stp>
        <stp>Ask_Price1</stp>
        <tr r="AJ115" s="3"/>
      </tp>
      <tp>
        <v>77.8</v>
        <stp/>
        <stp>IO2005-C-3300.CFE</stp>
        <stp>Bid_Price1</stp>
        <tr r="H38" s="3"/>
      </tp>
      <tp>
        <v>5</v>
        <stp/>
        <stp>IO2012-C-4300.CFE</stp>
        <stp>Bid_Price1</stp>
        <tr r="H118" s="3"/>
      </tp>
      <tp>
        <v>71.2</v>
        <stp/>
        <stp>IO2005-C-3350.CFE</stp>
        <stp>Bid_Price1</stp>
        <tr r="H39" s="3"/>
      </tp>
      <tp>
        <v>0</v>
        <stp/>
        <stp>IO2012-C-4300.CFE</stp>
        <stp>Ask_Price1</stp>
        <tr r="J118" s="3"/>
      </tp>
      <tp>
        <v>0</v>
        <stp/>
        <stp>IO2005-C-3300.CFE</stp>
        <stp>Ask_Price1</stp>
        <tr r="J38" s="3"/>
      </tp>
      <tp>
        <v>0</v>
        <stp/>
        <stp>IO2005-C-3350.CFE</stp>
        <stp>Ask_Price1</stp>
        <tr r="J39" s="3"/>
      </tp>
      <tp>
        <v>220.20000000000002</v>
        <stp/>
        <stp>IO2012-P-4000.CFE</stp>
        <stp>Bid_Price1</stp>
        <tr r="AH115" s="3"/>
      </tp>
      <tp>
        <v>0</v>
        <stp/>
        <stp>IO2012-P-4300.CFE</stp>
        <stp>Ask_Price1</stp>
        <tr r="AJ118" s="3"/>
      </tp>
      <tp>
        <v>290</v>
        <stp/>
        <stp>IO2005-P-3300.CFE</stp>
        <stp>Ask_Price1</stp>
        <tr r="AJ38" s="3"/>
      </tp>
      <tp>
        <v>0</v>
        <stp/>
        <stp>IO2005-P-3350.CFE</stp>
        <stp>Ask_Price1</stp>
        <tr r="AJ39" s="3"/>
      </tp>
      <tp>
        <v>22</v>
        <stp/>
        <stp>IO2012-C-4000.CFE</stp>
        <stp>Bid_Price1</stp>
        <tr r="H115" s="3"/>
      </tp>
      <tp>
        <v>0</v>
        <stp/>
        <stp>IO2012-C-4200.CFE</stp>
        <stp>Ask_Price1</stp>
        <tr r="J117" s="3"/>
      </tp>
      <tp>
        <v>0</v>
        <stp/>
        <stp>IO2005-C-3200.CFE</stp>
        <stp>Ask_Price1</stp>
        <tr r="J36" s="3"/>
      </tp>
      <tp>
        <v>0</v>
        <stp/>
        <stp>IO2005-C-3250.CFE</stp>
        <stp>Ask_Price1</stp>
        <tr r="J37" s="3"/>
      </tp>
      <tp>
        <v>0</v>
        <stp/>
        <stp>IO2012-P-4100.CFE</stp>
        <stp>Bid_Price1</stp>
        <tr r="AH116" s="3"/>
      </tp>
      <tp>
        <v>0</v>
        <stp/>
        <stp>IO2012-P-4200.CFE</stp>
        <stp>Ask_Price1</stp>
        <tr r="AJ117" s="3"/>
      </tp>
      <tp>
        <v>50</v>
        <stp/>
        <stp>IO2005-P-3200.CFE</stp>
        <stp>Ask_Price1</stp>
        <tr r="AJ36" s="3"/>
      </tp>
      <tp>
        <v>140</v>
        <stp/>
        <stp>IO2005-P-3250.CFE</stp>
        <stp>Ask_Price1</stp>
        <tr r="AJ37" s="3"/>
      </tp>
      <tp>
        <v>5</v>
        <stp/>
        <stp>IO2012-C-4100.CFE</stp>
        <stp>Bid_Price1</stp>
        <tr r="H116" s="3"/>
      </tp>
      <tp>
        <v>0</v>
        <stp/>
        <stp>IO2012-C-4500.CFE</stp>
        <stp>Ask_Price1</stp>
        <tr r="J120" s="3"/>
      </tp>
      <tp>
        <v>0</v>
        <stp/>
        <stp>IO2005-C-3500.CFE</stp>
        <stp>Ask_Price1</stp>
        <tr r="J42" s="3"/>
      </tp>
      <tp>
        <v>0</v>
        <stp/>
        <stp>IO2005-C-3550.CFE</stp>
        <stp>Ask_Price1</stp>
        <tr r="J43" s="3"/>
      </tp>
      <tp>
        <v>22</v>
        <stp/>
        <stp>IO2005-P-3600.CFE</stp>
        <stp>Bid_Price1</stp>
        <tr r="AH44" s="3"/>
      </tp>
      <tp>
        <v>0</v>
        <stp/>
        <stp>IO2012-P-4600.CFE</stp>
        <stp>Bid_Price1</stp>
        <tr r="AH121" s="3"/>
      </tp>
      <tp>
        <v>24</v>
        <stp/>
        <stp>IO2005-P-3650.CFE</stp>
        <stp>Bid_Price1</stp>
        <tr r="AH45" s="3"/>
      </tp>
      <tp>
        <v>0</v>
        <stp/>
        <stp>IO2012-P-4500.CFE</stp>
        <stp>Ask_Price1</stp>
        <tr r="AJ120" s="3"/>
      </tp>
      <tp>
        <v>130</v>
        <stp/>
        <stp>IO2005-P-3500.CFE</stp>
        <stp>Ask_Price1</stp>
        <tr r="AJ42" s="3"/>
      </tp>
      <tp>
        <v>188.6</v>
        <stp/>
        <stp>IO2005-P-3550.CFE</stp>
        <stp>Ask_Price1</stp>
        <tr r="AJ43" s="3"/>
      </tp>
      <tp>
        <v>230.20000000000002</v>
        <stp/>
        <stp>IO2005-C-3600.CFE</stp>
        <stp>Bid_Price1</stp>
        <tr r="H44" s="3"/>
      </tp>
      <tp>
        <v>55</v>
        <stp/>
        <stp>IO2012-C-4600.CFE</stp>
        <stp>Bid_Price1</stp>
        <tr r="H121" s="3"/>
      </tp>
      <tp>
        <v>32</v>
        <stp/>
        <stp>IO2005-C-3650.CFE</stp>
        <stp>Bid_Price1</stp>
        <tr r="H45" s="3"/>
      </tp>
      <tp>
        <v>0</v>
        <stp/>
        <stp>IO2012-C-4400.CFE</stp>
        <stp>Ask_Price1</stp>
        <tr r="J119" s="3"/>
      </tp>
      <tp>
        <v>0</v>
        <stp/>
        <stp>IO2005-C-3400.CFE</stp>
        <stp>Ask_Price1</stp>
        <tr r="J40" s="3"/>
      </tp>
      <tp>
        <v>0</v>
        <stp/>
        <stp>IO2005-C-3450.CFE</stp>
        <stp>Ask_Price1</stp>
        <tr r="J41" s="3"/>
      </tp>
      <tp>
        <v>155</v>
        <stp/>
        <stp>IO2005-P-3700.CFE</stp>
        <stp>Bid_Price1</stp>
        <tr r="AH46" s="3"/>
      </tp>
      <tp>
        <v>0</v>
        <stp/>
        <stp>IO2012-P-4700.CFE</stp>
        <stp>Bid_Price1</stp>
        <tr r="AH122" s="3"/>
      </tp>
      <tp>
        <v>7</v>
        <stp/>
        <stp>IO2005-P-3750.CFE</stp>
        <stp>Bid_Price1</stp>
        <tr r="AH47" s="3"/>
      </tp>
      <tp>
        <v>0</v>
        <stp/>
        <stp>IO2012-P-4400.CFE</stp>
        <stp>Ask_Price1</stp>
        <tr r="AJ119" s="3"/>
      </tp>
      <tp>
        <v>0</v>
        <stp/>
        <stp>IO2005-P-3400.CFE</stp>
        <stp>Ask_Price1</stp>
        <tr r="AJ40" s="3"/>
      </tp>
      <tp>
        <v>171.6</v>
        <stp/>
        <stp>IO2005-P-3450.CFE</stp>
        <stp>Ask_Price1</stp>
        <tr r="AJ41" s="3"/>
      </tp>
      <tp>
        <v>38</v>
        <stp/>
        <stp>IO2005-C-3700.CFE</stp>
        <stp>Bid_Price1</stp>
        <tr r="H46" s="3"/>
      </tp>
      <tp>
        <v>74</v>
        <stp/>
        <stp>IO2012-C-4700.CFE</stp>
        <stp>Bid_Price1</stp>
        <tr r="H122" s="3"/>
      </tp>
      <tp>
        <v>38</v>
        <stp/>
        <stp>IO2005-C-3750.CFE</stp>
        <stp>Bid_Price1</stp>
        <tr r="H47" s="3"/>
      </tp>
      <tp>
        <v>89</v>
        <stp/>
        <stp>IO2012-C-4700.CFE</stp>
        <stp>Ask_Price1</stp>
        <tr r="J122" s="3"/>
      </tp>
      <tp>
        <v>195</v>
        <stp/>
        <stp>IO2005-C-3700.CFE</stp>
        <stp>Ask_Price1</stp>
        <tr r="J46" s="3"/>
      </tp>
      <tp>
        <v>167.8</v>
        <stp/>
        <stp>IO2005-C-3750.CFE</stp>
        <stp>Ask_Price1</stp>
        <tr r="J47" s="3"/>
      </tp>
      <tp>
        <v>46</v>
        <stp/>
        <stp>IO2005-P-3400.CFE</stp>
        <stp>Bid_Price1</stp>
        <tr r="AH40" s="3"/>
      </tp>
      <tp>
        <v>0</v>
        <stp/>
        <stp>IO2012-P-4400.CFE</stp>
        <stp>Bid_Price1</stp>
        <tr r="AH119" s="3"/>
      </tp>
      <tp>
        <v>14</v>
        <stp/>
        <stp>IO2005-P-3450.CFE</stp>
        <stp>Bid_Price1</stp>
        <tr r="AH41" s="3"/>
      </tp>
      <tp>
        <v>0</v>
        <stp/>
        <stp>IO2012-P-4700.CFE</stp>
        <stp>Ask_Price1</stp>
        <tr r="AJ122" s="3"/>
      </tp>
      <tp>
        <v>0</v>
        <stp/>
        <stp>IO2005-P-3700.CFE</stp>
        <stp>Ask_Price1</stp>
        <tr r="AJ46" s="3"/>
      </tp>
      <tp>
        <v>0</v>
        <stp/>
        <stp>IO2005-P-3750.CFE</stp>
        <stp>Ask_Price1</stp>
        <tr r="AJ47" s="3"/>
      </tp>
      <tp>
        <v>45.6</v>
        <stp/>
        <stp>IO2005-C-3400.CFE</stp>
        <stp>Bid_Price1</stp>
        <tr r="H40" s="3"/>
      </tp>
      <tp>
        <v>5</v>
        <stp/>
        <stp>IO2012-C-4400.CFE</stp>
        <stp>Bid_Price1</stp>
        <tr r="H119" s="3"/>
      </tp>
      <tp>
        <v>33.4</v>
        <stp/>
        <stp>IO2005-C-3450.CFE</stp>
        <stp>Bid_Price1</stp>
        <tr r="H41" s="3"/>
      </tp>
      <tp>
        <v>454.40000000000003</v>
        <stp/>
        <stp>IO2012-C-4600.CFE</stp>
        <stp>Ask_Price1</stp>
        <tr r="J121" s="3"/>
      </tp>
      <tp>
        <v>0</v>
        <stp/>
        <stp>IO2005-C-3600.CFE</stp>
        <stp>Ask_Price1</stp>
        <tr r="J44" s="3"/>
      </tp>
      <tp>
        <v>287.40000000000003</v>
        <stp/>
        <stp>IO2005-C-3650.CFE</stp>
        <stp>Ask_Price1</stp>
        <tr r="J45" s="3"/>
      </tp>
      <tp>
        <v>17</v>
        <stp/>
        <stp>IO2005-P-3500.CFE</stp>
        <stp>Bid_Price1</stp>
        <tr r="AH42" s="3"/>
      </tp>
      <tp>
        <v>0</v>
        <stp/>
        <stp>IO2012-P-4500.CFE</stp>
        <stp>Bid_Price1</stp>
        <tr r="AH120" s="3"/>
      </tp>
      <tp>
        <v>19</v>
        <stp/>
        <stp>IO2005-P-3550.CFE</stp>
        <stp>Bid_Price1</stp>
        <tr r="AH43" s="3"/>
      </tp>
      <tp>
        <v>0</v>
        <stp/>
        <stp>IO2012-P-4600.CFE</stp>
        <stp>Ask_Price1</stp>
        <tr r="AJ121" s="3"/>
      </tp>
      <tp>
        <v>158.20000000000002</v>
        <stp/>
        <stp>IO2005-P-3600.CFE</stp>
        <stp>Ask_Price1</stp>
        <tr r="AJ44" s="3"/>
      </tp>
      <tp>
        <v>151.20000000000002</v>
        <stp/>
        <stp>IO2005-P-3650.CFE</stp>
        <stp>Ask_Price1</stp>
        <tr r="AJ45" s="3"/>
      </tp>
      <tp>
        <v>31.400000000000002</v>
        <stp/>
        <stp>IO2005-C-3500.CFE</stp>
        <stp>Bid_Price1</stp>
        <tr r="H42" s="3"/>
      </tp>
      <tp>
        <v>108</v>
        <stp/>
        <stp>IO2012-C-4500.CFE</stp>
        <stp>Bid_Price1</stp>
        <tr r="H120" s="3"/>
      </tp>
      <tp>
        <v>42</v>
        <stp/>
        <stp>IO2005-C-3550.CFE</stp>
        <stp>Bid_Price1</stp>
        <tr r="H43" s="3"/>
      </tp>
      <tp>
        <v>108.8</v>
        <stp/>
        <stp>IO2005-C-3900.CFE</stp>
        <stp>Ask_Price1</stp>
        <tr r="J50" s="3"/>
      </tp>
      <tp>
        <v>96</v>
        <stp/>
        <stp>IO2005-C-3950.CFE</stp>
        <stp>Ask_Price1</stp>
        <tr r="J51" s="3"/>
      </tp>
      <tp>
        <v>0</v>
        <stp/>
        <stp>IO2005-P-3900.CFE</stp>
        <stp>Ask_Price1</stp>
        <tr r="AJ50" s="3"/>
      </tp>
      <tp>
        <v>0</v>
        <stp/>
        <stp>IO2005-P-3950.CFE</stp>
        <stp>Ask_Price1</stp>
        <tr r="AJ51" s="3"/>
      </tp>
      <tp>
        <v>0</v>
        <stp/>
        <stp>IO2005-C-3800.CFE</stp>
        <stp>Ask_Price1</stp>
        <tr r="J48" s="3"/>
      </tp>
      <tp>
        <v>420</v>
        <stp/>
        <stp>IO2005-C-3850.CFE</stp>
        <stp>Ask_Price1</stp>
        <tr r="J49" s="3"/>
      </tp>
      <tp>
        <v>0</v>
        <stp/>
        <stp>IO2005-P-3800.CFE</stp>
        <stp>Ask_Price1</stp>
        <tr r="AJ48" s="3"/>
      </tp>
      <tp>
        <v>0</v>
        <stp/>
        <stp>IO2005-P-3850.CFE</stp>
        <stp>Ask_Price1</stp>
        <tr r="AJ49" s="3"/>
      </tp>
      <tp>
        <v>7</v>
        <stp/>
        <stp>IO2005-P-3800.CFE</stp>
        <stp>Bid_Price1</stp>
        <tr r="AH48" s="3"/>
      </tp>
      <tp>
        <v>2</v>
        <stp/>
        <stp>IO2005-P-3850.CFE</stp>
        <stp>Bid_Price1</stp>
        <tr r="AH49" s="3"/>
      </tp>
      <tp>
        <v>139.6</v>
        <stp/>
        <stp>IO2005-C-3800.CFE</stp>
        <stp>Bid_Price1</stp>
        <tr r="H48" s="3"/>
      </tp>
      <tp>
        <v>118.60000000000001</v>
        <stp/>
        <stp>IO2005-C-3850.CFE</stp>
        <stp>Bid_Price1</stp>
        <tr r="H49" s="3"/>
      </tp>
      <tp>
        <v>103.2</v>
        <stp/>
        <stp>IO2005-P-3900.CFE</stp>
        <stp>Bid_Price1</stp>
        <tr r="AH50" s="3"/>
      </tp>
      <tp>
        <v>111.2</v>
        <stp/>
        <stp>IO2005-P-3950.CFE</stp>
        <stp>Bid_Price1</stp>
        <tr r="AH51" s="3"/>
      </tp>
      <tp>
        <v>94.600000000000009</v>
        <stp/>
        <stp>IO2005-C-3900.CFE</stp>
        <stp>Bid_Price1</stp>
        <tr r="H50" s="3"/>
      </tp>
      <tp>
        <v>88.2</v>
        <stp/>
        <stp>IO2005-C-3950.CFE</stp>
        <stp>Bid_Price1</stp>
        <tr r="H51" s="3"/>
      </tp>
      <tp>
        <v>3.7530000000000001</v>
        <stp/>
        <stp>510300.SH</stp>
        <stp>LastPrice</stp>
        <tr r="AF2" s="1"/>
      </tp>
      <tp>
        <v>272</v>
        <stp/>
        <stp>IO2103-C-4100.CFE</stp>
        <stp>Ask_Price1</stp>
        <tr r="J132" s="3"/>
      </tp>
      <tp>
        <v>12.6</v>
        <stp/>
        <stp>IO2004-P-3200.CFE</stp>
        <stp>Bid_Price1</stp>
        <tr r="AH6" s="3"/>
      </tp>
      <tp>
        <v>14.4</v>
        <stp/>
        <stp>IO2004-P-3250.CFE</stp>
        <stp>Bid_Price1</stp>
        <tr r="AH7" s="3"/>
      </tp>
      <tp>
        <v>0</v>
        <stp/>
        <stp>IO2103-P-4100.CFE</stp>
        <stp>Ask_Price1</stp>
        <tr r="AJ132" s="3"/>
      </tp>
      <tp>
        <v>536</v>
        <stp/>
        <stp>IO2004-C-3200.CFE</stp>
        <stp>Bid_Price1</stp>
        <tr r="H6" s="3"/>
      </tp>
      <tp>
        <v>0</v>
        <stp/>
        <stp>IO2004-C-3250.CFE</stp>
        <stp>Bid_Price1</stp>
        <tr r="H7" s="3"/>
      </tp>
      <tp>
        <v>0</v>
        <stp/>
        <stp>IO2103-C-4000.CFE</stp>
        <stp>Ask_Price1</stp>
        <tr r="J131" s="3"/>
      </tp>
      <tp>
        <v>19</v>
        <stp/>
        <stp>IO2004-P-3300.CFE</stp>
        <stp>Bid_Price1</stp>
        <tr r="AH8" s="3"/>
      </tp>
      <tp>
        <v>21.2</v>
        <stp/>
        <stp>IO2004-P-3350.CFE</stp>
        <stp>Bid_Price1</stp>
        <tr r="AH9" s="3"/>
      </tp>
      <tp>
        <v>0</v>
        <stp/>
        <stp>IO2103-P-4000.CFE</stp>
        <stp>Ask_Price1</stp>
        <tr r="AJ131" s="3"/>
      </tp>
      <tp>
        <v>21.2</v>
        <stp/>
        <stp>IO2004-C-3300.CFE</stp>
        <stp>Bid_Price1</stp>
        <tr r="H8" s="3"/>
      </tp>
      <tp>
        <v>327</v>
        <stp/>
        <stp>IO2004-C-3350.CFE</stp>
        <stp>Bid_Price1</stp>
        <tr r="H9" s="3"/>
      </tp>
      <tp>
        <v>600</v>
        <stp/>
        <stp>IO2004-C-3300.CFE</stp>
        <stp>Ask_Price1</stp>
        <tr r="J8" s="3"/>
      </tp>
      <tp>
        <v>427</v>
        <stp/>
        <stp>IO2004-C-3350.CFE</stp>
        <stp>Ask_Price1</stp>
        <tr r="J9" s="3"/>
      </tp>
      <tp>
        <v>504.40000000000003</v>
        <stp/>
        <stp>IO2103-P-4000.CFE</stp>
        <stp>Bid_Price1</stp>
        <tr r="AH131" s="3"/>
      </tp>
      <tp>
        <v>19.400000000000002</v>
        <stp/>
        <stp>IO2004-P-3300.CFE</stp>
        <stp>Ask_Price1</stp>
        <tr r="AJ8" s="3"/>
      </tp>
      <tp>
        <v>0</v>
        <stp/>
        <stp>IO2004-P-3350.CFE</stp>
        <stp>Ask_Price1</stp>
        <tr r="AJ9" s="3"/>
      </tp>
      <tp>
        <v>2.2000000000000002</v>
        <stp/>
        <stp>IO2103-C-4000.CFE</stp>
        <stp>Bid_Price1</stp>
        <tr r="H131" s="3"/>
      </tp>
      <tp>
        <v>564</v>
        <stp/>
        <stp>IO2004-C-3200.CFE</stp>
        <stp>Ask_Price1</stp>
        <tr r="J6" s="3"/>
      </tp>
      <tp>
        <v>0</v>
        <stp/>
        <stp>IO2004-C-3250.CFE</stp>
        <stp>Ask_Price1</stp>
        <tr r="J7" s="3"/>
      </tp>
      <tp>
        <v>651</v>
        <stp/>
        <stp>IO2103-P-4100.CFE</stp>
        <stp>Bid_Price1</stp>
        <tr r="AH132" s="3"/>
      </tp>
      <tp>
        <v>22.400000000000002</v>
        <stp/>
        <stp>IO2004-P-3200.CFE</stp>
        <stp>Ask_Price1</stp>
        <tr r="AJ6" s="3"/>
      </tp>
      <tp>
        <v>22.400000000000002</v>
        <stp/>
        <stp>IO2004-P-3250.CFE</stp>
        <stp>Ask_Price1</stp>
        <tr r="AJ7" s="3"/>
      </tp>
      <tp>
        <v>70</v>
        <stp/>
        <stp>IO2103-C-4100.CFE</stp>
        <stp>Bid_Price1</stp>
        <tr r="H132" s="3"/>
      </tp>
      <tp>
        <v>0</v>
        <stp/>
        <stp>IO2004-C-3500.CFE</stp>
        <stp>Ask_Price1</stp>
        <tr r="J12" s="3"/>
      </tp>
      <tp>
        <v>301</v>
        <stp/>
        <stp>IO2004-C-3550.CFE</stp>
        <stp>Ask_Price1</stp>
        <tr r="J13" s="3"/>
      </tp>
      <tp>
        <v>70</v>
        <stp/>
        <stp>IO2004-P-3600.CFE</stp>
        <stp>Bid_Price1</stp>
        <tr r="AH14" s="3"/>
      </tp>
      <tp>
        <v>87</v>
        <stp/>
        <stp>IO2004-P-3650.CFE</stp>
        <stp>Bid_Price1</stp>
        <tr r="AH15" s="3"/>
      </tp>
      <tp>
        <v>46</v>
        <stp/>
        <stp>IO2004-P-3500.CFE</stp>
        <stp>Ask_Price1</stp>
        <tr r="AJ12" s="3"/>
      </tp>
      <tp>
        <v>56.800000000000004</v>
        <stp/>
        <stp>IO2004-P-3550.CFE</stp>
        <stp>Ask_Price1</stp>
        <tr r="AJ13" s="3"/>
      </tp>
      <tp>
        <v>200</v>
        <stp/>
        <stp>IO2004-C-3600.CFE</stp>
        <stp>Bid_Price1</stp>
        <tr r="H14" s="3"/>
      </tp>
      <tp>
        <v>177</v>
        <stp/>
        <stp>IO2004-C-3650.CFE</stp>
        <stp>Bid_Price1</stp>
        <tr r="H15" s="3"/>
      </tp>
      <tp>
        <v>0</v>
        <stp/>
        <stp>IO2004-C-3400.CFE</stp>
        <stp>Ask_Price1</stp>
        <tr r="J10" s="3"/>
      </tp>
      <tp>
        <v>0</v>
        <stp/>
        <stp>IO2004-C-3450.CFE</stp>
        <stp>Ask_Price1</stp>
        <tr r="J11" s="3"/>
      </tp>
      <tp>
        <v>107.2</v>
        <stp/>
        <stp>IO2004-P-3700.CFE</stp>
        <stp>Bid_Price1</stp>
        <tr r="AH16" s="3"/>
      </tp>
      <tp>
        <v>130</v>
        <stp/>
        <stp>IO2004-P-3750.CFE</stp>
        <stp>Bid_Price1</stp>
        <tr r="AH17" s="3"/>
      </tp>
      <tp>
        <v>36.800000000000004</v>
        <stp/>
        <stp>IO2004-P-3400.CFE</stp>
        <stp>Ask_Price1</stp>
        <tr r="AJ10" s="3"/>
      </tp>
      <tp>
        <v>38.800000000000004</v>
        <stp/>
        <stp>IO2004-P-3450.CFE</stp>
        <stp>Ask_Price1</stp>
        <tr r="AJ11" s="3"/>
      </tp>
      <tp>
        <v>146.6</v>
        <stp/>
        <stp>IO2004-C-3700.CFE</stp>
        <stp>Bid_Price1</stp>
        <tr r="H16" s="3"/>
      </tp>
      <tp>
        <v>100</v>
        <stp/>
        <stp>IO2004-C-3750.CFE</stp>
        <stp>Bid_Price1</stp>
        <tr r="H17" s="3"/>
      </tp>
      <tp>
        <v>152</v>
        <stp/>
        <stp>IO2004-C-3700.CFE</stp>
        <stp>Ask_Price1</stp>
        <tr r="J16" s="3"/>
      </tp>
      <tp>
        <v>125.8</v>
        <stp/>
        <stp>IO2004-C-3750.CFE</stp>
        <stp>Ask_Price1</stp>
        <tr r="J17" s="3"/>
      </tp>
      <tp>
        <v>28.8</v>
        <stp/>
        <stp>IO2004-P-3400.CFE</stp>
        <stp>Bid_Price1</stp>
        <tr r="AH10" s="3"/>
      </tp>
      <tp>
        <v>35</v>
        <stp/>
        <stp>IO2004-P-3450.CFE</stp>
        <stp>Bid_Price1</stp>
        <tr r="AH11" s="3"/>
      </tp>
      <tp>
        <v>113</v>
        <stp/>
        <stp>IO2004-P-3700.CFE</stp>
        <stp>Ask_Price1</stp>
        <tr r="AJ16" s="3"/>
      </tp>
      <tp>
        <v>144</v>
        <stp/>
        <stp>IO2004-P-3750.CFE</stp>
        <stp>Ask_Price1</stp>
        <tr r="AJ17" s="3"/>
      </tp>
      <tp>
        <v>7</v>
        <stp/>
        <stp>IO2004-C-3400.CFE</stp>
        <stp>Bid_Price1</stp>
        <tr r="H10" s="3"/>
      </tp>
      <tp>
        <v>37</v>
        <stp/>
        <stp>IO2004-C-3450.CFE</stp>
        <stp>Bid_Price1</stp>
        <tr r="H11" s="3"/>
      </tp>
      <tp>
        <v>213.6</v>
        <stp/>
        <stp>IO2004-C-3600.CFE</stp>
        <stp>Ask_Price1</stp>
        <tr r="J14" s="3"/>
      </tp>
      <tp>
        <v>199.8</v>
        <stp/>
        <stp>IO2004-C-3650.CFE</stp>
        <stp>Ask_Price1</stp>
        <tr r="J15" s="3"/>
      </tp>
      <tp>
        <v>45.6</v>
        <stp/>
        <stp>IO2004-P-3500.CFE</stp>
        <stp>Bid_Price1</stp>
        <tr r="AH12" s="3"/>
      </tp>
      <tp>
        <v>55</v>
        <stp/>
        <stp>IO2004-P-3550.CFE</stp>
        <stp>Bid_Price1</stp>
        <tr r="AH13" s="3"/>
      </tp>
      <tp>
        <v>71</v>
        <stp/>
        <stp>IO2004-P-3600.CFE</stp>
        <stp>Ask_Price1</stp>
        <tr r="AJ14" s="3"/>
      </tp>
      <tp>
        <v>110.60000000000001</v>
        <stp/>
        <stp>IO2004-P-3650.CFE</stp>
        <stp>Ask_Price1</stp>
        <tr r="AJ15" s="3"/>
      </tp>
      <tp>
        <v>270.2</v>
        <stp/>
        <stp>IO2004-C-3500.CFE</stp>
        <stp>Bid_Price1</stp>
        <tr r="H12" s="3"/>
      </tp>
      <tp>
        <v>226</v>
        <stp/>
        <stp>IO2004-C-3550.CFE</stp>
        <stp>Bid_Price1</stp>
        <tr r="H13" s="3"/>
      </tp>
      <tp>
        <v>69.2</v>
        <stp/>
        <stp>IO2004-C-3900.CFE</stp>
        <stp>Ask_Price1</stp>
        <tr r="J20" s="3"/>
      </tp>
      <tp>
        <v>52</v>
        <stp/>
        <stp>IO2004-C-3950.CFE</stp>
        <stp>Ask_Price1</stp>
        <tr r="J21" s="3"/>
      </tp>
      <tp>
        <v>0</v>
        <stp/>
        <stp>IO2004-P-3900.CFE</stp>
        <stp>Ask_Price1</stp>
        <tr r="AJ20" s="3"/>
      </tp>
      <tp>
        <v>0</v>
        <stp/>
        <stp>IO2004-P-3950.CFE</stp>
        <stp>Ask_Price1</stp>
        <tr r="AJ21" s="3"/>
      </tp>
      <tp>
        <v>101.4</v>
        <stp/>
        <stp>IO2004-C-3800.CFE</stp>
        <stp>Ask_Price1</stp>
        <tr r="J18" s="3"/>
      </tp>
      <tp>
        <v>82.600000000000009</v>
        <stp/>
        <stp>IO2004-C-3850.CFE</stp>
        <stp>Ask_Price1</stp>
        <tr r="J19" s="3"/>
      </tp>
      <tp>
        <v>0</v>
        <stp/>
        <stp>IO2004-P-3800.CFE</stp>
        <stp>Ask_Price1</stp>
        <tr r="AJ18" s="3"/>
      </tp>
      <tp>
        <v>222</v>
        <stp/>
        <stp>IO2004-P-3850.CFE</stp>
        <stp>Ask_Price1</stp>
        <tr r="AJ19" s="3"/>
      </tp>
      <tp>
        <v>10</v>
        <stp/>
        <stp>10002468.SH</stp>
        <stp>Ask_Volume1</stp>
        <tr r="AK30" s="1"/>
      </tp>
      <tp>
        <v>3</v>
        <stp/>
        <stp>10002467.SH</stp>
        <stp>Ask_Volume1</stp>
        <tr r="AK29" s="1"/>
      </tp>
      <tp>
        <v>9</v>
        <stp/>
        <stp>10002466.SH</stp>
        <stp>Ask_Volume1</stp>
        <tr r="AK28" s="1"/>
      </tp>
      <tp>
        <v>5</v>
        <stp/>
        <stp>10002465.SH</stp>
        <stp>Ask_Volume1</stp>
        <tr r="AK27" s="1"/>
      </tp>
      <tp>
        <v>5</v>
        <stp/>
        <stp>10002464.SH</stp>
        <stp>Ask_Volume1</stp>
        <tr r="AK26" s="1"/>
      </tp>
      <tp>
        <v>3</v>
        <stp/>
        <stp>10002463.SH</stp>
        <stp>Ask_Volume1</stp>
        <tr r="AK25" s="1"/>
      </tp>
      <tp>
        <v>7</v>
        <stp/>
        <stp>10002462.SH</stp>
        <stp>Ask_Volume1</stp>
        <tr r="AK24" s="1"/>
      </tp>
      <tp>
        <v>1</v>
        <stp/>
        <stp>10002461.SH</stp>
        <stp>Ask_Volume1</stp>
        <tr r="AK23" s="1"/>
      </tp>
      <tp>
        <v>10</v>
        <stp/>
        <stp>10002460.SH</stp>
        <stp>Ask_Volume1</stp>
        <tr r="AK22" s="1"/>
      </tp>
      <tp>
        <v>2</v>
        <stp/>
        <stp>10002459.SH</stp>
        <stp>Ask_Volume1</stp>
        <tr r="K30" s="1"/>
      </tp>
      <tp>
        <v>5</v>
        <stp/>
        <stp>10002458.SH</stp>
        <stp>Ask_Volume1</stp>
        <tr r="K29" s="1"/>
      </tp>
      <tp>
        <v>5</v>
        <stp/>
        <stp>10002457.SH</stp>
        <stp>Ask_Volume1</stp>
        <tr r="K28" s="1"/>
      </tp>
      <tp>
        <v>5</v>
        <stp/>
        <stp>10002456.SH</stp>
        <stp>Ask_Volume1</stp>
        <tr r="K27" s="1"/>
      </tp>
      <tp>
        <v>6</v>
        <stp/>
        <stp>10002455.SH</stp>
        <stp>Ask_Volume1</stp>
        <tr r="K26" s="1"/>
      </tp>
      <tp>
        <v>5</v>
        <stp/>
        <stp>10002454.SH</stp>
        <stp>Ask_Volume1</stp>
        <tr r="K25" s="1"/>
      </tp>
      <tp>
        <v>4</v>
        <stp/>
        <stp>10002453.SH</stp>
        <stp>Ask_Volume1</stp>
        <tr r="K24" s="1"/>
      </tp>
      <tp>
        <v>0</v>
        <stp/>
        <stp>10002452.SH</stp>
        <stp>Ask_Volume1</stp>
        <tr r="K23" s="1"/>
      </tp>
      <tp>
        <v>0</v>
        <stp/>
        <stp>10002451.SH</stp>
        <stp>Ask_Volume1</stp>
        <tr r="K22" s="1"/>
      </tp>
      <tp>
        <v>1</v>
        <stp/>
        <stp>10002432.SH</stp>
        <stp>Ask_Volume1</stp>
        <tr r="AK47" s="1"/>
      </tp>
      <tp>
        <v>1</v>
        <stp/>
        <stp>10002431.SH</stp>
        <stp>Ask_Volume1</stp>
        <tr r="K47" s="1"/>
      </tp>
      <tp>
        <v>3</v>
        <stp/>
        <stp>10002430.SH</stp>
        <stp>Ask_Volume1</stp>
        <tr r="AK31" s="1"/>
      </tp>
      <tp>
        <v>0</v>
        <stp/>
        <stp>10002429.SH</stp>
        <stp>Ask_Volume1</stp>
        <tr r="K31" s="1"/>
      </tp>
      <tp>
        <v>10</v>
        <stp/>
        <stp>10002428.SH</stp>
        <stp>Ask_Volume1</stp>
        <tr r="AK6" s="1"/>
      </tp>
      <tp>
        <v>1</v>
        <stp/>
        <stp>10002427.SH</stp>
        <stp>Ask_Volume1</stp>
        <tr r="K6" s="1"/>
      </tp>
      <tp>
        <v>2</v>
        <stp/>
        <stp>10002416.SH</stp>
        <stp>Ask_Volume1</stp>
        <tr r="AK48" s="1"/>
      </tp>
      <tp>
        <v>0</v>
        <stp/>
        <stp>10002415.SH</stp>
        <stp>Ask_Volume1</stp>
        <tr r="K48" s="1"/>
      </tp>
      <tp>
        <v>11</v>
        <stp/>
        <stp>10002414.SH</stp>
        <stp>Ask_Volume1</stp>
        <tr r="AK32" s="1"/>
      </tp>
      <tp>
        <v>0</v>
        <stp/>
        <stp>10002413.SH</stp>
        <stp>Ask_Volume1</stp>
        <tr r="K32" s="1"/>
      </tp>
      <tp>
        <v>1</v>
        <stp/>
        <stp>10002412.SH</stp>
        <stp>Ask_Volume1</stp>
        <tr r="AK7" s="1"/>
      </tp>
      <tp>
        <v>1</v>
        <stp/>
        <stp>10002411.SH</stp>
        <stp>Ask_Volume1</stp>
        <tr r="K7" s="1"/>
      </tp>
      <tp>
        <v>24</v>
        <stp/>
        <stp>IO2004-P-3800.CFE</stp>
        <stp>Bid_Price1</stp>
        <tr r="AH18" s="3"/>
      </tp>
      <tp>
        <v>50</v>
        <stp/>
        <stp>IO2004-P-3850.CFE</stp>
        <stp>Bid_Price1</stp>
        <tr r="AH19" s="3"/>
      </tp>
      <tp>
        <v>101.2</v>
        <stp/>
        <stp>IO2004-C-3800.CFE</stp>
        <stp>Bid_Price1</stp>
        <tr r="H18" s="3"/>
      </tp>
      <tp>
        <v>70</v>
        <stp/>
        <stp>IO2004-C-3850.CFE</stp>
        <stp>Bid_Price1</stp>
        <tr r="H19" s="3"/>
      </tp>
      <tp>
        <v>186</v>
        <stp/>
        <stp>IO2004-P-3900.CFE</stp>
        <stp>Bid_Price1</stp>
        <tr r="AH20" s="3"/>
      </tp>
      <tp>
        <v>7</v>
        <stp/>
        <stp>IO2004-P-3950.CFE</stp>
        <stp>Bid_Price1</stp>
        <tr r="AH21" s="3"/>
      </tp>
      <tp>
        <v>64.599999999999994</v>
        <stp/>
        <stp>IO2004-C-3900.CFE</stp>
        <stp>Bid_Price1</stp>
        <tr r="H20" s="3"/>
      </tp>
      <tp>
        <v>45.800000000000004</v>
        <stp/>
        <stp>IO2004-C-3950.CFE</stp>
        <stp>Bid_Price1</stp>
        <tr r="H21" s="3"/>
      </tp>
      <tp>
        <v>1</v>
        <stp/>
        <stp>10002179.SH</stp>
        <stp>Ask_Volume1</stp>
        <tr r="K44" s="1"/>
      </tp>
      <tp>
        <v>3</v>
        <stp/>
        <stp>10002178.SH</stp>
        <stp>Ask_Volume1</stp>
        <tr r="K43" s="1"/>
      </tp>
      <tp>
        <v>1</v>
        <stp/>
        <stp>10002177.SH</stp>
        <stp>Ask_Volume1</stp>
        <tr r="K42" s="1"/>
      </tp>
      <tp>
        <v>1</v>
        <stp/>
        <stp>10002176.SH</stp>
        <stp>Ask_Volume1</stp>
        <tr r="K41" s="1"/>
      </tp>
      <tp>
        <v>1</v>
        <stp/>
        <stp>10002175.SH</stp>
        <stp>Ask_Volume1</stp>
        <tr r="K40" s="1"/>
      </tp>
      <tp>
        <v>5</v>
        <stp/>
        <stp>10002174.SH</stp>
        <stp>Ask_Volume1</stp>
        <tr r="K39" s="1"/>
      </tp>
      <tp>
        <v>10</v>
        <stp/>
        <stp>10002173.SH</stp>
        <stp>Ask_Volume1</stp>
        <tr r="K38" s="1"/>
      </tp>
      <tp>
        <v>1</v>
        <stp/>
        <stp>10002172.SH</stp>
        <stp>Ask_Volume1</stp>
        <tr r="K37" s="1"/>
      </tp>
      <tp>
        <v>4</v>
        <stp/>
        <stp>10002171.SH</stp>
        <stp>Ask_Volume1</stp>
        <tr r="K36" s="1"/>
      </tp>
      <tp>
        <v>0</v>
        <stp/>
        <stp>10002188.SH</stp>
        <stp>Ask_Volume1</stp>
        <tr r="AK44" s="1"/>
      </tp>
      <tp>
        <v>0</v>
        <stp/>
        <stp>10002187.SH</stp>
        <stp>Ask_Volume1</stp>
        <tr r="AK43" s="1"/>
      </tp>
      <tp>
        <v>1</v>
        <stp/>
        <stp>10002186.SH</stp>
        <stp>Ask_Volume1</stp>
        <tr r="AK42" s="1"/>
      </tp>
      <tp>
        <v>6</v>
        <stp/>
        <stp>10002185.SH</stp>
        <stp>Ask_Volume1</stp>
        <tr r="AK41" s="1"/>
      </tp>
      <tp>
        <v>6</v>
        <stp/>
        <stp>10002184.SH</stp>
        <stp>Ask_Volume1</stp>
        <tr r="AK40" s="1"/>
      </tp>
      <tp>
        <v>6</v>
        <stp/>
        <stp>10002183.SH</stp>
        <stp>Ask_Volume1</stp>
        <tr r="AK39" s="1"/>
      </tp>
      <tp>
        <v>15</v>
        <stp/>
        <stp>10002182.SH</stp>
        <stp>Ask_Volume1</stp>
        <tr r="AK38" s="1"/>
      </tp>
      <tp>
        <v>6</v>
        <stp/>
        <stp>10002181.SH</stp>
        <stp>Ask_Volume1</stp>
        <tr r="AK37" s="1"/>
      </tp>
      <tp>
        <v>2</v>
        <stp/>
        <stp>10002180.SH</stp>
        <stp>Ask_Volume1</stp>
        <tr r="AK36" s="1"/>
      </tp>
      <tp>
        <v>8</v>
        <stp/>
        <stp>10002376.SH</stp>
        <stp>Ask_Volume1</stp>
        <tr r="AK11" s="1"/>
      </tp>
      <tp>
        <v>5</v>
        <stp/>
        <stp>10002375.SH</stp>
        <stp>Ask_Volume1</stp>
        <tr r="AK10" s="1"/>
      </tp>
      <tp>
        <v>4</v>
        <stp/>
        <stp>10002374.SH</stp>
        <stp>Ask_Volume1</stp>
        <tr r="K11" s="1"/>
      </tp>
      <tp>
        <v>9</v>
        <stp/>
        <stp>10002373.SH</stp>
        <stp>Ask_Volume1</stp>
        <tr r="K10" s="1"/>
      </tp>
      <tp>
        <v>0</v>
        <stp/>
        <stp>10002368.SH</stp>
        <stp>Ask_Volume1</stp>
        <tr r="AK20" s="1"/>
      </tp>
      <tp>
        <v>0</v>
        <stp/>
        <stp>10002367.SH</stp>
        <stp>Ask_Volume1</stp>
        <tr r="AK19" s="1"/>
      </tp>
      <tp>
        <v>0</v>
        <stp/>
        <stp>10002366.SH</stp>
        <stp>Ask_Volume1</stp>
        <tr r="AK18" s="1"/>
      </tp>
      <tp>
        <v>2</v>
        <stp/>
        <stp>10002365.SH</stp>
        <stp>Ask_Volume1</stp>
        <tr r="AK17" s="1"/>
      </tp>
      <tp>
        <v>1</v>
        <stp/>
        <stp>10002364.SH</stp>
        <stp>Ask_Volume1</stp>
        <tr r="AK16" s="1"/>
      </tp>
      <tp>
        <v>1</v>
        <stp/>
        <stp>10002363.SH</stp>
        <stp>Ask_Volume1</stp>
        <tr r="AK15" s="1"/>
      </tp>
      <tp>
        <v>1</v>
        <stp/>
        <stp>10002362.SH</stp>
        <stp>Ask_Volume1</stp>
        <tr r="AK14" s="1"/>
      </tp>
      <tp>
        <v>20</v>
        <stp/>
        <stp>10002361.SH</stp>
        <stp>Ask_Volume1</stp>
        <tr r="AK13" s="1"/>
      </tp>
      <tp>
        <v>38</v>
        <stp/>
        <stp>10002360.SH</stp>
        <stp>Ask_Volume1</stp>
        <tr r="AK12" s="1"/>
      </tp>
      <tp>
        <v>56</v>
        <stp/>
        <stp>10002359.SH</stp>
        <stp>Ask_Volume1</stp>
        <tr r="K20" s="1"/>
      </tp>
      <tp>
        <v>4</v>
        <stp/>
        <stp>10002358.SH</stp>
        <stp>Ask_Volume1</stp>
        <tr r="K19" s="1"/>
      </tp>
      <tp>
        <v>4</v>
        <stp/>
        <stp>10002357.SH</stp>
        <stp>Ask_Volume1</stp>
        <tr r="K18" s="1"/>
      </tp>
      <tp>
        <v>4</v>
        <stp/>
        <stp>10002356.SH</stp>
        <stp>Ask_Volume1</stp>
        <tr r="K17" s="1"/>
      </tp>
      <tp>
        <v>6</v>
        <stp/>
        <stp>10002355.SH</stp>
        <stp>Ask_Volume1</stp>
        <tr r="K16" s="1"/>
      </tp>
      <tp>
        <v>26</v>
        <stp/>
        <stp>10002354.SH</stp>
        <stp>Ask_Volume1</stp>
        <tr r="K15" s="1"/>
      </tp>
      <tp>
        <v>185</v>
        <stp/>
        <stp>10002353.SH</stp>
        <stp>Ask_Volume1</stp>
        <tr r="K14" s="1"/>
      </tp>
      <tp>
        <v>50</v>
        <stp/>
        <stp>10002352.SH</stp>
        <stp>Ask_Volume1</stp>
        <tr r="K13" s="1"/>
      </tp>
      <tp>
        <v>14</v>
        <stp/>
        <stp>10002351.SH</stp>
        <stp>Ask_Volume1</stp>
        <tr r="K12" s="1"/>
      </tp>
      <tp>
        <v>12</v>
        <stp/>
        <stp>10002332.SH</stp>
        <stp>Ask_Volume1</stp>
        <tr r="AK51" s="1"/>
      </tp>
      <tp>
        <v>4</v>
        <stp/>
        <stp>10002331.SH</stp>
        <stp>Ask_Volume1</stp>
        <tr r="AK50" s="1"/>
      </tp>
      <tp>
        <v>4</v>
        <stp/>
        <stp>10002330.SH</stp>
        <stp>Ask_Volume1</stp>
        <tr r="AK49" s="1"/>
      </tp>
      <tp>
        <v>6</v>
        <stp/>
        <stp>10002329.SH</stp>
        <stp>Ask_Volume1</stp>
        <tr r="K51" s="1"/>
      </tp>
      <tp>
        <v>0</v>
        <stp/>
        <stp>10002328.SH</stp>
        <stp>Ask_Volume1</stp>
        <tr r="K50" s="1"/>
      </tp>
      <tp>
        <v>5</v>
        <stp/>
        <stp>10002327.SH</stp>
        <stp>Ask_Volume1</stp>
        <tr r="K49" s="1"/>
      </tp>
      <tp>
        <v>4</v>
        <stp/>
        <stp>10002326.SH</stp>
        <stp>Ask_Volume1</stp>
        <tr r="AK35" s="1"/>
      </tp>
      <tp>
        <v>12</v>
        <stp/>
        <stp>10002325.SH</stp>
        <stp>Ask_Volume1</stp>
        <tr r="AK34" s="1"/>
      </tp>
      <tp>
        <v>5</v>
        <stp/>
        <stp>10002324.SH</stp>
        <stp>Ask_Volume1</stp>
        <tr r="AK33" s="1"/>
      </tp>
      <tp>
        <v>1</v>
        <stp/>
        <stp>10002323.SH</stp>
        <stp>Ask_Volume1</stp>
        <tr r="K35" s="1"/>
      </tp>
      <tp>
        <v>4</v>
        <stp/>
        <stp>10002322.SH</stp>
        <stp>Ask_Volume1</stp>
        <tr r="K34" s="1"/>
      </tp>
      <tp>
        <v>2</v>
        <stp/>
        <stp>10002321.SH</stp>
        <stp>Ask_Volume1</stp>
        <tr r="K33" s="1"/>
      </tp>
      <tp>
        <v>8</v>
        <stp/>
        <stp>10002392.SH</stp>
        <stp>Ask_Volume1</stp>
        <tr r="AK9" s="1"/>
      </tp>
      <tp>
        <v>30</v>
        <stp/>
        <stp>10002391.SH</stp>
        <stp>Ask_Volume1</stp>
        <tr r="AK8" s="1"/>
      </tp>
      <tp>
        <v>10</v>
        <stp/>
        <stp>10002390.SH</stp>
        <stp>Ask_Volume1</stp>
        <tr r="K9" s="1"/>
      </tp>
      <tp>
        <v>1</v>
        <stp/>
        <stp>10002389.SH</stp>
        <stp>Ask_Volume1</stp>
        <tr r="K8" s="1"/>
      </tp>
      <tp>
        <v>0</v>
        <stp/>
        <stp>10002384.SH</stp>
        <stp>Ask_Volume1</stp>
        <tr r="AK62" s="1"/>
      </tp>
      <tp>
        <v>3</v>
        <stp/>
        <stp>10002383.SH</stp>
        <stp>Ask_Volume1</stp>
        <tr r="K62" s="1"/>
      </tp>
      <tp>
        <v>0</v>
        <stp/>
        <stp>10002382.SH</stp>
        <stp>Ask_Volume1</stp>
        <tr r="AK21" s="1"/>
      </tp>
      <tp>
        <v>339</v>
        <stp/>
        <stp>10002381.SH</stp>
        <stp>Ask_Volume1</stp>
        <tr r="K21" s="1"/>
      </tp>
      <tp>
        <v>3</v>
        <stp/>
        <stp>10002272.SH</stp>
        <stp>Ask_Volume1</stp>
        <tr r="AK52" s="1"/>
      </tp>
      <tp>
        <v>6</v>
        <stp/>
        <stp>10002271.SH</stp>
        <stp>Ask_Volume1</stp>
        <tr r="K52" s="1"/>
      </tp>
      <tp>
        <v>0</v>
        <stp/>
        <stp>10002266.SH</stp>
        <stp>Ask_Volume1</stp>
        <tr r="AK61" s="1"/>
      </tp>
      <tp>
        <v>0</v>
        <stp/>
        <stp>10002265.SH</stp>
        <stp>Ask_Volume1</stp>
        <tr r="AK60" s="1"/>
      </tp>
      <tp>
        <v>0</v>
        <stp/>
        <stp>10002264.SH</stp>
        <stp>Ask_Volume1</stp>
        <tr r="AK59" s="1"/>
      </tp>
      <tp>
        <v>4</v>
        <stp/>
        <stp>10002263.SH</stp>
        <stp>Ask_Volume1</stp>
        <tr r="AK58" s="1"/>
      </tp>
      <tp>
        <v>0</v>
        <stp/>
        <stp>10002262.SH</stp>
        <stp>Ask_Volume1</stp>
        <tr r="AK57" s="1"/>
      </tp>
      <tp>
        <v>2</v>
        <stp/>
        <stp>10002261.SH</stp>
        <stp>Ask_Volume1</stp>
        <tr r="AK56" s="1"/>
      </tp>
      <tp>
        <v>0</v>
        <stp/>
        <stp>10002260.SH</stp>
        <stp>Ask_Volume1</stp>
        <tr r="AK55" s="1"/>
      </tp>
      <tp>
        <v>9</v>
        <stp/>
        <stp>10002259.SH</stp>
        <stp>Ask_Volume1</stp>
        <tr r="AK54" s="1"/>
      </tp>
      <tp>
        <v>2</v>
        <stp/>
        <stp>10002258.SH</stp>
        <stp>Ask_Volume1</stp>
        <tr r="AK53" s="1"/>
      </tp>
      <tp>
        <v>7</v>
        <stp/>
        <stp>10002257.SH</stp>
        <stp>Ask_Volume1</stp>
        <tr r="K61" s="1"/>
      </tp>
      <tp>
        <v>3</v>
        <stp/>
        <stp>10002256.SH</stp>
        <stp>Ask_Volume1</stp>
        <tr r="K60" s="1"/>
      </tp>
      <tp>
        <v>7</v>
        <stp/>
        <stp>10002255.SH</stp>
        <stp>Ask_Volume1</stp>
        <tr r="K59" s="1"/>
      </tp>
      <tp>
        <v>12</v>
        <stp/>
        <stp>10002254.SH</stp>
        <stp>Ask_Volume1</stp>
        <tr r="K58" s="1"/>
      </tp>
      <tp>
        <v>1</v>
        <stp/>
        <stp>10002253.SH</stp>
        <stp>Ask_Volume1</stp>
        <tr r="K57" s="1"/>
      </tp>
      <tp>
        <v>3</v>
        <stp/>
        <stp>10002252.SH</stp>
        <stp>Ask_Volume1</stp>
        <tr r="K56" s="1"/>
      </tp>
      <tp>
        <v>4</v>
        <stp/>
        <stp>10002251.SH</stp>
        <stp>Ask_Volume1</stp>
        <tr r="K55" s="1"/>
      </tp>
      <tp>
        <v>2</v>
        <stp/>
        <stp>10002250.SH</stp>
        <stp>Ask_Volume1</stp>
        <tr r="K54" s="1"/>
      </tp>
      <tp>
        <v>8</v>
        <stp/>
        <stp>10002249.SH</stp>
        <stp>Ask_Volume1</stp>
        <tr r="K53" s="1"/>
      </tp>
      <tp>
        <v>5</v>
        <stp/>
        <stp>10002230.SH</stp>
        <stp>Ask_Volume1</stp>
        <tr r="AK46" s="1"/>
      </tp>
      <tp>
        <v>1</v>
        <stp/>
        <stp>10002229.SH</stp>
        <stp>Ask_Volume1</stp>
        <tr r="K46" s="1"/>
      </tp>
      <tp>
        <v>0</v>
        <stp/>
        <stp>10002222.SH</stp>
        <stp>Ask_Volume1</stp>
        <tr r="AK45" s="1"/>
      </tp>
      <tp>
        <v>1</v>
        <stp/>
        <stp>10002221.SH</stp>
        <stp>Ask_Volume1</stp>
        <tr r="K45" s="1"/>
      </tp>
      <tp>
        <v>2</v>
        <stp/>
        <stp>IO2009-P-3200.CFE</stp>
        <stp>Bid_Price1</stp>
        <tr r="AH91" s="3"/>
      </tp>
      <tp>
        <v>0</v>
        <stp/>
        <stp>IO2009-C-3200.CFE</stp>
        <stp>Bid_Price1</stp>
        <tr r="H91" s="3"/>
      </tp>
      <tp>
        <v>130</v>
        <stp/>
        <stp>IO2009-P-3300.CFE</stp>
        <stp>Bid_Price1</stp>
        <tr r="AH92" s="3"/>
      </tp>
      <tp>
        <v>0</v>
        <stp/>
        <stp>IO2009-C-3300.CFE</stp>
        <stp>Bid_Price1</stp>
        <tr r="H92" s="3"/>
      </tp>
      <tp>
        <v>0</v>
        <stp/>
        <stp>IO2009-C-3300.CFE</stp>
        <stp>Ask_Price1</stp>
        <tr r="J92" s="3"/>
      </tp>
      <tp>
        <v>228.8</v>
        <stp/>
        <stp>IO2009-P-3300.CFE</stp>
        <stp>Ask_Price1</stp>
        <tr r="AJ92" s="3"/>
      </tp>
      <tp>
        <v>0</v>
        <stp/>
        <stp>IO2009-C-3200.CFE</stp>
        <stp>Ask_Price1</stp>
        <tr r="J91" s="3"/>
      </tp>
      <tp>
        <v>198.8</v>
        <stp/>
        <stp>IO2009-P-3200.CFE</stp>
        <stp>Ask_Price1</stp>
        <tr r="AJ91" s="3"/>
      </tp>
      <tp>
        <v>419</v>
        <stp/>
        <stp>IO2009-C-3500.CFE</stp>
        <stp>Ask_Price1</stp>
        <tr r="J94" s="3"/>
      </tp>
      <tp>
        <v>10</v>
        <stp/>
        <stp>IO2009-P-3600.CFE</stp>
        <stp>Bid_Price1</stp>
        <tr r="AH95" s="3"/>
      </tp>
      <tp>
        <v>0</v>
        <stp/>
        <stp>IO2009-P-3500.CFE</stp>
        <stp>Ask_Price1</stp>
        <tr r="AJ94" s="3"/>
      </tp>
      <tp>
        <v>2</v>
        <stp/>
        <stp>IO2009-C-3600.CFE</stp>
        <stp>Bid_Price1</stp>
        <tr r="H95" s="3"/>
      </tp>
      <tp>
        <v>0</v>
        <stp/>
        <stp>IO2009-C-3400.CFE</stp>
        <stp>Ask_Price1</stp>
        <tr r="J93" s="3"/>
      </tp>
      <tp>
        <v>2</v>
        <stp/>
        <stp>IO2009-P-3700.CFE</stp>
        <stp>Bid_Price1</stp>
        <tr r="AH96" s="3"/>
      </tp>
      <tp>
        <v>0</v>
        <stp/>
        <stp>IO2009-P-3400.CFE</stp>
        <stp>Ask_Price1</stp>
        <tr r="AJ93" s="3"/>
      </tp>
      <tp>
        <v>2</v>
        <stp/>
        <stp>IO2009-C-3700.CFE</stp>
        <stp>Bid_Price1</stp>
        <tr r="H96" s="3"/>
      </tp>
      <tp>
        <v>0</v>
        <stp/>
        <stp>IO2009-C-3700.CFE</stp>
        <stp>Ask_Price1</stp>
        <tr r="J96" s="3"/>
      </tp>
      <tp>
        <v>100</v>
        <stp/>
        <stp>IO2009-P-3400.CFE</stp>
        <stp>Bid_Price1</stp>
        <tr r="AH93" s="3"/>
      </tp>
      <tp>
        <v>0</v>
        <stp/>
        <stp>IO2009-P-3700.CFE</stp>
        <stp>Ask_Price1</stp>
        <tr r="AJ96" s="3"/>
      </tp>
      <tp>
        <v>0</v>
        <stp/>
        <stp>IO2009-C-3400.CFE</stp>
        <stp>Bid_Price1</stp>
        <tr r="H93" s="3"/>
      </tp>
      <tp>
        <v>0</v>
        <stp/>
        <stp>IO2009-C-3600.CFE</stp>
        <stp>Ask_Price1</stp>
        <tr r="J95" s="3"/>
      </tp>
      <tp>
        <v>179.8</v>
        <stp/>
        <stp>IO2009-P-3500.CFE</stp>
        <stp>Bid_Price1</stp>
        <tr r="AH94" s="3"/>
      </tp>
      <tp>
        <v>282.8</v>
        <stp/>
        <stp>IO2009-P-3600.CFE</stp>
        <stp>Ask_Price1</stp>
        <tr r="AJ95" s="3"/>
      </tp>
      <tp>
        <v>2</v>
        <stp/>
        <stp>IO2009-C-3500.CFE</stp>
        <stp>Bid_Price1</stp>
        <tr r="H94" s="3"/>
      </tp>
      <tp>
        <v>0</v>
        <stp/>
        <stp>IO2009-C-3900.CFE</stp>
        <stp>Ask_Price1</stp>
        <tr r="J98" s="3"/>
      </tp>
      <tp>
        <v>0</v>
        <stp/>
        <stp>IO2009-P-3900.CFE</stp>
        <stp>Ask_Price1</stp>
        <tr r="AJ98" s="3"/>
      </tp>
      <tp>
        <v>246</v>
        <stp/>
        <stp>IO2009-C-3800.CFE</stp>
        <stp>Ask_Price1</stp>
        <tr r="J97" s="3"/>
      </tp>
      <tp>
        <v>0</v>
        <stp/>
        <stp>IO2009-P-3800.CFE</stp>
        <stp>Ask_Price1</stp>
        <tr r="AJ97" s="3"/>
      </tp>
      <tp>
        <v>47</v>
        <stp/>
        <stp>IO2009-P-3800.CFE</stp>
        <stp>Bid_Price1</stp>
        <tr r="AH97" s="3"/>
      </tp>
      <tp>
        <v>2</v>
        <stp/>
        <stp>IO2009-C-3800.CFE</stp>
        <stp>Bid_Price1</stp>
        <tr r="H97" s="3"/>
      </tp>
      <tp>
        <v>150</v>
        <stp/>
        <stp>IO2009-P-3900.CFE</stp>
        <stp>Bid_Price1</stp>
        <tr r="AH98" s="3"/>
      </tp>
      <tp>
        <v>100</v>
        <stp/>
        <stp>IO2009-C-3900.CFE</stp>
        <stp>Bid_Price1</stp>
        <tr r="H98" s="3"/>
      </tp>
      <tp>
        <v>189.20000000000002</v>
        <stp/>
        <stp>IO2009-C-4100.CFE</stp>
        <stp>Ask_Price1</stp>
        <tr r="J100" s="3"/>
      </tp>
      <tp>
        <v>0</v>
        <stp/>
        <stp>IO2009-P-4200.CFE</stp>
        <stp>Bid_Price1</stp>
        <tr r="AH101" s="3"/>
      </tp>
      <tp>
        <v>1000</v>
        <stp/>
        <stp>IO2009-P-4100.CFE</stp>
        <stp>Ask_Price1</stp>
        <tr r="AJ100" s="3"/>
      </tp>
      <tp>
        <v>99</v>
        <stp/>
        <stp>IO2009-C-4200.CFE</stp>
        <stp>Bid_Price1</stp>
        <tr r="H101" s="3"/>
      </tp>
      <tp>
        <v>184.6</v>
        <stp/>
        <stp>IO2009-C-4000.CFE</stp>
        <stp>Ask_Price1</stp>
        <tr r="J99" s="3"/>
      </tp>
      <tp>
        <v>0</v>
        <stp/>
        <stp>IO2009-P-4300.CFE</stp>
        <stp>Bid_Price1</stp>
        <tr r="AH102" s="3"/>
      </tp>
      <tp>
        <v>611.80000000000007</v>
        <stp/>
        <stp>IO2009-P-4000.CFE</stp>
        <stp>Ask_Price1</stp>
        <tr r="AJ99" s="3"/>
      </tp>
      <tp>
        <v>1</v>
        <stp/>
        <stp>IO2009-C-4300.CFE</stp>
        <stp>Bid_Price1</stp>
        <tr r="H102" s="3"/>
      </tp>
      <tp>
        <v>111</v>
        <stp/>
        <stp>IO2009-C-4300.CFE</stp>
        <stp>Ask_Price1</stp>
        <tr r="J102" s="3"/>
      </tp>
      <tp>
        <v>0</v>
        <stp/>
        <stp>IO2009-P-4000.CFE</stp>
        <stp>Bid_Price1</stp>
        <tr r="AH99" s="3"/>
      </tp>
      <tp>
        <v>0</v>
        <stp/>
        <stp>IO2009-P-4300.CFE</stp>
        <stp>Ask_Price1</stp>
        <tr r="AJ102" s="3"/>
      </tp>
      <tp>
        <v>150.6</v>
        <stp/>
        <stp>IO2009-C-4000.CFE</stp>
        <stp>Bid_Price1</stp>
        <tr r="H99" s="3"/>
      </tp>
      <tp>
        <v>0</v>
        <stp/>
        <stp>IO2009-C-4200.CFE</stp>
        <stp>Ask_Price1</stp>
        <tr r="J101" s="3"/>
      </tp>
      <tp>
        <v>0</v>
        <stp/>
        <stp>IO2009-P-4100.CFE</stp>
        <stp>Bid_Price1</stp>
        <tr r="AH100" s="3"/>
      </tp>
      <tp>
        <v>0</v>
        <stp/>
        <stp>IO2009-P-4200.CFE</stp>
        <stp>Ask_Price1</stp>
        <tr r="AJ101" s="3"/>
      </tp>
      <tp>
        <v>100.60000000000001</v>
        <stp/>
        <stp>IO2009-C-4100.CFE</stp>
        <stp>Bid_Price1</stp>
        <tr r="H100" s="3"/>
      </tp>
      <tp>
        <v>85</v>
        <stp/>
        <stp>IO2009-C-4500.CFE</stp>
        <stp>Ask_Price1</stp>
        <tr r="J104" s="3"/>
      </tp>
      <tp>
        <v>0</v>
        <stp/>
        <stp>IO2009-P-4600.CFE</stp>
        <stp>Bid_Price1</stp>
        <tr r="AH105" s="3"/>
      </tp>
      <tp>
        <v>0</v>
        <stp/>
        <stp>IO2009-P-4500.CFE</stp>
        <stp>Ask_Price1</stp>
        <tr r="AJ104" s="3"/>
      </tp>
      <tp>
        <v>41.800000000000004</v>
        <stp/>
        <stp>IO2009-C-4600.CFE</stp>
        <stp>Bid_Price1</stp>
        <tr r="H105" s="3"/>
      </tp>
      <tp>
        <v>96.600000000000009</v>
        <stp/>
        <stp>IO2009-C-4400.CFE</stp>
        <stp>Ask_Price1</stp>
        <tr r="J103" s="3"/>
      </tp>
      <tp>
        <v>0</v>
        <stp/>
        <stp>IO2009-P-4700.CFE</stp>
        <stp>Bid_Price1</stp>
        <tr r="AH106" s="3"/>
      </tp>
      <tp>
        <v>0</v>
        <stp/>
        <stp>IO2009-P-4400.CFE</stp>
        <stp>Ask_Price1</stp>
        <tr r="AJ103" s="3"/>
      </tp>
      <tp>
        <v>48.800000000000004</v>
        <stp/>
        <stp>IO2009-C-4700.CFE</stp>
        <stp>Bid_Price1</stp>
        <tr r="H106" s="3"/>
      </tp>
      <tp>
        <v>59.800000000000004</v>
        <stp/>
        <stp>IO2009-C-4700.CFE</stp>
        <stp>Ask_Price1</stp>
        <tr r="J106" s="3"/>
      </tp>
      <tp>
        <v>0</v>
        <stp/>
        <stp>IO2009-P-4400.CFE</stp>
        <stp>Bid_Price1</stp>
        <tr r="AH103" s="3"/>
      </tp>
      <tp>
        <v>0</v>
        <stp/>
        <stp>IO2009-P-4700.CFE</stp>
        <stp>Ask_Price1</stp>
        <tr r="AJ106" s="3"/>
      </tp>
      <tp>
        <v>0</v>
        <stp/>
        <stp>IO2009-C-4400.CFE</stp>
        <stp>Bid_Price1</stp>
        <tr r="H103" s="3"/>
      </tp>
      <tp>
        <v>80</v>
        <stp/>
        <stp>IO2009-C-4600.CFE</stp>
        <stp>Ask_Price1</stp>
        <tr r="J105" s="3"/>
      </tp>
      <tp>
        <v>0</v>
        <stp/>
        <stp>IO2009-P-4500.CFE</stp>
        <stp>Bid_Price1</stp>
        <tr r="AH104" s="3"/>
      </tp>
      <tp>
        <v>0</v>
        <stp/>
        <stp>IO2009-P-4600.CFE</stp>
        <stp>Ask_Price1</stp>
        <tr r="AJ105" s="3"/>
      </tp>
      <tp>
        <v>0</v>
        <stp/>
        <stp>IO2009-C-4500.CFE</stp>
        <stp>Bid_Price1</stp>
        <tr r="H104" s="3"/>
      </tp>
      <tp>
        <v>3698.05</v>
        <stp/>
        <stp>000300.SH</stp>
        <stp>PreClose</stp>
        <tr r="G2" s="3"/>
        <tr r="G2" s="1"/>
        <tr r="AG2" s="3"/>
      </tp>
      <tp>
        <v>0.3654</v>
        <stp/>
        <stp>10002390.SH</stp>
        <stp>LastPrice</stp>
        <tr r="F9" s="1"/>
      </tp>
      <tp>
        <v>2.07E-2</v>
        <stp/>
        <stp>10002391.SH</stp>
        <stp>LastPrice</stp>
        <tr r="AF8" s="1"/>
      </tp>
      <tp>
        <v>3.2199999999999999E-2</v>
        <stp/>
        <stp>10002392.SH</stp>
        <stp>LastPrice</stp>
        <tr r="AF9" s="1"/>
      </tp>
      <tp>
        <v>0.1578</v>
        <stp/>
        <stp>10002180.SH</stp>
        <stp>LastPrice</stp>
        <tr r="AF36" s="1"/>
      </tp>
      <tp>
        <v>2.1000000000000003E-3</v>
        <stp/>
        <stp>10002381.SH</stp>
        <stp>LastPrice</stp>
        <tr r="F21" s="1"/>
      </tp>
      <tp>
        <v>0.2039</v>
        <stp/>
        <stp>10002181.SH</stp>
        <stp>LastPrice</stp>
        <tr r="AF37" s="1"/>
      </tp>
      <tp>
        <v>0.8711000000000001</v>
        <stp/>
        <stp>10002382.SH</stp>
        <stp>LastPrice</stp>
        <tr r="AF21" s="1"/>
      </tp>
      <tp>
        <v>0.25700000000000001</v>
        <stp/>
        <stp>10002182.SH</stp>
        <stp>LastPrice</stp>
        <tr r="AF38" s="1"/>
      </tp>
      <tp>
        <v>6.0000000000000005E-2</v>
        <stp/>
        <stp>10002383.SH</stp>
        <stp>LastPrice</stp>
        <tr r="F62" s="1"/>
      </tp>
      <tp>
        <v>0.31540000000000001</v>
        <stp/>
        <stp>10002183.SH</stp>
        <stp>LastPrice</stp>
        <tr r="AF39" s="1"/>
      </tp>
      <tp>
        <v>0.92930000000000001</v>
        <stp/>
        <stp>10002384.SH</stp>
        <stp>LastPrice</stp>
        <tr r="AF62" s="1"/>
      </tp>
      <tp>
        <v>0.38520000000000004</v>
        <stp/>
        <stp>10002184.SH</stp>
        <stp>LastPrice</stp>
        <tr r="AF40" s="1"/>
      </tp>
      <tp>
        <v>0.45700000000000002</v>
        <stp/>
        <stp>10002185.SH</stp>
        <stp>LastPrice</stp>
        <tr r="AF41" s="1"/>
      </tp>
      <tp>
        <v>0.54200000000000004</v>
        <stp/>
        <stp>10002186.SH</stp>
        <stp>LastPrice</stp>
        <tr r="AF42" s="1"/>
      </tp>
      <tp>
        <v>0.63680000000000003</v>
        <stp/>
        <stp>10002187.SH</stp>
        <stp>LastPrice</stp>
        <tr r="AF43" s="1"/>
      </tp>
      <tp>
        <v>0.71300000000000008</v>
        <stp/>
        <stp>10002188.SH</stp>
        <stp>LastPrice</stp>
        <tr r="AF44" s="1"/>
      </tp>
      <tp>
        <v>0.4572</v>
        <stp/>
        <stp>10002389.SH</stp>
        <stp>LastPrice</stp>
        <tr r="F8" s="1"/>
      </tp>
      <tp>
        <v>2951</v>
        <stp/>
        <stp>10002459.SH</stp>
        <stp>Volume</stp>
        <tr r="G30" s="1"/>
      </tp>
      <tp>
        <v>81</v>
        <stp/>
        <stp>10002429.SH</stp>
        <stp>Volume</stp>
        <tr r="G31" s="1"/>
      </tp>
      <tp>
        <v>380</v>
        <stp/>
        <stp>10002259.SH</stp>
        <stp>Volume</stp>
        <tr r="AG54" s="1"/>
      </tp>
      <tp>
        <v>1080</v>
        <stp/>
        <stp>10002249.SH</stp>
        <stp>Volume</stp>
        <tr r="G53" s="1"/>
      </tp>
      <tp>
        <v>2254</v>
        <stp/>
        <stp>10002229.SH</stp>
        <stp>Volume</stp>
        <tr r="G46" s="1"/>
      </tp>
      <tp>
        <v>1880</v>
        <stp/>
        <stp>10002389.SH</stp>
        <stp>Volume</stp>
        <tr r="G8" s="1"/>
      </tp>
      <tp>
        <v>10038</v>
        <stp/>
        <stp>10002359.SH</stp>
        <stp>Volume</stp>
        <tr r="G20" s="1"/>
      </tp>
      <tp>
        <v>179</v>
        <stp/>
        <stp>10002329.SH</stp>
        <stp>Volume</stp>
        <tr r="G51" s="1"/>
      </tp>
      <tp>
        <v>1306</v>
        <stp/>
        <stp>10002179.SH</stp>
        <stp>Volume</stp>
        <tr r="G44" s="1"/>
      </tp>
      <tp>
        <v>2677</v>
        <stp/>
        <stp>10002458.SH</stp>
        <stp>Volume</stp>
        <tr r="G29" s="1"/>
      </tp>
      <tp>
        <v>481</v>
        <stp/>
        <stp>10002468.SH</stp>
        <stp>Volume</stp>
        <tr r="AG30" s="1"/>
      </tp>
      <tp>
        <v>7247</v>
        <stp/>
        <stp>10002428.SH</stp>
        <stp>Volume</stp>
        <tr r="AG6" s="1"/>
      </tp>
      <tp>
        <v>1543</v>
        <stp/>
        <stp>10002258.SH</stp>
        <stp>Volume</stp>
        <tr r="AG53" s="1"/>
      </tp>
      <tp>
        <v>3441</v>
        <stp/>
        <stp>10002358.SH</stp>
        <stp>Volume</stp>
        <tr r="G19" s="1"/>
      </tp>
      <tp>
        <v>284</v>
        <stp/>
        <stp>10002368.SH</stp>
        <stp>Volume</stp>
        <tr r="AG20" s="1"/>
      </tp>
      <tp>
        <v>73</v>
        <stp/>
        <stp>10002328.SH</stp>
        <stp>Volume</stp>
        <tr r="G50" s="1"/>
      </tp>
      <tp>
        <v>126</v>
        <stp/>
        <stp>10002188.SH</stp>
        <stp>Volume</stp>
        <tr r="AG44" s="1"/>
      </tp>
      <tp>
        <v>1624</v>
        <stp/>
        <stp>10002178.SH</stp>
        <stp>Volume</stp>
        <tr r="G43" s="1"/>
      </tp>
      <tp>
        <v>3340</v>
        <stp/>
        <stp>10002455.SH</stp>
        <stp>Volume</stp>
        <tr r="G26" s="1"/>
      </tp>
      <tp>
        <v>1516</v>
        <stp/>
        <stp>10002465.SH</stp>
        <stp>Volume</stp>
        <tr r="AG27" s="1"/>
      </tp>
      <tp>
        <v>138</v>
        <stp/>
        <stp>10002415.SH</stp>
        <stp>Volume</stp>
        <tr r="G48" s="1"/>
      </tp>
      <tp>
        <v>349</v>
        <stp/>
        <stp>10002255.SH</stp>
        <stp>Volume</stp>
        <tr r="G59" s="1"/>
      </tp>
      <tp>
        <v>21</v>
        <stp/>
        <stp>10002265.SH</stp>
        <stp>Volume</stp>
        <tr r="AG60" s="1"/>
      </tp>
      <tp>
        <v>20216</v>
        <stp/>
        <stp>10002355.SH</stp>
        <stp>Volume</stp>
        <tr r="G16" s="1"/>
      </tp>
      <tp>
        <v>43843</v>
        <stp/>
        <stp>10002375.SH</stp>
        <stp>Volume</stp>
        <tr r="AG10" s="1"/>
      </tp>
      <tp>
        <v>809</v>
        <stp/>
        <stp>10002365.SH</stp>
        <stp>Volume</stp>
        <tr r="AG17" s="1"/>
      </tp>
      <tp>
        <v>2175</v>
        <stp/>
        <stp>10002325.SH</stp>
        <stp>Volume</stp>
        <tr r="AG34" s="1"/>
      </tp>
      <tp>
        <v>95</v>
        <stp/>
        <stp>10002185.SH</stp>
        <stp>Volume</stp>
        <tr r="AG41" s="1"/>
      </tp>
      <tp>
        <v>2389</v>
        <stp/>
        <stp>10002175.SH</stp>
        <stp>Volume</stp>
        <tr r="G40" s="1"/>
      </tp>
      <tp>
        <v>3.8900000000000004E-2</v>
        <stp/>
        <stp>10002430.SH</stp>
        <stp>LastPrice</stp>
        <tr r="AF31" s="1"/>
      </tp>
      <tp>
        <v>0.1255</v>
        <stp/>
        <stp>10002330.SH</stp>
        <stp>LastPrice</stp>
        <tr r="AF49" s="1"/>
      </tp>
      <tp>
        <v>0.89690000000000003</v>
        <stp/>
        <stp>10002230.SH</stp>
        <stp>LastPrice</stp>
        <tr r="AF46" s="1"/>
      </tp>
      <tp>
        <v>0.70000000000000007</v>
        <stp/>
        <stp>10002431.SH</stp>
        <stp>LastPrice</stp>
        <tr r="F47" s="1"/>
      </tp>
      <tp>
        <v>0.15920000000000001</v>
        <stp/>
        <stp>10002331.SH</stp>
        <stp>LastPrice</stp>
        <tr r="AF50" s="1"/>
      </tp>
      <tp>
        <v>7.7700000000000005E-2</v>
        <stp/>
        <stp>10002432.SH</stp>
        <stp>LastPrice</stp>
        <tr r="AF47" s="1"/>
      </tp>
      <tp>
        <v>0.1928</v>
        <stp/>
        <stp>10002332.SH</stp>
        <stp>LastPrice</stp>
        <tr r="AF51" s="1"/>
      </tp>
      <tp>
        <v>1386</v>
        <stp/>
        <stp>10002454.SH</stp>
        <stp>Volume</stp>
        <tr r="G25" s="1"/>
      </tp>
      <tp>
        <v>4492</v>
        <stp/>
        <stp>10002464.SH</stp>
        <stp>Volume</stp>
        <tr r="AG26" s="1"/>
      </tp>
      <tp>
        <v>2410</v>
        <stp/>
        <stp>10002414.SH</stp>
        <stp>Volume</stp>
        <tr r="AG32" s="1"/>
      </tp>
      <tp>
        <v>697</v>
        <stp/>
        <stp>10002254.SH</stp>
        <stp>Volume</stp>
        <tr r="G58" s="1"/>
      </tp>
      <tp>
        <v>32</v>
        <stp/>
        <stp>10002264.SH</stp>
        <stp>Volume</stp>
        <tr r="AG59" s="1"/>
      </tp>
      <tp>
        <v>24</v>
        <stp/>
        <stp>10002384.SH</stp>
        <stp>Volume</stp>
        <tr r="AG62" s="1"/>
      </tp>
      <tp>
        <v>28413</v>
        <stp/>
        <stp>10002354.SH</stp>
        <stp>Volume</stp>
        <tr r="G15" s="1"/>
      </tp>
      <tp>
        <v>46458</v>
        <stp/>
        <stp>10002374.SH</stp>
        <stp>Volume</stp>
        <tr r="G11" s="1"/>
      </tp>
      <tp>
        <v>3124</v>
        <stp/>
        <stp>10002364.SH</stp>
        <stp>Volume</stp>
        <tr r="AG16" s="1"/>
      </tp>
      <tp>
        <v>2200</v>
        <stp/>
        <stp>10002324.SH</stp>
        <stp>Volume</stp>
        <tr r="AG33" s="1"/>
      </tp>
      <tp>
        <v>594</v>
        <stp/>
        <stp>10002184.SH</stp>
        <stp>Volume</stp>
        <tr r="AG40" s="1"/>
      </tp>
      <tp>
        <v>2765</v>
        <stp/>
        <stp>10002174.SH</stp>
        <stp>Volume</stp>
        <tr r="G39" s="1"/>
      </tp>
      <tp>
        <v>0.5</v>
        <stp/>
        <stp>10002321.SH</stp>
        <stp>LastPrice</stp>
        <tr r="F33" s="1"/>
      </tp>
      <tp>
        <v>3.4500000000000003E-2</v>
        <stp/>
        <stp>10002221.SH</stp>
        <stp>LastPrice</stp>
        <tr r="F45" s="1"/>
      </tp>
      <tp>
        <v>0.42500000000000004</v>
        <stp/>
        <stp>10002322.SH</stp>
        <stp>LastPrice</stp>
        <tr r="F34" s="1"/>
      </tp>
      <tp>
        <v>0.79749999999999999</v>
        <stp/>
        <stp>10002222.SH</stp>
        <stp>LastPrice</stp>
        <tr r="AF45" s="1"/>
      </tp>
      <tp>
        <v>0.35370000000000001</v>
        <stp/>
        <stp>10002323.SH</stp>
        <stp>LastPrice</stp>
        <tr r="F35" s="1"/>
      </tp>
      <tp>
        <v>6.9500000000000006E-2</v>
        <stp/>
        <stp>10002324.SH</stp>
        <stp>LastPrice</stp>
        <tr r="AF33" s="1"/>
      </tp>
      <tp>
        <v>9.0999999999999998E-2</v>
        <stp/>
        <stp>10002325.SH</stp>
        <stp>LastPrice</stp>
        <tr r="AF34" s="1"/>
      </tp>
      <tp>
        <v>0.12000000000000001</v>
        <stp/>
        <stp>10002326.SH</stp>
        <stp>LastPrice</stp>
        <tr r="AF35" s="1"/>
      </tp>
      <tp>
        <v>0.64100000000000001</v>
        <stp/>
        <stp>10002427.SH</stp>
        <stp>LastPrice</stp>
        <tr r="F6" s="1"/>
      </tp>
      <tp>
        <v>0.5514</v>
        <stp/>
        <stp>10002327.SH</stp>
        <stp>LastPrice</stp>
        <tr r="F49" s="1"/>
      </tp>
      <tp>
        <v>7.7000000000000002E-3</v>
        <stp/>
        <stp>10002428.SH</stp>
        <stp>LastPrice</stp>
        <tr r="AF6" s="1"/>
      </tp>
      <tp>
        <v>0.4773</v>
        <stp/>
        <stp>10002328.SH</stp>
        <stp>LastPrice</stp>
        <tr r="F50" s="1"/>
      </tp>
      <tp>
        <v>0.65950000000000009</v>
        <stp/>
        <stp>10002429.SH</stp>
        <stp>LastPrice</stp>
        <tr r="F31" s="1"/>
      </tp>
      <tp>
        <v>0.41800000000000004</v>
        <stp/>
        <stp>10002329.SH</stp>
        <stp>LastPrice</stp>
        <tr r="F51" s="1"/>
      </tp>
      <tp>
        <v>2.75E-2</v>
        <stp/>
        <stp>10002229.SH</stp>
        <stp>LastPrice</stp>
        <tr r="F46" s="1"/>
      </tp>
      <tp>
        <v>2134</v>
        <stp/>
        <stp>10002457.SH</stp>
        <stp>Volume</stp>
        <tr r="G28" s="1"/>
      </tp>
      <tp>
        <v>666</v>
        <stp/>
        <stp>10002467.SH</stp>
        <stp>Volume</stp>
        <tr r="AG29" s="1"/>
      </tp>
      <tp>
        <v>603</v>
        <stp/>
        <stp>10002427.SH</stp>
        <stp>Volume</stp>
        <tr r="G6" s="1"/>
      </tp>
      <tp>
        <v>1632</v>
        <stp/>
        <stp>10002257.SH</stp>
        <stp>Volume</stp>
        <tr r="G61" s="1"/>
      </tp>
      <tp>
        <v>4997</v>
        <stp/>
        <stp>10002357.SH</stp>
        <stp>Volume</stp>
        <tr r="G18" s="1"/>
      </tp>
      <tp>
        <v>191</v>
        <stp/>
        <stp>10002367.SH</stp>
        <stp>Volume</stp>
        <tr r="AG19" s="1"/>
      </tp>
      <tp>
        <v>114</v>
        <stp/>
        <stp>10002327.SH</stp>
        <stp>Volume</stp>
        <tr r="G49" s="1"/>
      </tp>
      <tp>
        <v>102</v>
        <stp/>
        <stp>10002187.SH</stp>
        <stp>Volume</stp>
        <tr r="AG43" s="1"/>
      </tp>
      <tp>
        <v>2538</v>
        <stp/>
        <stp>10002177.SH</stp>
        <stp>Volume</stp>
        <tr r="G42" s="1"/>
      </tp>
      <tp>
        <v>0.55110000000000003</v>
        <stp/>
        <stp>10002411.SH</stp>
        <stp>LastPrice</stp>
        <tr r="F7" s="1"/>
      </tp>
      <tp>
        <v>1.3000000000000001E-2</v>
        <stp/>
        <stp>10002412.SH</stp>
        <stp>LastPrice</stp>
        <tr r="AF7" s="1"/>
      </tp>
      <tp>
        <v>0.57300000000000006</v>
        <stp/>
        <stp>10002413.SH</stp>
        <stp>LastPrice</stp>
        <tr r="F32" s="1"/>
      </tp>
      <tp>
        <v>5.2000000000000005E-2</v>
        <stp/>
        <stp>10002414.SH</stp>
        <stp>LastPrice</stp>
        <tr r="AF32" s="1"/>
      </tp>
      <tp>
        <v>0.61780000000000002</v>
        <stp/>
        <stp>10002415.SH</stp>
        <stp>LastPrice</stp>
        <tr r="F48" s="1"/>
      </tp>
      <tp>
        <v>9.9000000000000005E-2</v>
        <stp/>
        <stp>10002416.SH</stp>
        <stp>LastPrice</stp>
        <tr r="AF48" s="1"/>
      </tp>
      <tp>
        <v>2979</v>
        <stp/>
        <stp>10002456.SH</stp>
        <stp>Volume</stp>
        <tr r="G27" s="1"/>
      </tp>
      <tp>
        <v>724</v>
        <stp/>
        <stp>10002466.SH</stp>
        <stp>Volume</stp>
        <tr r="AG28" s="1"/>
      </tp>
      <tp>
        <v>1298</v>
        <stp/>
        <stp>10002416.SH</stp>
        <stp>Volume</stp>
        <tr r="AG48" s="1"/>
      </tp>
      <tp>
        <v>416</v>
        <stp/>
        <stp>10002256.SH</stp>
        <stp>Volume</stp>
        <tr r="G60" s="1"/>
      </tp>
      <tp>
        <v>9</v>
        <stp/>
        <stp>10002266.SH</stp>
        <stp>Volume</stp>
        <tr r="AG61" s="1"/>
      </tp>
      <tp>
        <v>13100</v>
        <stp/>
        <stp>10002356.SH</stp>
        <stp>Volume</stp>
        <tr r="G17" s="1"/>
      </tp>
      <tp>
        <v>62854</v>
        <stp/>
        <stp>10002376.SH</stp>
        <stp>Volume</stp>
        <tr r="AG11" s="1"/>
      </tp>
      <tp>
        <v>244</v>
        <stp/>
        <stp>10002366.SH</stp>
        <stp>Volume</stp>
        <tr r="AG18" s="1"/>
      </tp>
      <tp>
        <v>1484</v>
        <stp/>
        <stp>10002326.SH</stp>
        <stp>Volume</stp>
        <tr r="AG35" s="1"/>
      </tp>
      <tp>
        <v>228</v>
        <stp/>
        <stp>10002186.SH</stp>
        <stp>Volume</stp>
        <tr r="AG42" s="1"/>
      </tp>
      <tp>
        <v>1516</v>
        <stp/>
        <stp>10002176.SH</stp>
        <stp>Volume</stp>
        <tr r="G41" s="1"/>
      </tp>
      <tp>
        <v>404</v>
        <stp/>
        <stp>10002451.SH</stp>
        <stp>Volume</stp>
        <tr r="G22" s="1"/>
      </tp>
      <tp>
        <v>2393</v>
        <stp/>
        <stp>10002461.SH</stp>
        <stp>Volume</stp>
        <tr r="AG23" s="1"/>
      </tp>
      <tp>
        <v>655</v>
        <stp/>
        <stp>10002411.SH</stp>
        <stp>Volume</stp>
        <tr r="G7" s="1"/>
      </tp>
      <tp>
        <v>175</v>
        <stp/>
        <stp>10002431.SH</stp>
        <stp>Volume</stp>
        <tr r="G47" s="1"/>
      </tp>
      <tp>
        <v>533</v>
        <stp/>
        <stp>10002251.SH</stp>
        <stp>Volume</stp>
        <tr r="G55" s="1"/>
      </tp>
      <tp>
        <v>275</v>
        <stp/>
        <stp>10002271.SH</stp>
        <stp>Volume</stp>
        <tr r="G52" s="1"/>
      </tp>
      <tp>
        <v>264</v>
        <stp/>
        <stp>10002261.SH</stp>
        <stp>Volume</stp>
        <tr r="AG56" s="1"/>
      </tp>
      <tp>
        <v>1036</v>
        <stp/>
        <stp>10002221.SH</stp>
        <stp>Volume</stp>
        <tr r="G45" s="1"/>
      </tp>
      <tp>
        <v>15538</v>
        <stp/>
        <stp>10002391.SH</stp>
        <stp>Volume</stp>
        <tr r="AG8" s="1"/>
      </tp>
      <tp>
        <v>2218</v>
        <stp/>
        <stp>10002381.SH</stp>
        <stp>Volume</stp>
        <tr r="G21" s="1"/>
      </tp>
      <tp>
        <v>84597</v>
        <stp/>
        <stp>10002351.SH</stp>
        <stp>Volume</stp>
        <tr r="G12" s="1"/>
      </tp>
      <tp>
        <v>34103</v>
        <stp/>
        <stp>10002361.SH</stp>
        <stp>Volume</stp>
        <tr r="AG13" s="1"/>
      </tp>
      <tp>
        <v>348</v>
        <stp/>
        <stp>10002331.SH</stp>
        <stp>Volume</stp>
        <tr r="AG50" s="1"/>
      </tp>
      <tp>
        <v>152</v>
        <stp/>
        <stp>10002321.SH</stp>
        <stp>Volume</stp>
        <tr r="G33" s="1"/>
      </tp>
      <tp>
        <v>3404</v>
        <stp/>
        <stp>10002181.SH</stp>
        <stp>Volume</stp>
        <tr r="AG37" s="1"/>
      </tp>
      <tp>
        <v>1015</v>
        <stp/>
        <stp>10002171.SH</stp>
        <stp>Volume</stp>
        <tr r="G36" s="1"/>
      </tp>
      <tp>
        <v>0.36749999999999999</v>
        <stp/>
        <stp>10002271.SH</stp>
        <stp>LastPrice</stp>
        <tr r="F52" s="1"/>
      </tp>
      <tp>
        <v>0.28760000000000002</v>
        <stp/>
        <stp>10002171.SH</stp>
        <stp>LastPrice</stp>
        <tr r="F36" s="1"/>
      </tp>
      <tp>
        <v>0.23420000000000002</v>
        <stp/>
        <stp>10002272.SH</stp>
        <stp>LastPrice</stp>
        <tr r="AF52" s="1"/>
      </tp>
      <tp>
        <v>0.23570000000000002</v>
        <stp/>
        <stp>10002172.SH</stp>
        <stp>LastPrice</stp>
        <tr r="F37" s="1"/>
      </tp>
      <tp>
        <v>0.28689999999999999</v>
        <stp/>
        <stp>10002373.SH</stp>
        <stp>LastPrice</stp>
        <tr r="F10" s="1"/>
      </tp>
      <tp>
        <v>0.183</v>
        <stp/>
        <stp>10002173.SH</stp>
        <stp>LastPrice</stp>
        <tr r="F38" s="1"/>
      </tp>
      <tp>
        <v>0.21330000000000002</v>
        <stp/>
        <stp>10002374.SH</stp>
        <stp>LastPrice</stp>
        <tr r="F11" s="1"/>
      </tp>
      <tp>
        <v>0.14990000000000001</v>
        <stp/>
        <stp>10002174.SH</stp>
        <stp>LastPrice</stp>
        <tr r="F39" s="1"/>
      </tp>
      <tp>
        <v>5.04E-2</v>
        <stp/>
        <stp>10002375.SH</stp>
        <stp>LastPrice</stp>
        <tr r="AF10" s="1"/>
      </tp>
      <tp>
        <v>0.11700000000000001</v>
        <stp/>
        <stp>10002175.SH</stp>
        <stp>LastPrice</stp>
        <tr r="F40" s="1"/>
      </tp>
      <tp>
        <v>7.6999999999999999E-2</v>
        <stp/>
        <stp>10002376.SH</stp>
        <stp>LastPrice</stp>
        <tr r="AF11" s="1"/>
      </tp>
      <tp>
        <v>9.0900000000000009E-2</v>
        <stp/>
        <stp>10002176.SH</stp>
        <stp>LastPrice</stp>
        <tr r="F41" s="1"/>
      </tp>
      <tp>
        <v>7.2000000000000008E-2</v>
        <stp/>
        <stp>10002177.SH</stp>
        <stp>LastPrice</stp>
        <tr r="F42" s="1"/>
      </tp>
      <tp>
        <v>5.5300000000000002E-2</v>
        <stp/>
        <stp>10002178.SH</stp>
        <stp>LastPrice</stp>
        <tr r="F43" s="1"/>
      </tp>
      <tp>
        <v>4.4000000000000004E-2</v>
        <stp/>
        <stp>10002179.SH</stp>
        <stp>LastPrice</stp>
        <tr r="F44" s="1"/>
      </tp>
      <tp>
        <v>2549</v>
        <stp/>
        <stp>10002460.SH</stp>
        <stp>Volume</stp>
        <tr r="AG22" s="1"/>
      </tp>
      <tp>
        <v>3686</v>
        <stp/>
        <stp>10002430.SH</stp>
        <stp>Volume</stp>
        <tr r="AG31" s="1"/>
      </tp>
      <tp>
        <v>636</v>
        <stp/>
        <stp>10002250.SH</stp>
        <stp>Volume</stp>
        <tr r="G54" s="1"/>
      </tp>
      <tp>
        <v>341</v>
        <stp/>
        <stp>10002260.SH</stp>
        <stp>Volume</stp>
        <tr r="AG55" s="1"/>
      </tp>
      <tp>
        <v>78</v>
        <stp/>
        <stp>10002230.SH</stp>
        <stp>Volume</stp>
        <tr r="AG46" s="1"/>
      </tp>
      <tp>
        <v>8539</v>
        <stp/>
        <stp>10002390.SH</stp>
        <stp>Volume</stp>
        <tr r="G9" s="1"/>
      </tp>
      <tp>
        <v>70604</v>
        <stp/>
        <stp>10002360.SH</stp>
        <stp>Volume</stp>
        <tr r="AG12" s="1"/>
      </tp>
      <tp>
        <v>801</v>
        <stp/>
        <stp>10002330.SH</stp>
        <stp>Volume</stp>
        <tr r="AG49" s="1"/>
      </tp>
      <tp>
        <v>3406</v>
        <stp/>
        <stp>10002180.SH</stp>
        <stp>Volume</stp>
        <tr r="AG36" s="1"/>
      </tp>
      <tp>
        <v>4.9399999999999999E-2</v>
        <stp/>
        <stp>10002460.SH</stp>
        <stp>LastPrice</stp>
        <tr r="AF22" s="1"/>
      </tp>
      <tp>
        <v>0.11220000000000001</v>
        <stp/>
        <stp>10002360.SH</stp>
        <stp>LastPrice</stp>
        <tr r="AF12" s="1"/>
      </tp>
      <tp>
        <v>0.39480000000000004</v>
        <stp/>
        <stp>10002260.SH</stp>
        <stp>LastPrice</stp>
        <tr r="AF55" s="1"/>
      </tp>
      <tp>
        <v>7.0500000000000007E-2</v>
        <stp/>
        <stp>10002461.SH</stp>
        <stp>LastPrice</stp>
        <tr r="AF23" s="1"/>
      </tp>
      <tp>
        <v>0.16350000000000001</v>
        <stp/>
        <stp>10002361.SH</stp>
        <stp>LastPrice</stp>
        <tr r="AF13" s="1"/>
      </tp>
      <tp>
        <v>0.45650000000000002</v>
        <stp/>
        <stp>10002261.SH</stp>
        <stp>LastPrice</stp>
        <tr r="AF56" s="1"/>
      </tp>
      <tp>
        <v>9.0000000000000011E-2</v>
        <stp/>
        <stp>10002462.SH</stp>
        <stp>LastPrice</stp>
        <tr r="AF24" s="1"/>
      </tp>
      <tp>
        <v>0.22700000000000001</v>
        <stp/>
        <stp>10002362.SH</stp>
        <stp>LastPrice</stp>
        <tr r="AF14" s="1"/>
      </tp>
      <tp>
        <v>0.52470000000000006</v>
        <stp/>
        <stp>10002262.SH</stp>
        <stp>LastPrice</stp>
        <tr r="AF57" s="1"/>
      </tp>
      <tp>
        <v>0.11800000000000001</v>
        <stp/>
        <stp>10002463.SH</stp>
        <stp>LastPrice</stp>
        <tr r="AF25" s="1"/>
      </tp>
      <tp>
        <v>0.30049999999999999</v>
        <stp/>
        <stp>10002363.SH</stp>
        <stp>LastPrice</stp>
        <tr r="AF15" s="1"/>
      </tp>
      <tp>
        <v>0.59740000000000004</v>
        <stp/>
        <stp>10002263.SH</stp>
        <stp>LastPrice</stp>
        <tr r="AF58" s="1"/>
      </tp>
      <tp>
        <v>0.1948</v>
        <stp/>
        <stp>10002464.SH</stp>
        <stp>LastPrice</stp>
        <tr r="AF26" s="1"/>
      </tp>
      <tp>
        <v>0.38540000000000002</v>
        <stp/>
        <stp>10002364.SH</stp>
        <stp>LastPrice</stp>
        <tr r="AF16" s="1"/>
      </tp>
      <tp>
        <v>0.67310000000000003</v>
        <stp/>
        <stp>10002264.SH</stp>
        <stp>LastPrice</stp>
        <tr r="AF59" s="1"/>
      </tp>
      <tp>
        <v>0.22340000000000002</v>
        <stp/>
        <stp>10002465.SH</stp>
        <stp>LastPrice</stp>
        <tr r="AF27" s="1"/>
      </tp>
      <tp>
        <v>0.47500000000000003</v>
        <stp/>
        <stp>10002365.SH</stp>
        <stp>LastPrice</stp>
        <tr r="AF17" s="1"/>
      </tp>
      <tp>
        <v>0.7571</v>
        <stp/>
        <stp>10002265.SH</stp>
        <stp>LastPrice</stp>
        <tr r="AF60" s="1"/>
      </tp>
      <tp>
        <v>0.28450000000000003</v>
        <stp/>
        <stp>10002466.SH</stp>
        <stp>LastPrice</stp>
        <tr r="AF28" s="1"/>
      </tp>
      <tp>
        <v>0.57000000000000006</v>
        <stp/>
        <stp>10002366.SH</stp>
        <stp>LastPrice</stp>
        <tr r="AF18" s="1"/>
      </tp>
      <tp>
        <v>0.83640000000000003</v>
        <stp/>
        <stp>10002266.SH</stp>
        <stp>LastPrice</stp>
        <tr r="AF61" s="1"/>
      </tp>
      <tp>
        <v>0.35560000000000003</v>
        <stp/>
        <stp>10002467.SH</stp>
        <stp>LastPrice</stp>
        <tr r="AF29" s="1"/>
      </tp>
      <tp>
        <v>0.67749999999999999</v>
        <stp/>
        <stp>10002367.SH</stp>
        <stp>LastPrice</stp>
        <tr r="AF19" s="1"/>
      </tp>
      <tp>
        <v>0.42900000000000005</v>
        <stp/>
        <stp>10002468.SH</stp>
        <stp>LastPrice</stp>
        <tr r="AF30" s="1"/>
      </tp>
      <tp>
        <v>0.77770000000000006</v>
        <stp/>
        <stp>10002368.SH</stp>
        <stp>LastPrice</stp>
        <tr r="AF20" s="1"/>
      </tp>
      <tp>
        <v>502</v>
        <stp/>
        <stp>10002453.SH</stp>
        <stp>Volume</stp>
        <tr r="G24" s="1"/>
      </tp>
      <tp>
        <v>2069</v>
        <stp/>
        <stp>10002463.SH</stp>
        <stp>Volume</stp>
        <tr r="AG25" s="1"/>
      </tp>
      <tp>
        <v>73</v>
        <stp/>
        <stp>10002413.SH</stp>
        <stp>Volume</stp>
        <tr r="G32" s="1"/>
      </tp>
      <tp>
        <v>459</v>
        <stp/>
        <stp>10002253.SH</stp>
        <stp>Volume</stp>
        <tr r="G57" s="1"/>
      </tp>
      <tp>
        <v>77</v>
        <stp/>
        <stp>10002263.SH</stp>
        <stp>Volume</stp>
        <tr r="AG58" s="1"/>
      </tp>
      <tp>
        <v>1860</v>
        <stp/>
        <stp>10002383.SH</stp>
        <stp>Volume</stp>
        <tr r="G62" s="1"/>
      </tp>
      <tp>
        <v>56016</v>
        <stp/>
        <stp>10002353.SH</stp>
        <stp>Volume</stp>
        <tr r="G14" s="1"/>
      </tp>
      <tp>
        <v>20164</v>
        <stp/>
        <stp>10002373.SH</stp>
        <stp>Volume</stp>
        <tr r="G10" s="1"/>
      </tp>
      <tp>
        <v>9396</v>
        <stp/>
        <stp>10002363.SH</stp>
        <stp>Volume</stp>
        <tr r="AG15" s="1"/>
      </tp>
      <tp>
        <v>1185</v>
        <stp/>
        <stp>10002323.SH</stp>
        <stp>Volume</stp>
        <tr r="G35" s="1"/>
      </tp>
      <tp>
        <v>625</v>
        <stp/>
        <stp>10002183.SH</stp>
        <stp>Volume</stp>
        <tr r="AG39" s="1"/>
      </tp>
      <tp>
        <v>1862</v>
        <stp/>
        <stp>10002173.SH</stp>
        <stp>Volume</stp>
        <tr r="G38" s="1"/>
      </tp>
      <tp>
        <v>0.26730000000000004</v>
        <stp/>
        <stp>10002250.SH</stp>
        <stp>LastPrice</stp>
        <tr r="F54" s="1"/>
      </tp>
      <tp>
        <v>0.48110000000000003</v>
        <stp/>
        <stp>10002451.SH</stp>
        <stp>LastPrice</stp>
        <tr r="F22" s="1"/>
      </tp>
      <tp>
        <v>0.14980000000000002</v>
        <stp/>
        <stp>10002351.SH</stp>
        <stp>LastPrice</stp>
        <tr r="F12" s="1"/>
      </tp>
      <tp>
        <v>0.22920000000000001</v>
        <stp/>
        <stp>10002251.SH</stp>
        <stp>LastPrice</stp>
        <tr r="F55" s="1"/>
      </tp>
      <tp>
        <v>0.39980000000000004</v>
        <stp/>
        <stp>10002452.SH</stp>
        <stp>LastPrice</stp>
        <tr r="F23" s="1"/>
      </tp>
      <tp>
        <v>0.1</v>
        <stp/>
        <stp>10002352.SH</stp>
        <stp>LastPrice</stp>
        <tr r="F13" s="1"/>
      </tp>
      <tp>
        <v>0.19140000000000001</v>
        <stp/>
        <stp>10002252.SH</stp>
        <stp>LastPrice</stp>
        <tr r="F56" s="1"/>
      </tp>
      <tp>
        <v>0.3211</v>
        <stp/>
        <stp>10002453.SH</stp>
        <stp>LastPrice</stp>
        <tr r="F24" s="1"/>
      </tp>
      <tp>
        <v>6.3399999999999998E-2</v>
        <stp/>
        <stp>10002353.SH</stp>
        <stp>LastPrice</stp>
        <tr r="F14" s="1"/>
      </tp>
      <tp>
        <v>0.16450000000000001</v>
        <stp/>
        <stp>10002253.SH</stp>
        <stp>LastPrice</stp>
        <tr r="F57" s="1"/>
      </tp>
      <tp>
        <v>0.26100000000000001</v>
        <stp/>
        <stp>10002454.SH</stp>
        <stp>LastPrice</stp>
        <tr r="F25" s="1"/>
      </tp>
      <tp>
        <v>3.7999999999999999E-2</v>
        <stp/>
        <stp>10002354.SH</stp>
        <stp>LastPrice</stp>
        <tr r="F15" s="1"/>
      </tp>
      <tp>
        <v>0.13090000000000002</v>
        <stp/>
        <stp>10002254.SH</stp>
        <stp>LastPrice</stp>
        <tr r="F58" s="1"/>
      </tp>
      <tp>
        <v>0.20400000000000001</v>
        <stp/>
        <stp>10002455.SH</stp>
        <stp>LastPrice</stp>
        <tr r="F26" s="1"/>
      </tp>
      <tp>
        <v>2.2700000000000001E-2</v>
        <stp/>
        <stp>10002355.SH</stp>
        <stp>LastPrice</stp>
        <tr r="F16" s="1"/>
      </tp>
      <tp>
        <v>0.115</v>
        <stp/>
        <stp>10002255.SH</stp>
        <stp>LastPrice</stp>
        <tr r="F59" s="1"/>
      </tp>
      <tp>
        <v>0.1545</v>
        <stp/>
        <stp>10002456.SH</stp>
        <stp>LastPrice</stp>
        <tr r="F27" s="1"/>
      </tp>
      <tp>
        <v>1.34E-2</v>
        <stp/>
        <stp>10002356.SH</stp>
        <stp>LastPrice</stp>
        <tr r="F17" s="1"/>
      </tp>
      <tp>
        <v>9.4600000000000004E-2</v>
        <stp/>
        <stp>10002256.SH</stp>
        <stp>LastPrice</stp>
        <tr r="F60" s="1"/>
      </tp>
      <tp>
        <v>0.11600000000000001</v>
        <stp/>
        <stp>10002457.SH</stp>
        <stp>LastPrice</stp>
        <tr r="F28" s="1"/>
      </tp>
      <tp>
        <v>8.0000000000000002E-3</v>
        <stp/>
        <stp>10002357.SH</stp>
        <stp>LastPrice</stp>
        <tr r="F18" s="1"/>
      </tp>
      <tp>
        <v>7.9899999999999999E-2</v>
        <stp/>
        <stp>10002257.SH</stp>
        <stp>LastPrice</stp>
        <tr r="F61" s="1"/>
      </tp>
      <tp>
        <v>8.8099999999999998E-2</v>
        <stp/>
        <stp>10002458.SH</stp>
        <stp>LastPrice</stp>
        <tr r="F29" s="1"/>
      </tp>
      <tp>
        <v>5.0000000000000001E-3</v>
        <stp/>
        <stp>10002358.SH</stp>
        <stp>LastPrice</stp>
        <tr r="F19" s="1"/>
      </tp>
      <tp>
        <v>0.28060000000000002</v>
        <stp/>
        <stp>10002258.SH</stp>
        <stp>LastPrice</stp>
        <tr r="AF53" s="1"/>
      </tp>
      <tp>
        <v>6.4700000000000008E-2</v>
        <stp/>
        <stp>10002459.SH</stp>
        <stp>LastPrice</stp>
        <tr r="F30" s="1"/>
      </tp>
      <tp>
        <v>3.9000000000000003E-3</v>
        <stp/>
        <stp>10002359.SH</stp>
        <stp>LastPrice</stp>
        <tr r="F20" s="1"/>
      </tp>
      <tp>
        <v>0.33800000000000002</v>
        <stp/>
        <stp>10002259.SH</stp>
        <stp>LastPrice</stp>
        <tr r="AF54" s="1"/>
      </tp>
      <tp>
        <v>384</v>
        <stp/>
        <stp>10002452.SH</stp>
        <stp>Volume</stp>
        <tr r="G23" s="1"/>
      </tp>
      <tp>
        <v>2255</v>
        <stp/>
        <stp>10002462.SH</stp>
        <stp>Volume</stp>
        <tr r="AG24" s="1"/>
      </tp>
      <tp>
        <v>13000</v>
        <stp/>
        <stp>10002412.SH</stp>
        <stp>Volume</stp>
        <tr r="AG7" s="1"/>
      </tp>
      <tp>
        <v>1217</v>
        <stp/>
        <stp>10002432.SH</stp>
        <stp>Volume</stp>
        <tr r="AG47" s="1"/>
      </tp>
      <tp>
        <v>341</v>
        <stp/>
        <stp>10002252.SH</stp>
        <stp>Volume</stp>
        <tr r="G56" s="1"/>
      </tp>
      <tp>
        <v>599</v>
        <stp/>
        <stp>10002272.SH</stp>
        <stp>Volume</stp>
        <tr r="AG52" s="1"/>
      </tp>
      <tp>
        <v>61</v>
        <stp/>
        <stp>10002262.SH</stp>
        <stp>Volume</stp>
        <tr r="AG57" s="1"/>
      </tp>
      <tp>
        <v>115</v>
        <stp/>
        <stp>10002222.SH</stp>
        <stp>Volume</stp>
        <tr r="AG45" s="1"/>
      </tp>
      <tp>
        <v>30325</v>
        <stp/>
        <stp>10002392.SH</stp>
        <stp>Volume</stp>
        <tr r="AG9" s="1"/>
      </tp>
      <tp>
        <v>310</v>
        <stp/>
        <stp>10002382.SH</stp>
        <stp>Volume</stp>
        <tr r="AG21" s="1"/>
      </tp>
      <tp>
        <v>90816</v>
        <stp/>
        <stp>10002352.SH</stp>
        <stp>Volume</stp>
        <tr r="G13" s="1"/>
      </tp>
      <tp>
        <v>21212</v>
        <stp/>
        <stp>10002362.SH</stp>
        <stp>Volume</stp>
        <tr r="AG14" s="1"/>
      </tp>
      <tp>
        <v>250</v>
        <stp/>
        <stp>10002332.SH</stp>
        <stp>Volume</stp>
        <tr r="AG51" s="1"/>
      </tp>
      <tp>
        <v>270</v>
        <stp/>
        <stp>10002322.SH</stp>
        <stp>Volume</stp>
        <tr r="G34" s="1"/>
      </tp>
      <tp>
        <v>1331</v>
        <stp/>
        <stp>10002182.SH</stp>
        <stp>Volume</stp>
        <tr r="AG38" s="1"/>
      </tp>
      <tp>
        <v>2193</v>
        <stp/>
        <stp>10002172.SH</stp>
        <stp>Volume</stp>
        <tr r="G37" s="1"/>
      </tp>
      <tp>
        <v>0.3105</v>
        <stp/>
        <stp>10002249.SH</stp>
        <stp>LastPrice</stp>
        <tr r="F53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volatileDependencies" Target="volatileDependenci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19049</xdr:colOff>
      <xdr:row>36</xdr:row>
      <xdr:rowOff>80728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943849" cy="66644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/Wind.NET.Client/WindNET/DataBrowse/XLA/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f_nav_iopv"/>
      <definedName name="s_dq_preclose"/>
      <definedName name="s_dq_presettle"/>
      <definedName name="s_dq_volume"/>
      <definedName name="td"/>
      <definedName name="w_info_callput"/>
      <definedName name="w_info_lasttradingdate"/>
      <definedName name="w_info_strikeprice"/>
      <definedName name="w_info_strikeratio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N123"/>
  <sheetViews>
    <sheetView tabSelected="1" zoomScale="70" zoomScaleNormal="70" workbookViewId="0">
      <pane xSplit="5" ySplit="5" topLeftCell="F6" activePane="bottomRight" state="frozen"/>
      <selection pane="topRight" activeCell="E1" sqref="E1"/>
      <selection pane="bottomLeft" activeCell="A7" sqref="A7"/>
      <selection pane="bottomRight" activeCell="BP10" sqref="BP10"/>
    </sheetView>
  </sheetViews>
  <sheetFormatPr defaultRowHeight="14.4"/>
  <cols>
    <col min="1" max="1" width="2.44140625" style="34" customWidth="1"/>
    <col min="2" max="2" width="13" style="106" customWidth="1"/>
    <col min="3" max="3" width="1.77734375" customWidth="1"/>
    <col min="4" max="4" width="4.77734375" style="96" customWidth="1"/>
    <col min="5" max="5" width="6.88671875" style="18" customWidth="1"/>
    <col min="6" max="6" width="6.77734375" style="4" customWidth="1"/>
    <col min="7" max="7" width="8.21875" style="3" customWidth="1"/>
    <col min="8" max="8" width="6.77734375" style="4" customWidth="1"/>
    <col min="9" max="9" width="6.6640625" style="3" customWidth="1"/>
    <col min="10" max="10" width="6.77734375" style="4" customWidth="1"/>
    <col min="11" max="11" width="6.5546875" style="19" customWidth="1"/>
    <col min="12" max="12" width="6.77734375" style="4" customWidth="1"/>
    <col min="13" max="13" width="7.77734375" style="6" customWidth="1"/>
    <col min="14" max="14" width="6.77734375" hidden="1" customWidth="1"/>
    <col min="15" max="15" width="8" style="4" hidden="1" customWidth="1"/>
    <col min="16" max="16" width="8.109375" hidden="1" customWidth="1"/>
    <col min="17" max="17" width="7.77734375" style="6" customWidth="1"/>
    <col min="18" max="18" width="8.6640625" style="11" customWidth="1"/>
    <col min="19" max="27" width="8.6640625" style="39" hidden="1" customWidth="1"/>
    <col min="28" max="28" width="12.33203125" style="59" customWidth="1"/>
    <col min="29" max="29" width="1.77734375" customWidth="1"/>
    <col min="30" max="30" width="6.88671875" style="32" customWidth="1"/>
    <col min="31" max="31" width="7" style="18" customWidth="1"/>
    <col min="32" max="32" width="6.77734375" style="4" customWidth="1"/>
    <col min="33" max="33" width="7.88671875" style="3" customWidth="1"/>
    <col min="34" max="34" width="6.77734375" style="4" customWidth="1"/>
    <col min="35" max="35" width="5.5546875" style="3" customWidth="1"/>
    <col min="36" max="36" width="6.77734375" style="4" customWidth="1"/>
    <col min="37" max="37" width="5.88671875" style="19" customWidth="1"/>
    <col min="38" max="38" width="6.77734375" style="4" customWidth="1"/>
    <col min="39" max="39" width="6.77734375" style="6" customWidth="1"/>
    <col min="40" max="40" width="7.21875" hidden="1" customWidth="1"/>
    <col min="41" max="41" width="7.88671875" style="4" hidden="1" customWidth="1"/>
    <col min="42" max="42" width="6.77734375" hidden="1" customWidth="1"/>
    <col min="43" max="43" width="8" style="6" customWidth="1"/>
    <col min="44" max="44" width="8" style="11" customWidth="1"/>
    <col min="45" max="48" width="2.5546875" style="39" hidden="1" customWidth="1"/>
    <col min="49" max="49" width="2.5546875" hidden="1" customWidth="1"/>
    <col min="50" max="50" width="2.5546875" style="16" hidden="1" customWidth="1"/>
    <col min="51" max="52" width="2.5546875" style="9" hidden="1" customWidth="1"/>
    <col min="53" max="55" width="7.33203125" style="6" customWidth="1"/>
    <col min="56" max="56" width="7.33203125" style="12" customWidth="1"/>
    <col min="57" max="59" width="8" customWidth="1"/>
    <col min="60" max="60" width="8" style="11" customWidth="1"/>
    <col min="61" max="61" width="8.44140625" customWidth="1"/>
    <col min="62" max="62" width="9.109375" customWidth="1"/>
    <col min="63" max="63" width="8.77734375" customWidth="1"/>
    <col min="64" max="64" width="8" style="39" customWidth="1"/>
    <col min="65" max="65" width="0.77734375" style="57" customWidth="1"/>
    <col min="66" max="66" width="7.21875" style="6" customWidth="1"/>
    <col min="67" max="67" width="7.33203125" style="6" customWidth="1"/>
    <col min="68" max="68" width="7.109375" style="6" customWidth="1"/>
    <col min="69" max="69" width="7.109375" style="12" customWidth="1"/>
    <col min="70" max="72" width="7.77734375" customWidth="1"/>
    <col min="73" max="73" width="7.77734375" style="11" customWidth="1"/>
    <col min="74" max="74" width="9.88671875" customWidth="1"/>
    <col min="75" max="76" width="9.5546875" customWidth="1"/>
    <col min="77" max="77" width="9.109375" style="11" customWidth="1"/>
    <col min="80" max="80" width="17.44140625" customWidth="1"/>
    <col min="81" max="83" width="8" customWidth="1"/>
    <col min="84" max="85" width="17.44140625" style="39" customWidth="1"/>
    <col min="86" max="86" width="18.33203125" style="39" customWidth="1"/>
    <col min="87" max="87" width="4.77734375" style="39" customWidth="1"/>
    <col min="88" max="88" width="7.21875" style="39" customWidth="1"/>
    <col min="89" max="89" width="11.44140625" style="39" customWidth="1"/>
    <col min="90" max="90" width="16.21875" style="39" customWidth="1"/>
    <col min="91" max="98" width="13.33203125" customWidth="1"/>
  </cols>
  <sheetData>
    <row r="1" spans="1:92" s="26" customFormat="1" ht="32.4" customHeight="1">
      <c r="A1" s="36" t="s">
        <v>236</v>
      </c>
      <c r="B1" s="105" t="s">
        <v>389</v>
      </c>
      <c r="C1" s="66"/>
      <c r="D1" s="67"/>
      <c r="E1" s="68"/>
      <c r="F1" s="69" t="s">
        <v>13</v>
      </c>
      <c r="G1" s="71" t="s">
        <v>243</v>
      </c>
      <c r="H1" s="71" t="s">
        <v>28</v>
      </c>
      <c r="I1" s="71" t="s">
        <v>238</v>
      </c>
      <c r="J1" s="71" t="s">
        <v>12</v>
      </c>
      <c r="K1" s="70"/>
      <c r="L1" s="72" t="s">
        <v>3</v>
      </c>
      <c r="M1" s="66"/>
      <c r="N1" s="66"/>
      <c r="O1" s="66" t="s">
        <v>5</v>
      </c>
      <c r="P1" s="73" t="s">
        <v>6</v>
      </c>
      <c r="Q1" s="71" t="s">
        <v>239</v>
      </c>
      <c r="R1" s="74"/>
      <c r="S1" s="66"/>
      <c r="T1" s="66"/>
      <c r="U1" s="66"/>
      <c r="V1" s="66"/>
      <c r="W1" s="66"/>
      <c r="X1" s="66"/>
      <c r="Y1" s="66"/>
      <c r="Z1" s="66"/>
      <c r="AA1" s="66"/>
      <c r="AB1" s="85" t="s">
        <v>390</v>
      </c>
      <c r="AC1" s="75"/>
      <c r="AD1" s="76"/>
      <c r="AE1" s="77"/>
      <c r="AF1" s="78" t="s">
        <v>13</v>
      </c>
      <c r="AG1" s="91" t="s">
        <v>243</v>
      </c>
      <c r="AH1" s="80" t="s">
        <v>28</v>
      </c>
      <c r="AI1" s="80" t="s">
        <v>237</v>
      </c>
      <c r="AJ1" s="80" t="s">
        <v>12</v>
      </c>
      <c r="AK1" s="79"/>
      <c r="AL1" s="81" t="s">
        <v>3</v>
      </c>
      <c r="AM1" s="75"/>
      <c r="AN1" s="75"/>
      <c r="AO1" s="80" t="s">
        <v>10</v>
      </c>
      <c r="AP1" s="80" t="s">
        <v>9</v>
      </c>
      <c r="AQ1" s="80" t="s">
        <v>239</v>
      </c>
      <c r="AR1" s="82"/>
      <c r="AS1" s="109"/>
      <c r="AT1" s="109"/>
      <c r="AU1" s="109"/>
      <c r="AV1" s="109"/>
      <c r="AX1" s="27"/>
      <c r="AY1" s="28"/>
      <c r="AZ1" s="28"/>
      <c r="BA1" s="160" t="s">
        <v>391</v>
      </c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2"/>
      <c r="BM1" s="56"/>
      <c r="BN1" s="151" t="s">
        <v>392</v>
      </c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3"/>
      <c r="CF1" s="99"/>
      <c r="CG1" s="99"/>
      <c r="CH1" s="99"/>
      <c r="CI1" s="99"/>
      <c r="CJ1" s="99"/>
      <c r="CK1" s="99"/>
      <c r="CL1" s="99"/>
    </row>
    <row r="2" spans="1:92">
      <c r="A2" s="35"/>
      <c r="B2" s="106" t="s">
        <v>0</v>
      </c>
      <c r="C2" s="83"/>
      <c r="D2" s="32"/>
      <c r="E2" s="2">
        <f>F2/G2-1</f>
        <v>1.5967874961128059E-2</v>
      </c>
      <c r="F2" s="5">
        <f>RTD("wdf.rtq",,B2,"LastPrice")</f>
        <v>3757.1</v>
      </c>
      <c r="G2" s="4">
        <f>RTD("wdf.rtq",,B2,"PreClose")</f>
        <v>3698.05</v>
      </c>
      <c r="H2" s="6">
        <v>100</v>
      </c>
      <c r="I2" s="3">
        <v>1</v>
      </c>
      <c r="J2" s="5">
        <v>16.5</v>
      </c>
      <c r="K2" s="37"/>
      <c r="L2" s="5">
        <f>[1]!s_dq_preclose(B2,"",1)</f>
        <v>3698.0472</v>
      </c>
      <c r="M2"/>
      <c r="O2" s="1">
        <v>0.1</v>
      </c>
      <c r="P2" s="5">
        <v>0.5</v>
      </c>
      <c r="Q2" s="30">
        <v>1</v>
      </c>
      <c r="R2" s="98">
        <f ca="1">IF(NOW()-TODAY()&lt;17/24,[1]!td(TODAY()-1),[1]!td(TODAY()))+0</f>
        <v>43916</v>
      </c>
      <c r="S2" s="98"/>
      <c r="T2" s="98"/>
      <c r="U2" s="98"/>
      <c r="V2" s="98"/>
      <c r="W2" s="98"/>
      <c r="X2" s="98"/>
      <c r="Y2" s="98"/>
      <c r="Z2" s="98"/>
      <c r="AA2" s="98"/>
      <c r="AB2" s="59" t="s">
        <v>397</v>
      </c>
      <c r="AD2" s="140">
        <f ca="1">AG2/G2*1000-1</f>
        <v>-2.1768229201877265E-3</v>
      </c>
      <c r="AE2" s="2">
        <f ca="1">AF2/AG2-1</f>
        <v>1.7073170731707332E-2</v>
      </c>
      <c r="AF2" s="7">
        <f>RTD("wdf.rtq",,AB2,"LastPrice")</f>
        <v>3.7530000000000001</v>
      </c>
      <c r="AG2" s="3">
        <f ca="1">IF(NOW()-TODAY()&gt;9.5/24,[1]!f_nav_iopv(AB2,[1]!td(TODAY()-1)),[1]!f_nav_iopv(AB2,[1]!td(TODAY()-2)))</f>
        <v>3.69</v>
      </c>
      <c r="AH2" s="6">
        <v>10000</v>
      </c>
      <c r="AI2" s="3">
        <v>10</v>
      </c>
      <c r="AJ2" s="5">
        <v>2.2999999999999998</v>
      </c>
      <c r="AK2" s="37"/>
      <c r="AL2" s="7">
        <f>[1]!s_dq_preclose(AB2,"",1)</f>
        <v>3.6829999999999998</v>
      </c>
      <c r="AM2"/>
      <c r="AO2" s="1">
        <v>0.12</v>
      </c>
      <c r="AP2" s="1">
        <v>7.0000000000000007E-2</v>
      </c>
      <c r="AQ2" s="30">
        <v>1.2</v>
      </c>
      <c r="AR2" s="98">
        <f ca="1">R2</f>
        <v>43916</v>
      </c>
      <c r="AS2" s="98"/>
      <c r="AT2" s="98"/>
      <c r="AU2" s="98"/>
      <c r="AV2" s="98"/>
      <c r="BA2" s="6">
        <v>2</v>
      </c>
      <c r="BB2" s="15">
        <v>1E-4</v>
      </c>
      <c r="BC2" s="15">
        <f>BA2*BB2</f>
        <v>2.0000000000000001E-4</v>
      </c>
      <c r="BD2" s="12" t="s">
        <v>15</v>
      </c>
      <c r="BE2" s="142" t="s">
        <v>395</v>
      </c>
      <c r="BG2">
        <v>0.12</v>
      </c>
      <c r="BI2" s="142" t="s">
        <v>396</v>
      </c>
      <c r="BK2" s="23">
        <v>5.0000000000000001E-3</v>
      </c>
      <c r="BN2" s="6">
        <v>2</v>
      </c>
      <c r="BO2" s="15">
        <v>1E-4</v>
      </c>
      <c r="BP2" s="3">
        <f>BN2*BO2</f>
        <v>2.0000000000000001E-4</v>
      </c>
      <c r="BQ2" s="12" t="s">
        <v>15</v>
      </c>
      <c r="BR2" s="142" t="s">
        <v>395</v>
      </c>
      <c r="BT2">
        <v>0.12</v>
      </c>
      <c r="BV2" s="142" t="s">
        <v>396</v>
      </c>
      <c r="BX2" s="23">
        <v>-5.0000000000000001E-3</v>
      </c>
    </row>
    <row r="3" spans="1:92">
      <c r="A3" s="63"/>
      <c r="B3" s="107">
        <f ca="1">AG2/G2*1000-1</f>
        <v>-2.1768229201877265E-3</v>
      </c>
      <c r="D3" s="32"/>
      <c r="G3" s="22">
        <f>SUM(G6:G553)/$AI$2</f>
        <v>44012.4</v>
      </c>
      <c r="H3" s="6">
        <f>[1]!w_info_strikeratio(#REF!,"")</f>
        <v>0</v>
      </c>
      <c r="I3" s="22">
        <f>SUM(I6:I553)</f>
        <v>1899</v>
      </c>
      <c r="J3" s="5"/>
      <c r="K3" s="22">
        <f>SUM(K6:K553)</f>
        <v>850</v>
      </c>
      <c r="O3"/>
      <c r="P3" s="6"/>
      <c r="R3" s="22">
        <f ca="1">SUM(R6:R553)</f>
        <v>73529.100000000006</v>
      </c>
      <c r="S3" s="22"/>
      <c r="T3" s="22"/>
      <c r="U3" s="22"/>
      <c r="V3" s="22"/>
      <c r="W3" s="22"/>
      <c r="X3" s="22"/>
      <c r="Y3" s="22"/>
      <c r="Z3" s="22"/>
      <c r="AA3" s="22"/>
      <c r="AB3" s="93">
        <f ca="1">AF3/AF2-1</f>
        <v>-1.0867416449340528E-3</v>
      </c>
      <c r="AD3" s="2">
        <f ca="1">AF3/F2*1000-1</f>
        <v>-2.1768229201877265E-3</v>
      </c>
      <c r="AE3" s="18" t="s">
        <v>312</v>
      </c>
      <c r="AF3" s="7">
        <f ca="1">IF(NOW()-TODAY()&gt;17/24,[1]!f_nav_iopv(AB2,[1]!td(TODAY())),AG2*(1+E2))</f>
        <v>3.7489214586065627</v>
      </c>
      <c r="AG3" s="22">
        <f>SUM(AG6:AG939)/$AI$2</f>
        <v>35955.300000000003</v>
      </c>
      <c r="AH3" s="6">
        <f>[1]!w_info_strikeratio(AB6,"")</f>
        <v>10000</v>
      </c>
      <c r="AI3" s="22">
        <f>SUM(AI6:AI939)/$AI$2</f>
        <v>49.8</v>
      </c>
      <c r="AJ3" s="38">
        <v>1.3</v>
      </c>
      <c r="AK3" s="22">
        <f>SUM(AK6:AK939)/$AI$2</f>
        <v>30.3</v>
      </c>
      <c r="AL3" s="7"/>
      <c r="AM3" s="1"/>
      <c r="AN3" s="1"/>
      <c r="AO3"/>
      <c r="AP3" s="6"/>
      <c r="AQ3" s="86">
        <v>1</v>
      </c>
      <c r="AR3" s="16">
        <f ca="1">SUM(AR6:AR939)</f>
        <v>66557.399999999994</v>
      </c>
      <c r="AS3" s="22"/>
      <c r="AT3" s="22"/>
      <c r="AU3" s="22"/>
      <c r="AV3" s="22"/>
      <c r="BA3" s="6">
        <v>2</v>
      </c>
      <c r="BB3" s="15">
        <v>1E-4</v>
      </c>
      <c r="BC3" s="15">
        <f>BA3*BB3</f>
        <v>2.0000000000000001E-4</v>
      </c>
      <c r="BD3" s="12" t="s">
        <v>15</v>
      </c>
      <c r="BE3" s="23">
        <f t="shared" ref="BE3:BL3" ca="1" si="0">AVERAGE(BE6:BE553)</f>
        <v>2.3511670182318811E-2</v>
      </c>
      <c r="BF3" s="23">
        <f t="shared" ca="1" si="0"/>
        <v>-1.2147730079182947E-2</v>
      </c>
      <c r="BG3" s="23">
        <f t="shared" ca="1" si="0"/>
        <v>4.1341778771854708E-2</v>
      </c>
      <c r="BH3" s="24">
        <f t="shared" ca="1" si="0"/>
        <v>4.1471448747559758E-2</v>
      </c>
      <c r="BI3" s="23">
        <f t="shared" ca="1" si="0"/>
        <v>5.637066487607742E-2</v>
      </c>
      <c r="BJ3" s="23">
        <f t="shared" ca="1" si="0"/>
        <v>-8.6194396745462351E-2</v>
      </c>
      <c r="BK3" s="23">
        <f t="shared" ca="1" si="0"/>
        <v>0.20682035608071386</v>
      </c>
      <c r="BL3" s="24">
        <f t="shared" ca="1" si="0"/>
        <v>0.20778513958813127</v>
      </c>
      <c r="BN3" s="6">
        <v>2</v>
      </c>
      <c r="BO3" s="15">
        <v>1E-4</v>
      </c>
      <c r="BP3" s="15">
        <f>BN3*BO3</f>
        <v>2.0000000000000001E-4</v>
      </c>
      <c r="BQ3" s="12" t="s">
        <v>15</v>
      </c>
      <c r="BR3" s="23">
        <f t="shared" ref="BR3:BY3" ca="1" si="1">AVERAGE(BR6:BR553)</f>
        <v>-2.3782366215001523E-2</v>
      </c>
      <c r="BS3" s="23">
        <f t="shared" ca="1" si="1"/>
        <v>-7.1937882298555522E-2</v>
      </c>
      <c r="BT3" s="23">
        <f t="shared" ca="1" si="1"/>
        <v>5.5827486934449735E-2</v>
      </c>
      <c r="BU3" s="24">
        <f t="shared" ca="1" si="1"/>
        <v>5.6378164035911768E-2</v>
      </c>
      <c r="BV3" s="23">
        <f t="shared" ca="1" si="1"/>
        <v>-6.8962200078435176E-2</v>
      </c>
      <c r="BW3" s="23">
        <f t="shared" ca="1" si="1"/>
        <v>-0.30439111067396396</v>
      </c>
      <c r="BX3" s="23">
        <f t="shared" ca="1" si="1"/>
        <v>0.34887588721383428</v>
      </c>
      <c r="BY3" s="24">
        <f t="shared" ca="1" si="1"/>
        <v>0.3527823326486399</v>
      </c>
    </row>
    <row r="4" spans="1:92" s="51" customFormat="1">
      <c r="A4" s="62"/>
      <c r="B4" s="154" t="s">
        <v>231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6"/>
      <c r="S4" s="114"/>
      <c r="T4" s="114"/>
      <c r="U4" s="114"/>
      <c r="V4" s="114"/>
      <c r="W4" s="114"/>
      <c r="X4" s="114"/>
      <c r="Y4" s="114"/>
      <c r="Z4" s="114"/>
      <c r="AA4" s="114"/>
      <c r="AB4" s="157" t="s">
        <v>232</v>
      </c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9"/>
      <c r="AS4" s="97"/>
      <c r="AT4" s="97"/>
      <c r="AU4" s="97"/>
      <c r="AV4" s="97"/>
      <c r="AX4" s="33"/>
      <c r="AY4" s="21"/>
      <c r="AZ4" s="21"/>
      <c r="BA4" s="148" t="s">
        <v>25</v>
      </c>
      <c r="BB4" s="148"/>
      <c r="BC4" s="148"/>
      <c r="BD4" s="149"/>
      <c r="BE4" s="150" t="s">
        <v>233</v>
      </c>
      <c r="BF4" s="148"/>
      <c r="BG4" s="148"/>
      <c r="BH4" s="149"/>
      <c r="BI4" s="150" t="s">
        <v>14</v>
      </c>
      <c r="BJ4" s="148"/>
      <c r="BK4" s="148"/>
      <c r="BL4" s="148"/>
      <c r="BM4" s="58"/>
      <c r="BN4" s="146" t="s">
        <v>234</v>
      </c>
      <c r="BO4" s="146"/>
      <c r="BP4" s="146"/>
      <c r="BQ4" s="147"/>
      <c r="BR4" s="145" t="s">
        <v>233</v>
      </c>
      <c r="BS4" s="146"/>
      <c r="BT4" s="146"/>
      <c r="BU4" s="147"/>
      <c r="BV4" s="145" t="s">
        <v>14</v>
      </c>
      <c r="BW4" s="146"/>
      <c r="BX4" s="146"/>
      <c r="BY4" s="147"/>
      <c r="CD4" s="39"/>
      <c r="CE4" s="39"/>
      <c r="CF4" s="39" t="str">
        <f>CI4&amp;LEFT(CK4,8)&amp;CJ4*1000&amp;".CFE"</f>
        <v>C2020-04-3100.CFE</v>
      </c>
      <c r="CG4" s="39" t="str">
        <f>IF(CI4="C","P","C")&amp;MID(CF4,2,99)</f>
        <v>P2020-04-3100.CFE</v>
      </c>
      <c r="CH4" s="17" t="s">
        <v>398</v>
      </c>
      <c r="CI4" s="100" t="str">
        <f>IF([1]!w_info_callput(CH4)="认购","C","P")</f>
        <v>C</v>
      </c>
      <c r="CJ4" s="101">
        <f>[1]!w_info_strikeprice(CH4,"")</f>
        <v>3.1</v>
      </c>
      <c r="CK4" s="102" t="str">
        <f>[1]!w_info_lasttradingdate(CH4)</f>
        <v>2020-04-22</v>
      </c>
      <c r="CL4" s="39" t="str">
        <f>VLOOKUP(CG4,CF:CH,3,0)</f>
        <v>10002428.SH</v>
      </c>
    </row>
    <row r="5" spans="1:92" s="25" customFormat="1" ht="52.2" customHeight="1">
      <c r="A5" s="41" t="s">
        <v>235</v>
      </c>
      <c r="B5" s="108" t="s">
        <v>26</v>
      </c>
      <c r="C5" s="64" t="s">
        <v>29</v>
      </c>
      <c r="D5" s="65" t="s">
        <v>1</v>
      </c>
      <c r="E5" s="44" t="s">
        <v>11</v>
      </c>
      <c r="F5" s="42" t="s">
        <v>16</v>
      </c>
      <c r="G5" s="45" t="s">
        <v>17</v>
      </c>
      <c r="H5" s="42" t="s">
        <v>18</v>
      </c>
      <c r="I5" s="45" t="s">
        <v>19</v>
      </c>
      <c r="J5" s="42" t="s">
        <v>20</v>
      </c>
      <c r="K5" s="45" t="s">
        <v>21</v>
      </c>
      <c r="L5" s="46" t="s">
        <v>2</v>
      </c>
      <c r="M5" s="47" t="s">
        <v>8</v>
      </c>
      <c r="N5" s="42" t="s">
        <v>22</v>
      </c>
      <c r="O5" s="46" t="s">
        <v>23</v>
      </c>
      <c r="P5" s="42" t="s">
        <v>24</v>
      </c>
      <c r="Q5" s="47" t="s">
        <v>4</v>
      </c>
      <c r="R5" s="48" t="s">
        <v>7</v>
      </c>
      <c r="S5" s="42"/>
      <c r="T5" s="42"/>
      <c r="U5" s="42"/>
      <c r="V5" s="42"/>
      <c r="W5" s="42"/>
      <c r="X5" s="42"/>
      <c r="Y5" s="42"/>
      <c r="Z5" s="42"/>
      <c r="AA5" s="42"/>
      <c r="AB5" s="60" t="s">
        <v>27</v>
      </c>
      <c r="AC5" s="64" t="s">
        <v>29</v>
      </c>
      <c r="AD5" s="43" t="s">
        <v>1</v>
      </c>
      <c r="AE5" s="65" t="s">
        <v>11</v>
      </c>
      <c r="AF5" s="42" t="s">
        <v>16</v>
      </c>
      <c r="AG5" s="45" t="s">
        <v>17</v>
      </c>
      <c r="AH5" s="42" t="s">
        <v>18</v>
      </c>
      <c r="AI5" s="45" t="s">
        <v>19</v>
      </c>
      <c r="AJ5" s="42" t="s">
        <v>20</v>
      </c>
      <c r="AK5" s="45" t="s">
        <v>21</v>
      </c>
      <c r="AL5" s="46" t="s">
        <v>2</v>
      </c>
      <c r="AM5" s="47" t="s">
        <v>8</v>
      </c>
      <c r="AN5" s="42" t="s">
        <v>22</v>
      </c>
      <c r="AO5" s="46" t="s">
        <v>23</v>
      </c>
      <c r="AP5" s="42" t="s">
        <v>24</v>
      </c>
      <c r="AQ5" s="47" t="s">
        <v>4</v>
      </c>
      <c r="AR5" s="48" t="s">
        <v>7</v>
      </c>
      <c r="AS5" s="103"/>
      <c r="AT5" s="103"/>
      <c r="AU5" s="103"/>
      <c r="AV5" s="103"/>
      <c r="AX5" s="49"/>
      <c r="AY5" s="50"/>
      <c r="AZ5" s="50"/>
      <c r="BA5" s="87" t="s">
        <v>241</v>
      </c>
      <c r="BB5" s="87" t="s">
        <v>242</v>
      </c>
      <c r="BC5" s="87" t="str">
        <f>"本方
一档
 + "&amp;BA2&amp;" 跳"</f>
        <v>本方
一档
 + 2 跳</v>
      </c>
      <c r="BD5" s="88" t="s">
        <v>240</v>
      </c>
      <c r="BE5" s="87" t="str">
        <f>BA5</f>
        <v>最新
价</v>
      </c>
      <c r="BF5" s="87" t="str">
        <f>BB5</f>
        <v>对手
盘</v>
      </c>
      <c r="BG5" s="87" t="str">
        <f>BC5</f>
        <v>本方
一档
 + 2 跳</v>
      </c>
      <c r="BH5" s="88" t="str">
        <f>BD5</f>
        <v>本方
一档</v>
      </c>
      <c r="BI5" s="87" t="str">
        <f>BA5</f>
        <v>最新
价</v>
      </c>
      <c r="BJ5" s="87" t="str">
        <f>BB5</f>
        <v>对手
盘</v>
      </c>
      <c r="BK5" s="87" t="str">
        <f>BC5</f>
        <v>本方
一档
 + 2 跳</v>
      </c>
      <c r="BL5" s="89" t="str">
        <f>BD5</f>
        <v>本方
一档</v>
      </c>
      <c r="BM5" s="90"/>
      <c r="BN5" s="87" t="s">
        <v>241</v>
      </c>
      <c r="BO5" s="87" t="s">
        <v>242</v>
      </c>
      <c r="BP5" s="87" t="str">
        <f>"本方
一档
 + "&amp;BN2&amp;" 跳"</f>
        <v>本方
一档
 + 2 跳</v>
      </c>
      <c r="BQ5" s="88" t="s">
        <v>240</v>
      </c>
      <c r="BR5" s="87" t="str">
        <f>BN5</f>
        <v>最新
价</v>
      </c>
      <c r="BS5" s="87" t="str">
        <f>BO5</f>
        <v>对手
盘</v>
      </c>
      <c r="BT5" s="87" t="str">
        <f>BP5</f>
        <v>本方
一档
 + 2 跳</v>
      </c>
      <c r="BU5" s="88" t="str">
        <f>BQ5</f>
        <v>本方
一档</v>
      </c>
      <c r="BV5" s="87" t="str">
        <f>BN5</f>
        <v>最新
价</v>
      </c>
      <c r="BW5" s="87" t="str">
        <f>BO5</f>
        <v>对手
盘</v>
      </c>
      <c r="BX5" s="87" t="str">
        <f>BP5</f>
        <v>本方
一档
 + 2 跳</v>
      </c>
      <c r="BY5" s="88" t="str">
        <f>BQ5</f>
        <v>本方
一档</v>
      </c>
      <c r="CF5" s="144" t="s">
        <v>427</v>
      </c>
      <c r="CG5" s="144" t="s">
        <v>426</v>
      </c>
      <c r="CH5" s="144" t="s">
        <v>422</v>
      </c>
      <c r="CI5" s="144" t="s">
        <v>423</v>
      </c>
      <c r="CJ5" s="144" t="s">
        <v>424</v>
      </c>
      <c r="CK5" s="144" t="s">
        <v>425</v>
      </c>
      <c r="CL5" s="144" t="s">
        <v>426</v>
      </c>
    </row>
    <row r="6" spans="1:92" ht="16.2" customHeight="1">
      <c r="A6" s="35">
        <f t="shared" ref="A6:A37" si="2">AND(D6=AD6,E6=AE6,C6&lt;&gt;AC6)+0</f>
        <v>1</v>
      </c>
      <c r="B6" s="17" t="s">
        <v>398</v>
      </c>
      <c r="C6" s="29" t="str">
        <f>IF([1]!w_info_callput(B6)="认购","C","P")</f>
        <v>C</v>
      </c>
      <c r="D6" s="96">
        <f>[1]!w_info_strikeprice(B6,"")</f>
        <v>3.1</v>
      </c>
      <c r="E6" s="18" t="str">
        <f>[1]!w_info_lasttradingdate(B6)</f>
        <v>2020-04-22</v>
      </c>
      <c r="F6" s="15">
        <f>IF(G6&gt;0,RTD("wdf.rtq",,$B6,F$5),0)</f>
        <v>0.64100000000000001</v>
      </c>
      <c r="G6" s="53">
        <f>RTD("wdf.rtq",,$B6,G$5)</f>
        <v>603</v>
      </c>
      <c r="H6" s="15">
        <f>RTD("wdf.rtq",,$B6,H$5)</f>
        <v>0.61270000000000002</v>
      </c>
      <c r="I6" s="53">
        <f>RTD("wdf.rtq",,$B6,I$5)</f>
        <v>30</v>
      </c>
      <c r="J6" s="15">
        <f>RTD("wdf.rtq",,$B6,J$5)</f>
        <v>0.64240000000000008</v>
      </c>
      <c r="K6" s="54">
        <f>RTD("wdf.rtq",,$B6,K$5)</f>
        <v>1</v>
      </c>
      <c r="L6" s="15">
        <f>[1]!s_dq_presettle(B6,"")</f>
        <v>0.58299999999999996</v>
      </c>
      <c r="M6" s="15">
        <f t="shared" ref="M6:M37" si="3">IF(C6="P",MAX($AF$2-D6,0),MAX(0,D6-$AF$2))</f>
        <v>0</v>
      </c>
      <c r="N6" s="3">
        <f>AH$2*AI$2*AF6</f>
        <v>770</v>
      </c>
      <c r="O6" s="15">
        <f t="shared" ref="O6:O37" si="4">$AO$2*$AF$2-M6</f>
        <v>0.45035999999999998</v>
      </c>
      <c r="P6" s="14">
        <f t="shared" ref="P6:P37" si="5">IF(C6="C",$AP$2*F6,$AP$2*D6)</f>
        <v>4.4870000000000007E-2</v>
      </c>
      <c r="Q6" s="8">
        <f t="shared" ref="Q6:Q37" si="6">AH$2*AI$2*IF(C6="C", MAX(O6,P6)+F6, MIN(F6+MAX(O6,P6),D6) )*$AQ$2+0.01</f>
        <v>130963.20999999998</v>
      </c>
      <c r="R6" s="55">
        <f ca="1">IF(NOW()-TODAY()&gt;15/24, G6, [1]!s_dq_volume(B6,R$2,1))/$AI$2</f>
        <v>100</v>
      </c>
      <c r="S6" s="110"/>
      <c r="T6" s="110"/>
      <c r="U6" s="110"/>
      <c r="V6" s="110"/>
      <c r="W6" s="110"/>
      <c r="X6" s="110"/>
      <c r="Y6" s="110"/>
      <c r="Z6" s="110"/>
      <c r="AA6" s="110"/>
      <c r="AB6" s="61" t="s">
        <v>399</v>
      </c>
      <c r="AC6" s="29" t="str">
        <f>IF([1]!w_info_callput(AB6)="认购","C","P")</f>
        <v>P</v>
      </c>
      <c r="AD6" s="31">
        <f>[1]!w_info_strikeprice(AB6,"")</f>
        <v>3.1</v>
      </c>
      <c r="AE6" s="18" t="str">
        <f>[1]!w_info_lasttradingdate(AB6)</f>
        <v>2020-04-22</v>
      </c>
      <c r="AF6" s="15">
        <f>RTD("wdf.rtq",,$AB6,F$5)</f>
        <v>7.7000000000000002E-3</v>
      </c>
      <c r="AG6" s="53">
        <f>RTD("wdf.rtq",,$AB6,G$5)</f>
        <v>7247</v>
      </c>
      <c r="AH6" s="15">
        <f>RTD("wdf.rtq",,$AB6,H$5)</f>
        <v>7.7000000000000002E-3</v>
      </c>
      <c r="AI6" s="53">
        <f>RTD("wdf.rtq",,$AB6,I$5)</f>
        <v>9</v>
      </c>
      <c r="AJ6" s="15">
        <f>RTD("wdf.rtq",,$AB6,J$5)</f>
        <v>7.9000000000000008E-3</v>
      </c>
      <c r="AK6" s="54">
        <f>RTD("wdf.rtq",,$AB6,K$5)</f>
        <v>10</v>
      </c>
      <c r="AL6" s="15">
        <f>[1]!s_dq_presettle(AB6,"")</f>
        <v>1.1599999999999999E-2</v>
      </c>
      <c r="AM6" s="15">
        <f t="shared" ref="AM6:AM19" si="7">IF(AC6="P",MAX($AF$2-AD6,0),MAX(0,AD6-$AF$2))</f>
        <v>0.65300000000000002</v>
      </c>
      <c r="AN6" s="3">
        <f t="shared" ref="AN6:AN19" si="8">AH$2*AI$2*AF6</f>
        <v>770</v>
      </c>
      <c r="AO6" s="15">
        <f t="shared" ref="AO6:AO19" si="9">$AO$2*$AF$2-AM6</f>
        <v>-0.20264000000000004</v>
      </c>
      <c r="AP6" s="14">
        <f t="shared" ref="AP6:AP19" si="10">IF(AC6="C",$AP$2*AF6,$AP$2*AD6)</f>
        <v>0.21700000000000003</v>
      </c>
      <c r="AQ6" s="8">
        <f t="shared" ref="AQ6:AQ19" si="11">AH$2*AI$2*IF(AC6="C", MAX(AO6,AP6)+AF6, MIN(AF6+MAX(AO6,AP6),AD6) )*$AQ$2+0.01</f>
        <v>26964.010000000002</v>
      </c>
      <c r="AR6" s="55">
        <f ca="1">IF(NOW()-TODAY()&gt;15/24, AG6, [1]!s_dq_volume(AB6,AR$2,1))/AI$2</f>
        <v>2332.4</v>
      </c>
      <c r="AS6" s="110"/>
      <c r="AT6" s="110"/>
      <c r="AU6" s="110"/>
      <c r="AV6" s="110"/>
      <c r="AY6" s="10"/>
      <c r="AZ6" s="10"/>
      <c r="BA6" s="6">
        <f ca="1">IF(AND(F6&gt;0,AF6&gt;0),AH$2*AI$2*((F6-AF6)-($AF$2-D6)+$AF$3*$BK$2*MAX(AE6+1-TODAY()-3,0)/30)-2*$AI$2*$AJ$2-2*$AI$2*$AJ$2,0)</f>
        <v>-562.43141655738009</v>
      </c>
      <c r="BB6" s="6">
        <f ca="1">IF(AND(H6&gt;0,AJ6&gt;0),AH$2*AI$2*((H6-AJ6)-($AF$2-D6)+$AF$3*$BK$2*MAX(AE6+1-TODAY()-3,0)/30)-2*$AI$2*$AJ$2-2*$AI$2*$AJ$2,0)</f>
        <v>-3412.4314165573769</v>
      </c>
      <c r="BC6" s="6">
        <f ca="1">IF(AND(J6&gt;0,AH6&gt;0),AH$2*AI$2*((J6-AH6)-($AF$2-D6)+$AF$3*$BK$2*MAX(AE6+1-TODAY()-3,0)/30)-2*$AI$2*$AJ$2-2*$AI$2*$AJ$2-H$2*I$2*$BC$2-AH$2*AI$2*$BC$3,0)</f>
        <v>-442.45141655737325</v>
      </c>
      <c r="BD6" s="12">
        <f ca="1">IF(AND(J6&gt;0,AH6&gt;0),AH$2*AI$2*((J6-AH6)-($AF$2-D6)+$AF$3*$BK$2*MAX(AE6+1-TODAY()-3,0)/30)-2*$AI$2*$AJ$2-2*$AI$2*$AJ$2,0)</f>
        <v>-422.43141655737327</v>
      </c>
      <c r="BE6" s="2">
        <f t="shared" ref="BE6:BE37" ca="1" si="12">BA6/(Q6+AH$2*AI$2*($BG$2*$AF$2+AF6))</f>
        <v>-3.1817272734170178E-3</v>
      </c>
      <c r="BF6" s="2">
        <f t="shared" ref="BF6:BF37" ca="1" si="13">BB6/(Q6+AH$2*AI$2*($BG$2*$AF$2+AJ6))</f>
        <v>-1.930226067845078E-2</v>
      </c>
      <c r="BG6" s="2">
        <f t="shared" ref="BG6:BG37" ca="1" si="14">BC6/(Q6+AH$2*AI$2*($BG$2*$AF$2+AH6+$BC$3))</f>
        <v>-2.5027059997461006E-3</v>
      </c>
      <c r="BH6" s="13">
        <f t="shared" ref="BH6:BH37" ca="1" si="15">BD6/(Q6+AH$2*AI$2*($BG$2*$AF$2+AH6))</f>
        <v>-2.389734142939109E-3</v>
      </c>
      <c r="BI6" s="2">
        <f t="shared" ref="BI6:BI37" ca="1" si="16">BE6*365/(AE6+1-TODAY())</f>
        <v>-4.3012239066563387E-2</v>
      </c>
      <c r="BJ6" s="2">
        <f t="shared" ref="BJ6:BJ37" ca="1" si="17">BF6*365/(AE6+1-TODAY())</f>
        <v>-0.26093796843090872</v>
      </c>
      <c r="BK6" s="2">
        <f t="shared" ref="BK6:BK37" ca="1" si="18">BG6*365/(AE6+1-TODAY())</f>
        <v>-3.3832877403975066E-2</v>
      </c>
      <c r="BL6" s="40">
        <f t="shared" ref="BL6:BL37" ca="1" si="19">BH6*365/(AE6+1-TODAY())</f>
        <v>-3.2305665265658326E-2</v>
      </c>
      <c r="BN6" s="6">
        <f ca="1">IF(AND(F6&gt;0,AF6&gt;0),AH$2*AI$2*(-F6+AF6+($AF$2-D6)+$AF$3*$BX$2*(AE6+1-TODAY())/30)-2*$AI$2*$AJ$2-2*$AI$2*$AJ$2,0)</f>
        <v>190.98534362705198</v>
      </c>
      <c r="BO6" s="6">
        <f ca="1">IF(AND(J6&gt;0,AH6&gt;0),AH$2*AI$2*((-J6+AH6)+($AF$2-D6)+$AF$3*$BX$2*(AE6+1-TODAY())/30)-2*$AI$2*$AJ$2-2*$AI$2*$AJ$2,0)</f>
        <v>50.985343627045211</v>
      </c>
      <c r="BP6" s="6">
        <f ca="1">IF(AND(H6&gt;0,AJ6&gt;0),AH$2*AI$2*((-H6+AJ6)+($AF$2-D6)+$AF$3*$BX$2*(AE6+1-TODAY())/30)-2*$AI$2*$AJ$2-2*$AI$2*$AJ$2-AH$2*AI$2*$BC$2-AH$2*AI$2*$BC$3,0)</f>
        <v>3000.9853436270491</v>
      </c>
      <c r="BQ6" s="12">
        <f ca="1">IF(AND(H6&gt;0,AJ6&gt;0),AH$2*AI$2*((-H6+AJ6)+($AF$2-D6)+$AF$3*$BX$2*(AE6+1-TODAY())/30)-2*$AI$2*$AJ$2-2*$AI$2*$AJ$2,0)</f>
        <v>3040.9853436270491</v>
      </c>
      <c r="BR6" s="2">
        <f t="shared" ref="BR6:BR37" ca="1" si="20">BN6/(AQ6+AH$2*AI$2*(F6+0.12*$AF$3))</f>
        <v>1.4037768841648327E-3</v>
      </c>
      <c r="BS6" s="2">
        <f t="shared" ref="BS6:BS37" ca="1" si="21">BO6/(AQ6+H$2*I$2*(J6+0.12*$AF$3))</f>
        <v>1.8832378085691364E-3</v>
      </c>
      <c r="BT6" s="2">
        <f t="shared" ref="BT6:BT37" ca="1" si="22">BP6/(AQ6+H$2*I$2*(H6+$BP$3+0.12*$AF$3))</f>
        <v>0.11085901443351126</v>
      </c>
      <c r="BU6" s="13">
        <f t="shared" ref="BU6:BU37" ca="1" si="23">BQ6/(AQ6+H$2*I$2*(H6+0.12*$AF$3))</f>
        <v>0.11233673229626137</v>
      </c>
      <c r="BV6" s="2">
        <f t="shared" ref="BV6:BV37" ca="1" si="24">BR6*365/(AE6+1-TODAY())</f>
        <v>1.8976983804450516E-2</v>
      </c>
      <c r="BW6" s="2">
        <f t="shared" ref="BW6:BW37" ca="1" si="25">BS6*365/(AE6+1-TODAY())</f>
        <v>2.5458585189916103E-2</v>
      </c>
      <c r="BX6" s="2">
        <f t="shared" ref="BX6:BX37" ca="1" si="26">BT6*365/(AE6+1-TODAY())</f>
        <v>1.4986496395641338</v>
      </c>
      <c r="BY6" s="13">
        <f t="shared" ref="BY6:BY37" ca="1" si="27">BU6*365/(AE6+1-TODAY())</f>
        <v>1.5186261958568668</v>
      </c>
      <c r="CB6" s="17"/>
      <c r="CC6" s="94"/>
      <c r="CD6" s="94"/>
      <c r="CE6" s="94"/>
      <c r="CF6" s="39" t="str">
        <f t="shared" ref="CF6:CF37" si="28">CI6&amp;LEFT(CK6,8)&amp;CJ6*1000&amp;".CFE"</f>
        <v>C2020-04-3100.CFE</v>
      </c>
      <c r="CG6" s="39" t="str">
        <f t="shared" ref="CG6:CG37" si="29">IF(CI6="C","P","C")&amp;MID(CF6,2,99)</f>
        <v>P2020-04-3100.CFE</v>
      </c>
      <c r="CH6" s="17" t="s">
        <v>398</v>
      </c>
      <c r="CI6" s="100" t="str">
        <f>IF([1]!w_info_callput(CH6)="认购","C","P")</f>
        <v>C</v>
      </c>
      <c r="CJ6" s="101">
        <f>[1]!w_info_strikeprice(CH6,"")</f>
        <v>3.1</v>
      </c>
      <c r="CK6" s="102" t="str">
        <f>[1]!w_info_lasttradingdate(CH6)</f>
        <v>2020-04-22</v>
      </c>
      <c r="CL6" s="39" t="str">
        <f t="shared" ref="CL6:CL37" si="30">VLOOKUP(CG6,CF:CH,3,0)</f>
        <v>10002428.SH</v>
      </c>
      <c r="CM6" s="17"/>
      <c r="CN6" s="17"/>
    </row>
    <row r="7" spans="1:92" ht="16.2" customHeight="1">
      <c r="A7" s="35">
        <f t="shared" si="2"/>
        <v>1</v>
      </c>
      <c r="B7" s="17" t="s">
        <v>383</v>
      </c>
      <c r="C7" s="29" t="str">
        <f>IF([1]!w_info_callput(B7)="认购","C","P")</f>
        <v>C</v>
      </c>
      <c r="D7" s="96">
        <f>[1]!w_info_strikeprice(B7,"")</f>
        <v>3.2</v>
      </c>
      <c r="E7" s="18" t="str">
        <f>[1]!w_info_lasttradingdate(B7)</f>
        <v>2020-04-22</v>
      </c>
      <c r="F7" s="15">
        <f>IF(G7&gt;0,RTD("wdf.rtq",,$B7,F$5),0)</f>
        <v>0.55110000000000003</v>
      </c>
      <c r="G7" s="53">
        <f>RTD("wdf.rtq",,$B7,G$5)</f>
        <v>655</v>
      </c>
      <c r="H7" s="15">
        <f>RTD("wdf.rtq",,$B7,H$5)</f>
        <v>0.50050000000000006</v>
      </c>
      <c r="I7" s="53">
        <f>RTD("wdf.rtq",,$B7,I$5)</f>
        <v>3</v>
      </c>
      <c r="J7" s="15">
        <f>RTD("wdf.rtq",,$B7,J$5)</f>
        <v>0.55859999999999999</v>
      </c>
      <c r="K7" s="54">
        <f>RTD("wdf.rtq",,$B7,K$5)</f>
        <v>1</v>
      </c>
      <c r="L7" s="15">
        <f>[1]!s_dq_presettle(B7,"")</f>
        <v>0.48299999999999998</v>
      </c>
      <c r="M7" s="15">
        <f t="shared" si="3"/>
        <v>0</v>
      </c>
      <c r="N7" s="3">
        <f t="shared" ref="N7:N19" si="31">AH$2*AI$2*AF7</f>
        <v>1300.0000000000002</v>
      </c>
      <c r="O7" s="15">
        <f t="shared" si="4"/>
        <v>0.45035999999999998</v>
      </c>
      <c r="P7" s="14">
        <f t="shared" si="5"/>
        <v>3.8577000000000007E-2</v>
      </c>
      <c r="Q7" s="8">
        <f t="shared" si="6"/>
        <v>120175.20999999999</v>
      </c>
      <c r="R7" s="55">
        <f ca="1">IF(NOW()-TODAY()&gt;15/24, G7, [1]!s_dq_volume(B7,R$2,1))/$AI$2</f>
        <v>106.9</v>
      </c>
      <c r="S7" s="110"/>
      <c r="T7" s="110"/>
      <c r="U7" s="110"/>
      <c r="V7" s="110"/>
      <c r="W7" s="110"/>
      <c r="X7" s="110"/>
      <c r="Y7" s="110"/>
      <c r="Z7" s="110"/>
      <c r="AA7" s="110"/>
      <c r="AB7" s="61" t="s">
        <v>384</v>
      </c>
      <c r="AC7" s="29" t="str">
        <f>IF([1]!w_info_callput(AB7)="认购","C","P")</f>
        <v>P</v>
      </c>
      <c r="AD7" s="31">
        <f>[1]!w_info_strikeprice(AB7,"")</f>
        <v>3.2</v>
      </c>
      <c r="AE7" s="18" t="str">
        <f>[1]!w_info_lasttradingdate(AB7)</f>
        <v>2020-04-22</v>
      </c>
      <c r="AF7" s="15">
        <f>RTD("wdf.rtq",,$AB7,F$5)</f>
        <v>1.3000000000000001E-2</v>
      </c>
      <c r="AG7" s="53">
        <f>RTD("wdf.rtq",,$AB7,G$5)</f>
        <v>13000</v>
      </c>
      <c r="AH7" s="15">
        <f>RTD("wdf.rtq",,$AB7,H$5)</f>
        <v>1.3000000000000001E-2</v>
      </c>
      <c r="AI7" s="53">
        <f>RTD("wdf.rtq",,$AB7,I$5)</f>
        <v>34</v>
      </c>
      <c r="AJ7" s="15">
        <f>RTD("wdf.rtq",,$AB7,J$5)</f>
        <v>1.35E-2</v>
      </c>
      <c r="AK7" s="54">
        <f>RTD("wdf.rtq",,$AB7,K$5)</f>
        <v>1</v>
      </c>
      <c r="AL7" s="15">
        <f>[1]!s_dq_presettle(AB7,"")</f>
        <v>2.0199999999999999E-2</v>
      </c>
      <c r="AM7" s="15">
        <f t="shared" si="7"/>
        <v>0.55299999999999994</v>
      </c>
      <c r="AN7" s="3">
        <f t="shared" si="8"/>
        <v>1300.0000000000002</v>
      </c>
      <c r="AO7" s="15">
        <f t="shared" si="9"/>
        <v>-0.10263999999999995</v>
      </c>
      <c r="AP7" s="14">
        <f t="shared" si="10"/>
        <v>0.22400000000000003</v>
      </c>
      <c r="AQ7" s="8">
        <f t="shared" si="11"/>
        <v>28440.010000000002</v>
      </c>
      <c r="AR7" s="55">
        <f ca="1">IF(NOW()-TODAY()&gt;15/24, AG7, [1]!s_dq_volume(AB7,AR$2,1))/AI$2</f>
        <v>2449.1</v>
      </c>
      <c r="AS7" s="110"/>
      <c r="AT7" s="110"/>
      <c r="AU7" s="110"/>
      <c r="AV7" s="110"/>
      <c r="AY7" s="10"/>
      <c r="AZ7" s="10"/>
      <c r="BA7" s="6">
        <f t="shared" ref="BA7:BA62" ca="1" si="32">IF(AND(F7&gt;0,AF7&gt;0),AH$2*AI$2*((F7-AF7)-($AF$2-D7)+$AF$3*$BK$2*MAX(AE7+1-TODAY()-3,0)/30)-2*$AI$2*$AJ$2-2*$AI$2*$AJ$2,0)</f>
        <v>-82.431416557366305</v>
      </c>
      <c r="BB7" s="6">
        <f t="shared" ref="BB7:BB62" ca="1" si="33">IF(AND(H7&gt;0,AJ7&gt;0),AH$2*AI$2*((H7-AJ7)-($AF$2-D7)+$AF$3*$BK$2*MAX(AE7+1-TODAY()-3,0)/30)-2*$AI$2*$AJ$2-2*$AI$2*$AJ$2,0)</f>
        <v>-5192.4314165573642</v>
      </c>
      <c r="BC7" s="6">
        <f t="shared" ref="BC7:BC62" ca="1" si="34">IF(AND(J7&gt;0,AH7&gt;0),AH$2*AI$2*((J7-AH7)-($AF$2-D7)+$AF$3*$BK$2*MAX(AE7+1-TODAY()-3,0)/30)-2*$AI$2*$AJ$2-2*$AI$2*$AJ$2-H$2*I$2*$BC$2-AH$2*AI$2*$BC$3,0)</f>
        <v>647.5485834426288</v>
      </c>
      <c r="BD7" s="12">
        <f t="shared" ref="BD7:BD62" ca="1" si="35">IF(AND(J7&gt;0,AH7&gt;0),AH$2*AI$2*((J7-AH7)-($AF$2-D7)+$AF$3*$BK$2*MAX(AE7+1-TODAY()-3,0)/30)-2*$AI$2*$AJ$2-2*$AI$2*$AJ$2,0)</f>
        <v>667.56858344262878</v>
      </c>
      <c r="BE7" s="2">
        <f t="shared" ca="1" si="12"/>
        <v>-4.9505025251673032E-4</v>
      </c>
      <c r="BF7" s="2">
        <f t="shared" ca="1" si="13"/>
        <v>-3.1174313734616627E-2</v>
      </c>
      <c r="BG7" s="2">
        <f t="shared" ca="1" si="14"/>
        <v>3.8884518009724952E-3</v>
      </c>
      <c r="BH7" s="13">
        <f t="shared" ca="1" si="15"/>
        <v>4.0091509961559272E-3</v>
      </c>
      <c r="BI7" s="2">
        <f t="shared" ca="1" si="16"/>
        <v>-6.6923460062446871E-3</v>
      </c>
      <c r="BJ7" s="2">
        <f t="shared" ca="1" si="17"/>
        <v>-0.42143053752352105</v>
      </c>
      <c r="BK7" s="2">
        <f t="shared" ca="1" si="18"/>
        <v>5.2566107679813359E-2</v>
      </c>
      <c r="BL7" s="40">
        <f t="shared" ca="1" si="19"/>
        <v>5.4197781985070873E-2</v>
      </c>
      <c r="BN7" s="6">
        <f t="shared" ref="BN7:BN62" ca="1" si="36">IF(AND(F7&gt;0,AF7&gt;0),AH$2*AI$2*(-F7+AF7+($AF$2-D7)+$AF$3*$BX$2*(AE7+1-TODAY())/30)-2*$AI$2*$AJ$2-2*$AI$2*$AJ$2,0)</f>
        <v>-289.01465637296178</v>
      </c>
      <c r="BO7" s="6">
        <f t="shared" ref="BO7:BO62" ca="1" si="37">IF(AND(J7&gt;0,AH7&gt;0),AH$2*AI$2*((-J7+AH7)+($AF$2-D7)+$AF$3*$BX$2*(AE7+1-TODAY())/30)-2*$AI$2*$AJ$2-2*$AI$2*$AJ$2,0)</f>
        <v>-1039.0146563729568</v>
      </c>
      <c r="BP7" s="6">
        <f t="shared" ref="BP7:BP62" ca="1" si="38">IF(AND(H7&gt;0,AJ7&gt;0),AH$2*AI$2*((-H7+AJ7)+($AF$2-D7)+$AF$3*$BX$2*(AE7+1-TODAY())/30)-2*$AI$2*$AJ$2-2*$AI$2*$AJ$2-AH$2*AI$2*$BC$2-AH$2*AI$2*$BC$3,0)</f>
        <v>4780.9853436270359</v>
      </c>
      <c r="BQ7" s="12">
        <f t="shared" ref="BQ7:BQ62" ca="1" si="39">IF(AND(H7&gt;0,AJ7&gt;0),AH$2*AI$2*((-H7+AJ7)+($AF$2-D7)+$AF$3*$BX$2*(AE7+1-TODAY())/30)-2*$AI$2*$AJ$2-2*$AI$2*$AJ$2,0)</f>
        <v>4820.9853436270359</v>
      </c>
      <c r="BR7" s="2">
        <f t="shared" ca="1" si="20"/>
        <v>-2.2484926876489503E-3</v>
      </c>
      <c r="BS7" s="2">
        <f t="shared" ca="1" si="21"/>
        <v>-3.6404465860278151E-2</v>
      </c>
      <c r="BT7" s="2">
        <f t="shared" ca="1" si="22"/>
        <v>0.16754771712968092</v>
      </c>
      <c r="BU7" s="13">
        <f t="shared" ca="1" si="23"/>
        <v>0.16894961952969198</v>
      </c>
      <c r="BV7" s="2">
        <f t="shared" ca="1" si="24"/>
        <v>-3.0396290036735808E-2</v>
      </c>
      <c r="BW7" s="2">
        <f t="shared" ca="1" si="25"/>
        <v>-0.49213444588894539</v>
      </c>
      <c r="BX7" s="2">
        <f t="shared" ca="1" si="26"/>
        <v>2.2649969167530939</v>
      </c>
      <c r="BY7" s="13">
        <f t="shared" ca="1" si="27"/>
        <v>2.283948560308799</v>
      </c>
      <c r="CB7" s="17"/>
      <c r="CC7" s="94"/>
      <c r="CD7" s="94"/>
      <c r="CE7" s="94"/>
      <c r="CF7" s="39" t="str">
        <f t="shared" si="28"/>
        <v>C2020-04-3200.CFE</v>
      </c>
      <c r="CG7" s="39" t="str">
        <f t="shared" si="29"/>
        <v>P2020-04-3200.CFE</v>
      </c>
      <c r="CH7" s="17" t="s">
        <v>383</v>
      </c>
      <c r="CI7" s="100" t="str">
        <f>IF([1]!w_info_callput(CH7)="认购","C","P")</f>
        <v>C</v>
      </c>
      <c r="CJ7" s="101">
        <f>[1]!w_info_strikeprice(CH7,"")</f>
        <v>3.2</v>
      </c>
      <c r="CK7" s="102" t="str">
        <f>[1]!w_info_lasttradingdate(CH7)</f>
        <v>2020-04-22</v>
      </c>
      <c r="CL7" s="39" t="str">
        <f t="shared" si="30"/>
        <v>10002412.SH</v>
      </c>
      <c r="CM7" s="17"/>
      <c r="CN7" s="17"/>
    </row>
    <row r="8" spans="1:92" ht="16.2" customHeight="1">
      <c r="A8" s="35">
        <f t="shared" si="2"/>
        <v>1</v>
      </c>
      <c r="B8" s="17" t="s">
        <v>379</v>
      </c>
      <c r="C8" s="29" t="str">
        <f>IF([1]!w_info_callput(B8)="认购","C","P")</f>
        <v>C</v>
      </c>
      <c r="D8" s="96">
        <f>[1]!w_info_strikeprice(B8,"")</f>
        <v>3.3</v>
      </c>
      <c r="E8" s="18" t="str">
        <f>[1]!w_info_lasttradingdate(B8)</f>
        <v>2020-04-22</v>
      </c>
      <c r="F8" s="15">
        <f>IF(G8&gt;0,RTD("wdf.rtq",,$B8,F$5),0)</f>
        <v>0.4572</v>
      </c>
      <c r="G8" s="53">
        <f>RTD("wdf.rtq",,$B8,G$5)</f>
        <v>1880</v>
      </c>
      <c r="H8" s="15">
        <f>RTD("wdf.rtq",,$B8,H$5)</f>
        <v>0.45390000000000003</v>
      </c>
      <c r="I8" s="53">
        <f>RTD("wdf.rtq",,$B8,I$5)</f>
        <v>1</v>
      </c>
      <c r="J8" s="15">
        <f>RTD("wdf.rtq",,$B8,J$5)</f>
        <v>0.45880000000000004</v>
      </c>
      <c r="K8" s="54">
        <f>RTD("wdf.rtq",,$B8,K$5)</f>
        <v>1</v>
      </c>
      <c r="L8" s="15">
        <f>[1]!s_dq_presettle(B8,"")</f>
        <v>0.38900000000000001</v>
      </c>
      <c r="M8" s="15">
        <f t="shared" si="3"/>
        <v>0</v>
      </c>
      <c r="N8" s="3">
        <f t="shared" si="31"/>
        <v>2070</v>
      </c>
      <c r="O8" s="15">
        <f t="shared" si="4"/>
        <v>0.45035999999999998</v>
      </c>
      <c r="P8" s="14">
        <f t="shared" si="5"/>
        <v>3.2004000000000005E-2</v>
      </c>
      <c r="Q8" s="8">
        <f t="shared" si="6"/>
        <v>108907.20999999998</v>
      </c>
      <c r="R8" s="55">
        <f ca="1">IF(NOW()-TODAY()&gt;15/24, G8, [1]!s_dq_volume(B8,R$2,1))/$AI$2</f>
        <v>327.10000000000002</v>
      </c>
      <c r="S8" s="110"/>
      <c r="T8" s="110"/>
      <c r="U8" s="110"/>
      <c r="V8" s="110"/>
      <c r="W8" s="110"/>
      <c r="X8" s="110"/>
      <c r="Y8" s="110"/>
      <c r="Z8" s="110"/>
      <c r="AA8" s="110"/>
      <c r="AB8" s="61" t="s">
        <v>381</v>
      </c>
      <c r="AC8" s="29" t="str">
        <f>IF([1]!w_info_callput(AB8)="认购","C","P")</f>
        <v>P</v>
      </c>
      <c r="AD8" s="31">
        <f>[1]!w_info_strikeprice(AB8,"")</f>
        <v>3.3</v>
      </c>
      <c r="AE8" s="18" t="str">
        <f>[1]!w_info_lasttradingdate(AB8)</f>
        <v>2020-04-22</v>
      </c>
      <c r="AF8" s="15">
        <f>RTD("wdf.rtq",,$AB8,F$5)</f>
        <v>2.07E-2</v>
      </c>
      <c r="AG8" s="53">
        <f>RTD("wdf.rtq",,$AB8,G$5)</f>
        <v>15538</v>
      </c>
      <c r="AH8" s="15">
        <f>RTD("wdf.rtq",,$AB8,H$5)</f>
        <v>2.01E-2</v>
      </c>
      <c r="AI8" s="53">
        <f>RTD("wdf.rtq",,$AB8,I$5)</f>
        <v>19</v>
      </c>
      <c r="AJ8" s="15">
        <f>RTD("wdf.rtq",,$AB8,J$5)</f>
        <v>2.07E-2</v>
      </c>
      <c r="AK8" s="54">
        <f>RTD("wdf.rtq",,$AB8,K$5)</f>
        <v>30</v>
      </c>
      <c r="AL8" s="15">
        <f>[1]!s_dq_presettle(AB8,"")</f>
        <v>3.15E-2</v>
      </c>
      <c r="AM8" s="15">
        <f t="shared" si="7"/>
        <v>0.45300000000000029</v>
      </c>
      <c r="AN8" s="3">
        <f t="shared" si="8"/>
        <v>2070</v>
      </c>
      <c r="AO8" s="15">
        <f t="shared" si="9"/>
        <v>-2.6400000000003088E-3</v>
      </c>
      <c r="AP8" s="14">
        <f t="shared" si="10"/>
        <v>0.23100000000000001</v>
      </c>
      <c r="AQ8" s="8">
        <f t="shared" si="11"/>
        <v>30204.010000000002</v>
      </c>
      <c r="AR8" s="55">
        <f ca="1">IF(NOW()-TODAY()&gt;15/24, AG8, [1]!s_dq_volume(AB8,AR$2,1))/AI$2</f>
        <v>3013</v>
      </c>
      <c r="AS8" s="110"/>
      <c r="AT8" s="110"/>
      <c r="AU8" s="110"/>
      <c r="AV8" s="110"/>
      <c r="AY8" s="10"/>
      <c r="AZ8" s="10"/>
      <c r="BA8" s="6">
        <f t="shared" ca="1" si="32"/>
        <v>-242.43141655740419</v>
      </c>
      <c r="BB8" s="6">
        <f t="shared" ca="1" si="33"/>
        <v>-572.43141655740123</v>
      </c>
      <c r="BC8" s="6">
        <f t="shared" ca="1" si="34"/>
        <v>-42.451416557400663</v>
      </c>
      <c r="BD8" s="12">
        <f t="shared" ca="1" si="35"/>
        <v>-22.431416557400667</v>
      </c>
      <c r="BE8" s="2">
        <f t="shared" ca="1" si="12"/>
        <v>-1.5539159572282644E-3</v>
      </c>
      <c r="BF8" s="2">
        <f t="shared" ca="1" si="13"/>
        <v>-3.6691214580957688E-3</v>
      </c>
      <c r="BG8" s="2">
        <f t="shared" ca="1" si="14"/>
        <v>-2.7217120528198833E-4</v>
      </c>
      <c r="BH8" s="13">
        <f t="shared" ca="1" si="15"/>
        <v>-1.4383427283991572E-4</v>
      </c>
      <c r="BI8" s="2">
        <f t="shared" ca="1" si="16"/>
        <v>-2.1006641644011722E-2</v>
      </c>
      <c r="BJ8" s="2">
        <f t="shared" ca="1" si="17"/>
        <v>-4.9601086377961318E-2</v>
      </c>
      <c r="BK8" s="2">
        <f t="shared" ca="1" si="18"/>
        <v>-3.6793514788120646E-3</v>
      </c>
      <c r="BL8" s="40">
        <f t="shared" ca="1" si="19"/>
        <v>-1.9444262809840459E-3</v>
      </c>
      <c r="BN8" s="6">
        <f t="shared" ca="1" si="36"/>
        <v>-129.01465637292387</v>
      </c>
      <c r="BO8" s="6">
        <f t="shared" ca="1" si="37"/>
        <v>-349.01465637292739</v>
      </c>
      <c r="BP8" s="6">
        <f t="shared" ca="1" si="38"/>
        <v>160.98534362707312</v>
      </c>
      <c r="BQ8" s="12">
        <f t="shared" ca="1" si="39"/>
        <v>200.98534362707312</v>
      </c>
      <c r="BR8" s="2">
        <f t="shared" ca="1" si="20"/>
        <v>-1.0670210679384281E-3</v>
      </c>
      <c r="BS8" s="2">
        <f t="shared" ca="1" si="21"/>
        <v>-1.1520583355081986E-2</v>
      </c>
      <c r="BT8" s="2">
        <f t="shared" ca="1" si="22"/>
        <v>5.3140285373963264E-3</v>
      </c>
      <c r="BU8" s="13">
        <f t="shared" ca="1" si="23"/>
        <v>6.6344086528495475E-3</v>
      </c>
      <c r="BV8" s="2">
        <f t="shared" ca="1" si="24"/>
        <v>-1.4424544066575049E-2</v>
      </c>
      <c r="BW8" s="2">
        <f t="shared" ca="1" si="25"/>
        <v>-0.15574121942981203</v>
      </c>
      <c r="BX8" s="2">
        <f t="shared" ca="1" si="26"/>
        <v>7.1837793190728111E-2</v>
      </c>
      <c r="BY8" s="13">
        <f t="shared" ca="1" si="27"/>
        <v>8.9687376232966104E-2</v>
      </c>
      <c r="CB8" s="17"/>
      <c r="CC8" s="94"/>
      <c r="CD8" s="94"/>
      <c r="CE8" s="94"/>
      <c r="CF8" s="39" t="str">
        <f t="shared" si="28"/>
        <v>C2020-04-3300.CFE</v>
      </c>
      <c r="CG8" s="39" t="str">
        <f t="shared" si="29"/>
        <v>P2020-04-3300.CFE</v>
      </c>
      <c r="CH8" s="95" t="s">
        <v>379</v>
      </c>
      <c r="CI8" s="100" t="str">
        <f>IF([1]!w_info_callput(CH8)="认购","C","P")</f>
        <v>C</v>
      </c>
      <c r="CJ8" s="101">
        <f>[1]!w_info_strikeprice(CH8,"")</f>
        <v>3.3</v>
      </c>
      <c r="CK8" s="102" t="str">
        <f>[1]!w_info_lasttradingdate(CH8)</f>
        <v>2020-04-22</v>
      </c>
      <c r="CL8" s="39" t="str">
        <f t="shared" si="30"/>
        <v>10002391.SH</v>
      </c>
      <c r="CM8" s="17"/>
      <c r="CN8" s="17"/>
    </row>
    <row r="9" spans="1:92" ht="16.2" customHeight="1">
      <c r="A9" s="35">
        <f t="shared" si="2"/>
        <v>1</v>
      </c>
      <c r="B9" s="17" t="s">
        <v>380</v>
      </c>
      <c r="C9" s="29" t="str">
        <f>IF([1]!w_info_callput(B9)="认购","C","P")</f>
        <v>C</v>
      </c>
      <c r="D9" s="96">
        <f>[1]!w_info_strikeprice(B9,"")</f>
        <v>3.4</v>
      </c>
      <c r="E9" s="18" t="str">
        <f>[1]!w_info_lasttradingdate(B9)</f>
        <v>2020-04-22</v>
      </c>
      <c r="F9" s="15">
        <f>IF(G9&gt;0,RTD("wdf.rtq",,$B9,F$5),0)</f>
        <v>0.3654</v>
      </c>
      <c r="G9" s="53">
        <f>RTD("wdf.rtq",,$B9,G$5)</f>
        <v>8539</v>
      </c>
      <c r="H9" s="15">
        <f>RTD("wdf.rtq",,$B9,H$5)</f>
        <v>0.36499999999999999</v>
      </c>
      <c r="I9" s="53">
        <f>RTD("wdf.rtq",,$B9,I$5)</f>
        <v>5</v>
      </c>
      <c r="J9" s="15">
        <f>RTD("wdf.rtq",,$B9,J$5)</f>
        <v>0.36849999999999999</v>
      </c>
      <c r="K9" s="54">
        <f>RTD("wdf.rtq",,$B9,K$5)</f>
        <v>10</v>
      </c>
      <c r="L9" s="15">
        <f>[1]!s_dq_presettle(B9,"")</f>
        <v>0.30009999999999998</v>
      </c>
      <c r="M9" s="15">
        <f t="shared" si="3"/>
        <v>0</v>
      </c>
      <c r="N9" s="3">
        <f t="shared" si="31"/>
        <v>3220</v>
      </c>
      <c r="O9" s="15">
        <f t="shared" si="4"/>
        <v>0.45035999999999998</v>
      </c>
      <c r="P9" s="14">
        <f t="shared" si="5"/>
        <v>2.5578000000000004E-2</v>
      </c>
      <c r="Q9" s="8">
        <f t="shared" si="6"/>
        <v>97891.209999999992</v>
      </c>
      <c r="R9" s="55">
        <f ca="1">IF(NOW()-TODAY()&gt;15/24, G9, [1]!s_dq_volume(B9,R$2,1))/$AI$2</f>
        <v>1966.5</v>
      </c>
      <c r="S9" s="110"/>
      <c r="T9" s="110"/>
      <c r="U9" s="110"/>
      <c r="V9" s="110"/>
      <c r="W9" s="110"/>
      <c r="X9" s="110"/>
      <c r="Y9" s="110"/>
      <c r="Z9" s="110"/>
      <c r="AA9" s="110"/>
      <c r="AB9" s="61" t="s">
        <v>382</v>
      </c>
      <c r="AC9" s="29" t="str">
        <f>IF([1]!w_info_callput(AB9)="认购","C","P")</f>
        <v>P</v>
      </c>
      <c r="AD9" s="31">
        <f>[1]!w_info_strikeprice(AB9,"")</f>
        <v>3.4</v>
      </c>
      <c r="AE9" s="18" t="str">
        <f>[1]!w_info_lasttradingdate(AB9)</f>
        <v>2020-04-22</v>
      </c>
      <c r="AF9" s="15">
        <f>RTD("wdf.rtq",,$AB9,F$5)</f>
        <v>3.2199999999999999E-2</v>
      </c>
      <c r="AG9" s="53">
        <f>RTD("wdf.rtq",,$AB9,G$5)</f>
        <v>30325</v>
      </c>
      <c r="AH9" s="15">
        <f>RTD("wdf.rtq",,$AB9,H$5)</f>
        <v>3.2100000000000004E-2</v>
      </c>
      <c r="AI9" s="53">
        <f>RTD("wdf.rtq",,$AB9,I$5)</f>
        <v>54</v>
      </c>
      <c r="AJ9" s="15">
        <f>RTD("wdf.rtq",,$AB9,J$5)</f>
        <v>3.3000000000000002E-2</v>
      </c>
      <c r="AK9" s="54">
        <f>RTD("wdf.rtq",,$AB9,K$5)</f>
        <v>8</v>
      </c>
      <c r="AL9" s="15">
        <f>[1]!s_dq_presettle(AB9,"")</f>
        <v>4.9500000000000002E-2</v>
      </c>
      <c r="AM9" s="15">
        <f t="shared" si="7"/>
        <v>0.3530000000000002</v>
      </c>
      <c r="AN9" s="3">
        <f t="shared" si="8"/>
        <v>3220</v>
      </c>
      <c r="AO9" s="15">
        <f t="shared" si="9"/>
        <v>9.735999999999978E-2</v>
      </c>
      <c r="AP9" s="14">
        <f t="shared" si="10"/>
        <v>0.23800000000000002</v>
      </c>
      <c r="AQ9" s="8">
        <f t="shared" si="11"/>
        <v>32424.01</v>
      </c>
      <c r="AR9" s="55">
        <f ca="1">IF(NOW()-TODAY()&gt;15/24, AG9, [1]!s_dq_volume(AB9,AR$2,1))/AI$2</f>
        <v>4299.8</v>
      </c>
      <c r="AS9" s="110"/>
      <c r="AT9" s="110"/>
      <c r="AU9" s="110"/>
      <c r="AV9" s="110"/>
      <c r="AY9" s="10"/>
      <c r="AZ9" s="10"/>
      <c r="BA9" s="6">
        <f t="shared" ca="1" si="32"/>
        <v>-572.43141655739555</v>
      </c>
      <c r="BB9" s="6">
        <f t="shared" ca="1" si="33"/>
        <v>-692.43141655739907</v>
      </c>
      <c r="BC9" s="6">
        <f t="shared" ca="1" si="34"/>
        <v>-272.45141655739758</v>
      </c>
      <c r="BD9" s="12">
        <f t="shared" ca="1" si="35"/>
        <v>-252.43141655739754</v>
      </c>
      <c r="BE9" s="2">
        <f t="shared" ca="1" si="12"/>
        <v>-3.9168138519879757E-3</v>
      </c>
      <c r="BF9" s="2">
        <f t="shared" ca="1" si="13"/>
        <v>-4.7353116875949357E-3</v>
      </c>
      <c r="BG9" s="2">
        <f t="shared" ca="1" si="14"/>
        <v>-1.8640983674866097E-3</v>
      </c>
      <c r="BH9" s="13">
        <f t="shared" ca="1" si="15"/>
        <v>-1.7273589427182683E-3</v>
      </c>
      <c r="BI9" s="2">
        <f t="shared" ca="1" si="16"/>
        <v>-5.2949520591689302E-2</v>
      </c>
      <c r="BJ9" s="2">
        <f t="shared" ca="1" si="17"/>
        <v>-6.4014398739709322E-2</v>
      </c>
      <c r="BK9" s="2">
        <f t="shared" ca="1" si="18"/>
        <v>-2.5199848301207872E-2</v>
      </c>
      <c r="BL9" s="40">
        <f t="shared" ca="1" si="19"/>
        <v>-2.3351333855265475E-2</v>
      </c>
      <c r="BN9" s="6">
        <f t="shared" ca="1" si="36"/>
        <v>200.98534362706755</v>
      </c>
      <c r="BO9" s="6">
        <f t="shared" ca="1" si="37"/>
        <v>-119.01465637293052</v>
      </c>
      <c r="BP9" s="6">
        <f t="shared" ca="1" si="38"/>
        <v>280.98534362707096</v>
      </c>
      <c r="BQ9" s="12">
        <f t="shared" ca="1" si="39"/>
        <v>320.98534362707096</v>
      </c>
      <c r="BR9" s="2">
        <f t="shared" ca="1" si="20"/>
        <v>1.7637864043817276E-3</v>
      </c>
      <c r="BS9" s="2">
        <f t="shared" ca="1" si="21"/>
        <v>-3.6613307188208943E-3</v>
      </c>
      <c r="BT9" s="2">
        <f t="shared" ca="1" si="22"/>
        <v>8.6442354733197776E-3</v>
      </c>
      <c r="BU9" s="13">
        <f t="shared" ca="1" si="23"/>
        <v>9.8748018853315016E-3</v>
      </c>
      <c r="BV9" s="2">
        <f t="shared" ca="1" si="24"/>
        <v>2.3843779170345577E-2</v>
      </c>
      <c r="BW9" s="2">
        <f t="shared" ca="1" si="25"/>
        <v>-4.9495767124800978E-2</v>
      </c>
      <c r="BX9" s="2">
        <f t="shared" ca="1" si="26"/>
        <v>0.11685725732450811</v>
      </c>
      <c r="BY9" s="13">
        <f t="shared" ca="1" si="27"/>
        <v>0.1334926921535555</v>
      </c>
      <c r="CB9" s="17"/>
      <c r="CC9" s="94"/>
      <c r="CD9" s="94"/>
      <c r="CE9" s="94"/>
      <c r="CF9" s="39" t="str">
        <f t="shared" si="28"/>
        <v>C2020-04-3400.CFE</v>
      </c>
      <c r="CG9" s="39" t="str">
        <f t="shared" si="29"/>
        <v>P2020-04-3400.CFE</v>
      </c>
      <c r="CH9" s="95" t="s">
        <v>380</v>
      </c>
      <c r="CI9" s="100" t="str">
        <f>IF([1]!w_info_callput(CH9)="认购","C","P")</f>
        <v>C</v>
      </c>
      <c r="CJ9" s="101">
        <f>[1]!w_info_strikeprice(CH9,"")</f>
        <v>3.4</v>
      </c>
      <c r="CK9" s="102" t="str">
        <f>[1]!w_info_lasttradingdate(CH9)</f>
        <v>2020-04-22</v>
      </c>
      <c r="CL9" s="39" t="str">
        <f t="shared" si="30"/>
        <v>10002392.SH</v>
      </c>
      <c r="CM9" s="17"/>
      <c r="CN9" s="17"/>
    </row>
    <row r="10" spans="1:92" ht="16.2" customHeight="1">
      <c r="A10" s="35">
        <f t="shared" si="2"/>
        <v>1</v>
      </c>
      <c r="B10" s="17" t="s">
        <v>308</v>
      </c>
      <c r="C10" s="29" t="str">
        <f>IF([1]!w_info_callput(B10)="认购","C","P")</f>
        <v>C</v>
      </c>
      <c r="D10" s="96">
        <f>[1]!w_info_strikeprice(B10,"")</f>
        <v>3.5</v>
      </c>
      <c r="E10" s="18" t="str">
        <f>[1]!w_info_lasttradingdate(B10)</f>
        <v>2020-04-22</v>
      </c>
      <c r="F10" s="15">
        <f>IF(G10&gt;0,RTD("wdf.rtq",,$B10,F$5),0)</f>
        <v>0.28689999999999999</v>
      </c>
      <c r="G10" s="53">
        <f>RTD("wdf.rtq",,$B10,G$5)</f>
        <v>20164</v>
      </c>
      <c r="H10" s="15">
        <f>RTD("wdf.rtq",,$B10,H$5)</f>
        <v>0.28360000000000002</v>
      </c>
      <c r="I10" s="53">
        <f>RTD("wdf.rtq",,$B10,I$5)</f>
        <v>1</v>
      </c>
      <c r="J10" s="15">
        <f>RTD("wdf.rtq",,$B10,J$5)</f>
        <v>0.28689999999999999</v>
      </c>
      <c r="K10" s="54">
        <f>RTD("wdf.rtq",,$B10,K$5)</f>
        <v>9</v>
      </c>
      <c r="L10" s="15">
        <f>[1]!s_dq_presettle(B10,"")</f>
        <v>0.22750000000000001</v>
      </c>
      <c r="M10" s="15">
        <f t="shared" si="3"/>
        <v>0</v>
      </c>
      <c r="N10" s="3">
        <f t="shared" si="31"/>
        <v>5040</v>
      </c>
      <c r="O10" s="15">
        <f t="shared" si="4"/>
        <v>0.45035999999999998</v>
      </c>
      <c r="P10" s="14">
        <f t="shared" si="5"/>
        <v>2.0083E-2</v>
      </c>
      <c r="Q10" s="8">
        <f t="shared" si="6"/>
        <v>88471.209999999992</v>
      </c>
      <c r="R10" s="55">
        <f ca="1">IF(NOW()-TODAY()&gt;15/24, G10, [1]!s_dq_volume(B10,R$2,1))/$AI$2</f>
        <v>4279.7</v>
      </c>
      <c r="S10" s="110"/>
      <c r="T10" s="110"/>
      <c r="U10" s="110"/>
      <c r="V10" s="110"/>
      <c r="W10" s="110"/>
      <c r="X10" s="110"/>
      <c r="Y10" s="110"/>
      <c r="Z10" s="110"/>
      <c r="AA10" s="110"/>
      <c r="AB10" s="61" t="s">
        <v>310</v>
      </c>
      <c r="AC10" s="29" t="str">
        <f>IF([1]!w_info_callput(AB10)="认购","C","P")</f>
        <v>P</v>
      </c>
      <c r="AD10" s="31">
        <f>[1]!w_info_strikeprice(AB10,"")</f>
        <v>3.5</v>
      </c>
      <c r="AE10" s="18" t="str">
        <f>[1]!w_info_lasttradingdate(AB10)</f>
        <v>2020-04-22</v>
      </c>
      <c r="AF10" s="15">
        <f>RTD("wdf.rtq",,$AB10,F$5)</f>
        <v>5.04E-2</v>
      </c>
      <c r="AG10" s="53">
        <f>RTD("wdf.rtq",,$AB10,G$5)</f>
        <v>43843</v>
      </c>
      <c r="AH10" s="15">
        <f>RTD("wdf.rtq",,$AB10,H$5)</f>
        <v>5.0300000000000004E-2</v>
      </c>
      <c r="AI10" s="53">
        <f>RTD("wdf.rtq",,$AB10,I$5)</f>
        <v>1</v>
      </c>
      <c r="AJ10" s="15">
        <f>RTD("wdf.rtq",,$AB10,J$5)</f>
        <v>5.0900000000000001E-2</v>
      </c>
      <c r="AK10" s="54">
        <f>RTD("wdf.rtq",,$AB10,K$5)</f>
        <v>5</v>
      </c>
      <c r="AL10" s="15">
        <f>[1]!s_dq_presettle(AB10,"")</f>
        <v>7.4499999999999997E-2</v>
      </c>
      <c r="AM10" s="15">
        <f t="shared" si="7"/>
        <v>0.25300000000000011</v>
      </c>
      <c r="AN10" s="3">
        <f t="shared" si="8"/>
        <v>5040</v>
      </c>
      <c r="AO10" s="15">
        <f t="shared" si="9"/>
        <v>0.19735999999999987</v>
      </c>
      <c r="AP10" s="14">
        <f t="shared" si="10"/>
        <v>0.24500000000000002</v>
      </c>
      <c r="AQ10" s="8">
        <f t="shared" si="11"/>
        <v>35448.01</v>
      </c>
      <c r="AR10" s="55">
        <f ca="1">IF(NOW()-TODAY()&gt;15/24, AG10, [1]!s_dq_volume(AB10,AR$2,1))/AI$2</f>
        <v>8668.2999999999993</v>
      </c>
      <c r="AS10" s="110"/>
      <c r="AT10" s="110"/>
      <c r="AU10" s="110"/>
      <c r="AV10" s="110"/>
      <c r="AY10" s="10"/>
      <c r="AZ10" s="10"/>
      <c r="BA10" s="6">
        <f t="shared" ca="1" si="32"/>
        <v>-242.43141655738754</v>
      </c>
      <c r="BB10" s="6">
        <f t="shared" ca="1" si="33"/>
        <v>-622.43141655738452</v>
      </c>
      <c r="BC10" s="6">
        <f t="shared" ca="1" si="34"/>
        <v>-252.45141655738865</v>
      </c>
      <c r="BD10" s="12">
        <f t="shared" ca="1" si="35"/>
        <v>-232.43141655738864</v>
      </c>
      <c r="BE10" s="2">
        <f t="shared" ca="1" si="12"/>
        <v>-1.7498108879809818E-3</v>
      </c>
      <c r="BF10" s="2">
        <f t="shared" ca="1" si="13"/>
        <v>-4.4909375632986017E-3</v>
      </c>
      <c r="BG10" s="2">
        <f t="shared" ca="1" si="14"/>
        <v>-1.8220012986504901E-3</v>
      </c>
      <c r="BH10" s="13">
        <f t="shared" ca="1" si="15"/>
        <v>-1.6777544210496852E-3</v>
      </c>
      <c r="BI10" s="2">
        <f t="shared" ca="1" si="16"/>
        <v>-2.3654850893076236E-2</v>
      </c>
      <c r="BJ10" s="2">
        <f t="shared" ca="1" si="17"/>
        <v>-6.0710822614962578E-2</v>
      </c>
      <c r="BK10" s="2">
        <f t="shared" ca="1" si="18"/>
        <v>-2.463075829657144E-2</v>
      </c>
      <c r="BL10" s="40">
        <f t="shared" ca="1" si="19"/>
        <v>-2.2680754210486483E-2</v>
      </c>
      <c r="BN10" s="6">
        <f t="shared" ca="1" si="36"/>
        <v>-129.01465637294052</v>
      </c>
      <c r="BO10" s="6">
        <f t="shared" ca="1" si="37"/>
        <v>-139.01465637293941</v>
      </c>
      <c r="BP10" s="6">
        <f t="shared" ca="1" si="38"/>
        <v>210.98534362705647</v>
      </c>
      <c r="BQ10" s="12">
        <f t="shared" ca="1" si="39"/>
        <v>250.98534362705647</v>
      </c>
      <c r="BR10" s="2">
        <f t="shared" ca="1" si="20"/>
        <v>-1.1822641609735009E-3</v>
      </c>
      <c r="BS10" s="2">
        <f t="shared" ca="1" si="21"/>
        <v>-3.913515035136126E-3</v>
      </c>
      <c r="BT10" s="2">
        <f t="shared" ca="1" si="22"/>
        <v>5.9396724199488604E-3</v>
      </c>
      <c r="BU10" s="13">
        <f t="shared" ca="1" si="23"/>
        <v>7.0657588678482118E-3</v>
      </c>
      <c r="BV10" s="2">
        <f t="shared" ca="1" si="24"/>
        <v>-1.5982459953901032E-2</v>
      </c>
      <c r="BW10" s="2">
        <f t="shared" ca="1" si="25"/>
        <v>-5.2904925474988367E-2</v>
      </c>
      <c r="BX10" s="2">
        <f t="shared" ca="1" si="26"/>
        <v>8.0295571603012372E-2</v>
      </c>
      <c r="BY10" s="13">
        <f t="shared" ca="1" si="27"/>
        <v>9.5518592102392497E-2</v>
      </c>
      <c r="CB10" s="17"/>
      <c r="CC10" s="94"/>
      <c r="CD10" s="94"/>
      <c r="CE10" s="94"/>
      <c r="CF10" s="39" t="str">
        <f t="shared" si="28"/>
        <v>C2020-04-3500.CFE</v>
      </c>
      <c r="CG10" s="39" t="str">
        <f t="shared" si="29"/>
        <v>P2020-04-3500.CFE</v>
      </c>
      <c r="CH10" s="95" t="s">
        <v>308</v>
      </c>
      <c r="CI10" s="100" t="str">
        <f>IF([1]!w_info_callput(CH10)="认购","C","P")</f>
        <v>C</v>
      </c>
      <c r="CJ10" s="101">
        <f>[1]!w_info_strikeprice(CH10,"")</f>
        <v>3.5</v>
      </c>
      <c r="CK10" s="102" t="str">
        <f>[1]!w_info_lasttradingdate(CH10)</f>
        <v>2020-04-22</v>
      </c>
      <c r="CL10" s="39" t="str">
        <f t="shared" si="30"/>
        <v>10002375.SH</v>
      </c>
      <c r="CM10" s="17"/>
      <c r="CN10" s="17"/>
    </row>
    <row r="11" spans="1:92" ht="16.2" customHeight="1">
      <c r="A11" s="35">
        <f t="shared" si="2"/>
        <v>1</v>
      </c>
      <c r="B11" s="17" t="s">
        <v>309</v>
      </c>
      <c r="C11" s="29" t="str">
        <f>IF([1]!w_info_callput(B11)="认购","C","P")</f>
        <v>C</v>
      </c>
      <c r="D11" s="96">
        <f>[1]!w_info_strikeprice(B11,"")</f>
        <v>3.6</v>
      </c>
      <c r="E11" s="18" t="str">
        <f>[1]!w_info_lasttradingdate(B11)</f>
        <v>2020-04-22</v>
      </c>
      <c r="F11" s="15">
        <f>IF(G11&gt;0,RTD("wdf.rtq",,$B11,F$5),0)</f>
        <v>0.21330000000000002</v>
      </c>
      <c r="G11" s="53">
        <f>RTD("wdf.rtq",,$B11,G$5)</f>
        <v>46458</v>
      </c>
      <c r="H11" s="15">
        <f>RTD("wdf.rtq",,$B11,H$5)</f>
        <v>0.21310000000000001</v>
      </c>
      <c r="I11" s="53">
        <f>RTD("wdf.rtq",,$B11,I$5)</f>
        <v>4</v>
      </c>
      <c r="J11" s="15">
        <f>RTD("wdf.rtq",,$B11,J$5)</f>
        <v>0.21330000000000002</v>
      </c>
      <c r="K11" s="54">
        <f>RTD("wdf.rtq",,$B11,K$5)</f>
        <v>4</v>
      </c>
      <c r="L11" s="15">
        <f>[1]!s_dq_presettle(B11,"")</f>
        <v>0.16500000000000001</v>
      </c>
      <c r="M11" s="15">
        <f t="shared" si="3"/>
        <v>0</v>
      </c>
      <c r="N11" s="3">
        <f t="shared" si="31"/>
        <v>7700</v>
      </c>
      <c r="O11" s="15">
        <f t="shared" si="4"/>
        <v>0.45035999999999998</v>
      </c>
      <c r="P11" s="14">
        <f t="shared" si="5"/>
        <v>1.4931000000000003E-2</v>
      </c>
      <c r="Q11" s="8">
        <f t="shared" si="6"/>
        <v>79639.209999999992</v>
      </c>
      <c r="R11" s="55">
        <f ca="1">IF(NOW()-TODAY()&gt;15/24, G11, [1]!s_dq_volume(B11,R$2,1))/$AI$2</f>
        <v>8427.5</v>
      </c>
      <c r="S11" s="110"/>
      <c r="T11" s="110"/>
      <c r="U11" s="110"/>
      <c r="V11" s="110"/>
      <c r="W11" s="110"/>
      <c r="X11" s="110"/>
      <c r="Y11" s="110"/>
      <c r="Z11" s="110"/>
      <c r="AA11" s="110"/>
      <c r="AB11" s="61" t="s">
        <v>311</v>
      </c>
      <c r="AC11" s="29" t="str">
        <f>IF([1]!w_info_callput(AB11)="认购","C","P")</f>
        <v>P</v>
      </c>
      <c r="AD11" s="31">
        <f>[1]!w_info_strikeprice(AB11,"")</f>
        <v>3.6</v>
      </c>
      <c r="AE11" s="18" t="str">
        <f>[1]!w_info_lasttradingdate(AB11)</f>
        <v>2020-04-22</v>
      </c>
      <c r="AF11" s="15">
        <f>RTD("wdf.rtq",,$AB11,F$5)</f>
        <v>7.6999999999999999E-2</v>
      </c>
      <c r="AG11" s="53">
        <f>RTD("wdf.rtq",,$AB11,G$5)</f>
        <v>62854</v>
      </c>
      <c r="AH11" s="15">
        <f>RTD("wdf.rtq",,$AB11,H$5)</f>
        <v>7.6999999999999999E-2</v>
      </c>
      <c r="AI11" s="53">
        <f>RTD("wdf.rtq",,$AB11,I$5)</f>
        <v>1</v>
      </c>
      <c r="AJ11" s="15">
        <f>RTD("wdf.rtq",,$AB11,J$5)</f>
        <v>7.7600000000000002E-2</v>
      </c>
      <c r="AK11" s="54">
        <f>RTD("wdf.rtq",,$AB11,K$5)</f>
        <v>8</v>
      </c>
      <c r="AL11" s="15">
        <f>[1]!s_dq_presettle(AB11,"")</f>
        <v>0.1081</v>
      </c>
      <c r="AM11" s="15">
        <f t="shared" si="7"/>
        <v>0.15300000000000002</v>
      </c>
      <c r="AN11" s="3">
        <f t="shared" si="8"/>
        <v>7700</v>
      </c>
      <c r="AO11" s="15">
        <f t="shared" si="9"/>
        <v>0.29735999999999996</v>
      </c>
      <c r="AP11" s="14">
        <f t="shared" si="10"/>
        <v>0.25200000000000006</v>
      </c>
      <c r="AQ11" s="8">
        <f t="shared" si="11"/>
        <v>44923.21</v>
      </c>
      <c r="AR11" s="55">
        <f ca="1">IF(NOW()-TODAY()&gt;15/24, AG11, [1]!s_dq_volume(AB11,AR$2,1))/AI$2</f>
        <v>14217</v>
      </c>
      <c r="AS11" s="110"/>
      <c r="AT11" s="110"/>
      <c r="AU11" s="110"/>
      <c r="AV11" s="110"/>
      <c r="AY11" s="10"/>
      <c r="AZ11" s="10"/>
      <c r="BA11" s="6">
        <f t="shared" ca="1" si="32"/>
        <v>-262.43141655737423</v>
      </c>
      <c r="BB11" s="6">
        <f t="shared" ca="1" si="33"/>
        <v>-342.43141655737656</v>
      </c>
      <c r="BC11" s="6">
        <f t="shared" ca="1" si="34"/>
        <v>-282.45141655737422</v>
      </c>
      <c r="BD11" s="12">
        <f t="shared" ca="1" si="35"/>
        <v>-262.43141655737423</v>
      </c>
      <c r="BE11" s="2">
        <f t="shared" ca="1" si="12"/>
        <v>-1.9824815881868988E-3</v>
      </c>
      <c r="BF11" s="2">
        <f t="shared" ca="1" si="13"/>
        <v>-2.5856523847198687E-3</v>
      </c>
      <c r="BG11" s="2">
        <f t="shared" ca="1" si="14"/>
        <v>-2.1333960387039247E-3</v>
      </c>
      <c r="BH11" s="13">
        <f t="shared" ca="1" si="15"/>
        <v>-1.9824815881868988E-3</v>
      </c>
      <c r="BI11" s="2">
        <f t="shared" ca="1" si="16"/>
        <v>-2.6800214062526594E-2</v>
      </c>
      <c r="BJ11" s="2">
        <f t="shared" ca="1" si="17"/>
        <v>-3.4954189645287119E-2</v>
      </c>
      <c r="BK11" s="2">
        <f t="shared" ca="1" si="18"/>
        <v>-2.8840353856553057E-2</v>
      </c>
      <c r="BL11" s="40">
        <f t="shared" ca="1" si="19"/>
        <v>-2.6800214062526594E-2</v>
      </c>
      <c r="BN11" s="6">
        <f t="shared" ca="1" si="36"/>
        <v>-109.01465637295382</v>
      </c>
      <c r="BO11" s="6">
        <f t="shared" ca="1" si="37"/>
        <v>-109.01465637295382</v>
      </c>
      <c r="BP11" s="6">
        <f t="shared" ca="1" si="38"/>
        <v>-69.014656372951535</v>
      </c>
      <c r="BQ11" s="12">
        <f t="shared" ca="1" si="39"/>
        <v>-29.014656372951535</v>
      </c>
      <c r="BR11" s="2">
        <f t="shared" ca="1" si="20"/>
        <v>-9.7999275639768348E-4</v>
      </c>
      <c r="BS11" s="2">
        <f t="shared" ca="1" si="21"/>
        <v>-2.4231118552016993E-3</v>
      </c>
      <c r="BT11" s="2">
        <f t="shared" ca="1" si="22"/>
        <v>-1.5340160452173811E-3</v>
      </c>
      <c r="BU11" s="13">
        <f t="shared" ca="1" si="23"/>
        <v>-6.4492052193118024E-4</v>
      </c>
      <c r="BV11" s="2">
        <f t="shared" ca="1" si="24"/>
        <v>-1.3248050225376092E-2</v>
      </c>
      <c r="BW11" s="2">
        <f t="shared" ca="1" si="25"/>
        <v>-3.2756882486985932E-2</v>
      </c>
      <c r="BX11" s="2">
        <f t="shared" ca="1" si="26"/>
        <v>-2.0737624314975705E-2</v>
      </c>
      <c r="BY11" s="13">
        <f t="shared" ca="1" si="27"/>
        <v>-8.7183700186992882E-3</v>
      </c>
      <c r="CB11" s="17"/>
      <c r="CC11" s="94"/>
      <c r="CD11" s="94"/>
      <c r="CE11" s="94"/>
      <c r="CF11" s="39" t="str">
        <f t="shared" si="28"/>
        <v>C2020-04-3600.CFE</v>
      </c>
      <c r="CG11" s="39" t="str">
        <f t="shared" si="29"/>
        <v>P2020-04-3600.CFE</v>
      </c>
      <c r="CH11" s="95" t="s">
        <v>309</v>
      </c>
      <c r="CI11" s="100" t="str">
        <f>IF([1]!w_info_callput(CH11)="认购","C","P")</f>
        <v>C</v>
      </c>
      <c r="CJ11" s="101">
        <f>[1]!w_info_strikeprice(CH11,"")</f>
        <v>3.6</v>
      </c>
      <c r="CK11" s="102" t="str">
        <f>[1]!w_info_lasttradingdate(CH11)</f>
        <v>2020-04-22</v>
      </c>
      <c r="CL11" s="39" t="str">
        <f t="shared" si="30"/>
        <v>10002376.SH</v>
      </c>
      <c r="CM11" s="17"/>
      <c r="CN11" s="17"/>
    </row>
    <row r="12" spans="1:92" ht="16.2" customHeight="1">
      <c r="A12" s="35">
        <f t="shared" si="2"/>
        <v>1</v>
      </c>
      <c r="B12" s="17" t="s">
        <v>284</v>
      </c>
      <c r="C12" s="29" t="str">
        <f>IF([1]!w_info_callput(B12)="认购","C","P")</f>
        <v>C</v>
      </c>
      <c r="D12" s="96">
        <f>[1]!w_info_strikeprice(B12,"")</f>
        <v>3.7</v>
      </c>
      <c r="E12" s="18" t="str">
        <f>[1]!w_info_lasttradingdate(B12)</f>
        <v>2020-04-22</v>
      </c>
      <c r="F12" s="15">
        <f>IF(G12&gt;0,RTD("wdf.rtq",,$B12,F$5),0)</f>
        <v>0.14980000000000002</v>
      </c>
      <c r="G12" s="53">
        <f>RTD("wdf.rtq",,$B12,G$5)</f>
        <v>84597</v>
      </c>
      <c r="H12" s="15">
        <f>RTD("wdf.rtq",,$B12,H$5)</f>
        <v>0.1492</v>
      </c>
      <c r="I12" s="53">
        <f>RTD("wdf.rtq",,$B12,I$5)</f>
        <v>29</v>
      </c>
      <c r="J12" s="15">
        <f>RTD("wdf.rtq",,$B12,J$5)</f>
        <v>0.15</v>
      </c>
      <c r="K12" s="54">
        <f>RTD("wdf.rtq",,$B12,K$5)</f>
        <v>14</v>
      </c>
      <c r="L12" s="15">
        <f>[1]!s_dq_presettle(B12,"")</f>
        <v>0.1133</v>
      </c>
      <c r="M12" s="15">
        <f t="shared" si="3"/>
        <v>0</v>
      </c>
      <c r="N12" s="3">
        <f t="shared" si="31"/>
        <v>11220</v>
      </c>
      <c r="O12" s="15">
        <f t="shared" si="4"/>
        <v>0.45035999999999998</v>
      </c>
      <c r="P12" s="14">
        <f t="shared" si="5"/>
        <v>1.0486000000000002E-2</v>
      </c>
      <c r="Q12" s="8">
        <f t="shared" si="6"/>
        <v>72019.209999999992</v>
      </c>
      <c r="R12" s="55">
        <f ca="1">IF(NOW()-TODAY()&gt;15/24, G12, [1]!s_dq_volume(B12,R$2,1))/$AI$2</f>
        <v>15136.6</v>
      </c>
      <c r="S12" s="110"/>
      <c r="T12" s="110"/>
      <c r="U12" s="110"/>
      <c r="V12" s="110"/>
      <c r="W12" s="110"/>
      <c r="X12" s="110"/>
      <c r="Y12" s="110"/>
      <c r="Z12" s="110"/>
      <c r="AA12" s="110"/>
      <c r="AB12" s="61" t="s">
        <v>293</v>
      </c>
      <c r="AC12" s="29" t="str">
        <f>IF([1]!w_info_callput(AB12)="认购","C","P")</f>
        <v>P</v>
      </c>
      <c r="AD12" s="31">
        <f>[1]!w_info_strikeprice(AB12,"")</f>
        <v>3.7</v>
      </c>
      <c r="AE12" s="18" t="str">
        <f>[1]!w_info_lasttradingdate(AB12)</f>
        <v>2020-04-22</v>
      </c>
      <c r="AF12" s="15">
        <f>RTD("wdf.rtq",,$AB12,F$5)</f>
        <v>0.11220000000000001</v>
      </c>
      <c r="AG12" s="53">
        <f>RTD("wdf.rtq",,$AB12,G$5)</f>
        <v>70604</v>
      </c>
      <c r="AH12" s="15">
        <f>RTD("wdf.rtq",,$AB12,H$5)</f>
        <v>0.112</v>
      </c>
      <c r="AI12" s="53">
        <f>RTD("wdf.rtq",,$AB12,I$5)</f>
        <v>11</v>
      </c>
      <c r="AJ12" s="15">
        <f>RTD("wdf.rtq",,$AB12,J$5)</f>
        <v>0.11380000000000001</v>
      </c>
      <c r="AK12" s="54">
        <f>RTD("wdf.rtq",,$AB12,K$5)</f>
        <v>38</v>
      </c>
      <c r="AL12" s="15">
        <f>[1]!s_dq_presettle(AB12,"")</f>
        <v>0.15679999999999999</v>
      </c>
      <c r="AM12" s="15">
        <f t="shared" si="7"/>
        <v>5.2999999999999936E-2</v>
      </c>
      <c r="AN12" s="3">
        <f t="shared" si="8"/>
        <v>11220</v>
      </c>
      <c r="AO12" s="15">
        <f t="shared" si="9"/>
        <v>0.39736000000000005</v>
      </c>
      <c r="AP12" s="14">
        <f t="shared" si="10"/>
        <v>0.25900000000000006</v>
      </c>
      <c r="AQ12" s="8">
        <f t="shared" si="11"/>
        <v>61147.21</v>
      </c>
      <c r="AR12" s="55">
        <f ca="1">IF(NOW()-TODAY()&gt;15/24, AG12, [1]!s_dq_volume(AB12,AR$2,1))/AI$2</f>
        <v>12120.7</v>
      </c>
      <c r="AS12" s="110"/>
      <c r="AT12" s="110"/>
      <c r="AU12" s="110"/>
      <c r="AV12" s="110"/>
      <c r="AY12" s="10"/>
      <c r="AZ12" s="10"/>
      <c r="BA12" s="6">
        <f t="shared" ca="1" si="32"/>
        <v>-132.43141655736775</v>
      </c>
      <c r="BB12" s="6">
        <f t="shared" ca="1" si="33"/>
        <v>-352.43141655736986</v>
      </c>
      <c r="BC12" s="6">
        <f t="shared" ca="1" si="34"/>
        <v>-112.45141655736937</v>
      </c>
      <c r="BD12" s="12">
        <f t="shared" ca="1" si="35"/>
        <v>-92.431416557369374</v>
      </c>
      <c r="BE12" s="2">
        <f t="shared" ca="1" si="12"/>
        <v>-1.0324006996937894E-3</v>
      </c>
      <c r="BF12" s="2">
        <f t="shared" ca="1" si="13"/>
        <v>-2.7440404898109319E-3</v>
      </c>
      <c r="BG12" s="2">
        <f t="shared" ca="1" si="14"/>
        <v>-8.7664184340348675E-4</v>
      </c>
      <c r="BH12" s="13">
        <f t="shared" ca="1" si="15"/>
        <v>-7.2068352277751037E-4</v>
      </c>
      <c r="BI12" s="2">
        <f t="shared" ca="1" si="16"/>
        <v>-1.3956527977341968E-2</v>
      </c>
      <c r="BJ12" s="2">
        <f t="shared" ca="1" si="17"/>
        <v>-3.709536217707371E-2</v>
      </c>
      <c r="BK12" s="2">
        <f t="shared" ca="1" si="18"/>
        <v>-1.1850898994158246E-2</v>
      </c>
      <c r="BL12" s="40">
        <f t="shared" ca="1" si="19"/>
        <v>-9.7425735486589369E-3</v>
      </c>
      <c r="BN12" s="6">
        <f t="shared" ca="1" si="36"/>
        <v>-239.01465637296033</v>
      </c>
      <c r="BO12" s="6">
        <f t="shared" ca="1" si="37"/>
        <v>-279.01465637295871</v>
      </c>
      <c r="BP12" s="6">
        <f t="shared" ca="1" si="38"/>
        <v>-59.014656372958186</v>
      </c>
      <c r="BQ12" s="12">
        <f t="shared" ca="1" si="39"/>
        <v>-19.014656372958186</v>
      </c>
      <c r="BR12" s="2">
        <f t="shared" ca="1" si="20"/>
        <v>-1.973464079006958E-3</v>
      </c>
      <c r="BS12" s="2">
        <f t="shared" ca="1" si="21"/>
        <v>-4.5585269345176597E-3</v>
      </c>
      <c r="BT12" s="2">
        <f t="shared" ca="1" si="22"/>
        <v>-9.6417932956927412E-4</v>
      </c>
      <c r="BU12" s="13">
        <f t="shared" ca="1" si="23"/>
        <v>-3.1066087224945044E-4</v>
      </c>
      <c r="BV12" s="2">
        <f t="shared" ca="1" si="24"/>
        <v>-2.6678310697686652E-2</v>
      </c>
      <c r="BW12" s="2">
        <f t="shared" ca="1" si="25"/>
        <v>-6.1624530781442435E-2</v>
      </c>
      <c r="BX12" s="2">
        <f t="shared" ca="1" si="26"/>
        <v>-1.3034276121955003E-2</v>
      </c>
      <c r="BY12" s="13">
        <f t="shared" ca="1" si="27"/>
        <v>-4.1996747544833114E-3</v>
      </c>
      <c r="CB12" s="17"/>
      <c r="CC12" s="94"/>
      <c r="CD12" s="94"/>
      <c r="CE12" s="94"/>
      <c r="CF12" s="39" t="str">
        <f t="shared" si="28"/>
        <v>C2020-04-3700.CFE</v>
      </c>
      <c r="CG12" s="39" t="str">
        <f t="shared" si="29"/>
        <v>P2020-04-3700.CFE</v>
      </c>
      <c r="CH12" s="17" t="s">
        <v>284</v>
      </c>
      <c r="CI12" s="100" t="str">
        <f>IF([1]!w_info_callput(CH12)="认购","C","P")</f>
        <v>C</v>
      </c>
      <c r="CJ12" s="101">
        <f>[1]!w_info_strikeprice(CH12,"")</f>
        <v>3.7</v>
      </c>
      <c r="CK12" s="102" t="str">
        <f>[1]!w_info_lasttradingdate(CH12)</f>
        <v>2020-04-22</v>
      </c>
      <c r="CL12" s="39" t="str">
        <f t="shared" si="30"/>
        <v>10002360.SH</v>
      </c>
      <c r="CM12" s="17"/>
      <c r="CN12" s="17"/>
    </row>
    <row r="13" spans="1:92" ht="16.2" customHeight="1">
      <c r="A13" s="35">
        <f t="shared" si="2"/>
        <v>1</v>
      </c>
      <c r="B13" s="17" t="s">
        <v>285</v>
      </c>
      <c r="C13" s="29" t="str">
        <f>IF([1]!w_info_callput(B13)="认购","C","P")</f>
        <v>C</v>
      </c>
      <c r="D13" s="96">
        <f>[1]!w_info_strikeprice(B13,"")</f>
        <v>3.8</v>
      </c>
      <c r="E13" s="18" t="str">
        <f>[1]!w_info_lasttradingdate(B13)</f>
        <v>2020-04-22</v>
      </c>
      <c r="F13" s="15">
        <f>IF(G13&gt;0,RTD("wdf.rtq",,$B13,F$5),0)</f>
        <v>0.1</v>
      </c>
      <c r="G13" s="53">
        <f>RTD("wdf.rtq",,$B13,G$5)</f>
        <v>90816</v>
      </c>
      <c r="H13" s="15">
        <f>RTD("wdf.rtq",,$B13,H$5)</f>
        <v>9.9900000000000003E-2</v>
      </c>
      <c r="I13" s="53">
        <f>RTD("wdf.rtq",,$B13,I$5)</f>
        <v>2</v>
      </c>
      <c r="J13" s="15">
        <f>RTD("wdf.rtq",,$B13,J$5)</f>
        <v>0.1</v>
      </c>
      <c r="K13" s="54">
        <f>RTD("wdf.rtq",,$B13,K$5)</f>
        <v>50</v>
      </c>
      <c r="L13" s="15">
        <f>[1]!s_dq_presettle(B13,"")</f>
        <v>7.3099999999999998E-2</v>
      </c>
      <c r="M13" s="15">
        <f t="shared" si="3"/>
        <v>4.6999999999999709E-2</v>
      </c>
      <c r="N13" s="3">
        <f t="shared" si="31"/>
        <v>16350</v>
      </c>
      <c r="O13" s="15">
        <f t="shared" si="4"/>
        <v>0.40336000000000027</v>
      </c>
      <c r="P13" s="14">
        <f t="shared" si="5"/>
        <v>7.000000000000001E-3</v>
      </c>
      <c r="Q13" s="8">
        <f t="shared" si="6"/>
        <v>60403.210000000028</v>
      </c>
      <c r="R13" s="55">
        <f ca="1">IF(NOW()-TODAY()&gt;15/24, G13, [1]!s_dq_volume(B13,R$2,1))/$AI$2</f>
        <v>13049</v>
      </c>
      <c r="S13" s="110"/>
      <c r="T13" s="110"/>
      <c r="U13" s="110"/>
      <c r="V13" s="110"/>
      <c r="W13" s="110"/>
      <c r="X13" s="110"/>
      <c r="Y13" s="110"/>
      <c r="Z13" s="110"/>
      <c r="AA13" s="110"/>
      <c r="AB13" s="61" t="s">
        <v>294</v>
      </c>
      <c r="AC13" s="29" t="str">
        <f>IF([1]!w_info_callput(AB13)="认购","C","P")</f>
        <v>P</v>
      </c>
      <c r="AD13" s="31">
        <f>[1]!w_info_strikeprice(AB13,"")</f>
        <v>3.8</v>
      </c>
      <c r="AE13" s="18" t="str">
        <f>[1]!w_info_lasttradingdate(AB13)</f>
        <v>2020-04-22</v>
      </c>
      <c r="AF13" s="15">
        <f>RTD("wdf.rtq",,$AB13,F$5)</f>
        <v>0.16350000000000001</v>
      </c>
      <c r="AG13" s="53">
        <f>RTD("wdf.rtq",,$AB13,G$5)</f>
        <v>34103</v>
      </c>
      <c r="AH13" s="15">
        <f>RTD("wdf.rtq",,$AB13,H$5)</f>
        <v>0.16200000000000001</v>
      </c>
      <c r="AI13" s="53">
        <f>RTD("wdf.rtq",,$AB13,I$5)</f>
        <v>10</v>
      </c>
      <c r="AJ13" s="15">
        <f>RTD("wdf.rtq",,$AB13,J$5)</f>
        <v>0.16450000000000001</v>
      </c>
      <c r="AK13" s="54">
        <f>RTD("wdf.rtq",,$AB13,K$5)</f>
        <v>20</v>
      </c>
      <c r="AL13" s="15">
        <f>[1]!s_dq_presettle(AB13,"")</f>
        <v>0.21879999999999999</v>
      </c>
      <c r="AM13" s="15">
        <f t="shared" si="7"/>
        <v>0</v>
      </c>
      <c r="AN13" s="3">
        <f t="shared" si="8"/>
        <v>16350</v>
      </c>
      <c r="AO13" s="15">
        <f t="shared" si="9"/>
        <v>0.45035999999999998</v>
      </c>
      <c r="AP13" s="14">
        <f t="shared" si="10"/>
        <v>0.26600000000000001</v>
      </c>
      <c r="AQ13" s="8">
        <f t="shared" si="11"/>
        <v>73663.209999999977</v>
      </c>
      <c r="AR13" s="55">
        <f ca="1">IF(NOW()-TODAY()&gt;15/24, AG13, [1]!s_dq_volume(AB13,AR$2,1))/AI$2</f>
        <v>6014.1</v>
      </c>
      <c r="AS13" s="110"/>
      <c r="AT13" s="110"/>
      <c r="AU13" s="110"/>
      <c r="AV13" s="110"/>
      <c r="AY13" s="10"/>
      <c r="AZ13" s="10"/>
      <c r="BA13" s="6">
        <f t="shared" ca="1" si="32"/>
        <v>-242.43141655740419</v>
      </c>
      <c r="BB13" s="6">
        <f t="shared" ca="1" si="33"/>
        <v>-352.43141655740459</v>
      </c>
      <c r="BC13" s="6">
        <f t="shared" ca="1" si="34"/>
        <v>-112.45141655740406</v>
      </c>
      <c r="BD13" s="12">
        <f t="shared" ca="1" si="35"/>
        <v>-92.431416557404063</v>
      </c>
      <c r="BE13" s="2">
        <f t="shared" ca="1" si="12"/>
        <v>-1.9905820602449443E-3</v>
      </c>
      <c r="BF13" s="2">
        <f t="shared" ca="1" si="13"/>
        <v>-2.8914078330428473E-3</v>
      </c>
      <c r="BG13" s="2">
        <f t="shared" ca="1" si="14"/>
        <v>-9.2431486738574122E-4</v>
      </c>
      <c r="BH13" s="13">
        <f t="shared" ca="1" si="15"/>
        <v>-7.598817565273899E-4</v>
      </c>
      <c r="BI13" s="2">
        <f t="shared" ca="1" si="16"/>
        <v>-2.6909720444052026E-2</v>
      </c>
      <c r="BJ13" s="2">
        <f t="shared" ca="1" si="17"/>
        <v>-3.9087550335579237E-2</v>
      </c>
      <c r="BK13" s="2">
        <f t="shared" ca="1" si="18"/>
        <v>-1.2495367651696131E-2</v>
      </c>
      <c r="BL13" s="40">
        <f t="shared" ca="1" si="19"/>
        <v>-1.02724755974999E-2</v>
      </c>
      <c r="BN13" s="6">
        <f t="shared" ca="1" si="36"/>
        <v>-129.01465637292387</v>
      </c>
      <c r="BO13" s="6">
        <f t="shared" ca="1" si="37"/>
        <v>-279.01465637292404</v>
      </c>
      <c r="BP13" s="6">
        <f t="shared" ca="1" si="38"/>
        <v>-59.014656372923497</v>
      </c>
      <c r="BQ13" s="12">
        <f t="shared" ca="1" si="39"/>
        <v>-19.014656372923497</v>
      </c>
      <c r="BR13" s="2">
        <f t="shared" ca="1" si="20"/>
        <v>-1.0028323988493521E-3</v>
      </c>
      <c r="BS13" s="2">
        <f t="shared" ca="1" si="21"/>
        <v>-3.784881718624792E-3</v>
      </c>
      <c r="BT13" s="2">
        <f t="shared" ca="1" si="22"/>
        <v>-8.0054383752021564E-4</v>
      </c>
      <c r="BU13" s="13">
        <f t="shared" ca="1" si="23"/>
        <v>-2.5793711337598787E-4</v>
      </c>
      <c r="BV13" s="2">
        <f t="shared" ca="1" si="24"/>
        <v>-1.3556808354815316E-2</v>
      </c>
      <c r="BW13" s="2">
        <f t="shared" ca="1" si="25"/>
        <v>-5.116599360363145E-2</v>
      </c>
      <c r="BX13" s="2">
        <f t="shared" ca="1" si="26"/>
        <v>-1.0822166692402914E-2</v>
      </c>
      <c r="BY13" s="13">
        <f t="shared" ca="1" si="27"/>
        <v>-3.4869276437865027E-3</v>
      </c>
      <c r="CB13" s="17"/>
      <c r="CC13" s="94"/>
      <c r="CD13" s="94"/>
      <c r="CE13" s="94"/>
      <c r="CF13" s="39" t="str">
        <f t="shared" si="28"/>
        <v>C2020-04-3800.CFE</v>
      </c>
      <c r="CG13" s="39" t="str">
        <f t="shared" si="29"/>
        <v>P2020-04-3800.CFE</v>
      </c>
      <c r="CH13" s="17" t="s">
        <v>285</v>
      </c>
      <c r="CI13" s="100" t="str">
        <f>IF([1]!w_info_callput(CH13)="认购","C","P")</f>
        <v>C</v>
      </c>
      <c r="CJ13" s="101">
        <f>[1]!w_info_strikeprice(CH13,"")</f>
        <v>3.8</v>
      </c>
      <c r="CK13" s="102" t="str">
        <f>[1]!w_info_lasttradingdate(CH13)</f>
        <v>2020-04-22</v>
      </c>
      <c r="CL13" s="39" t="str">
        <f t="shared" si="30"/>
        <v>10002361.SH</v>
      </c>
      <c r="CM13" s="17"/>
      <c r="CN13" s="17"/>
    </row>
    <row r="14" spans="1:92" ht="16.2" customHeight="1">
      <c r="A14" s="35">
        <f t="shared" si="2"/>
        <v>1</v>
      </c>
      <c r="B14" s="17" t="s">
        <v>286</v>
      </c>
      <c r="C14" s="29" t="str">
        <f>IF([1]!w_info_callput(B14)="认购","C","P")</f>
        <v>C</v>
      </c>
      <c r="D14" s="96">
        <f>[1]!w_info_strikeprice(B14,"")</f>
        <v>3.9</v>
      </c>
      <c r="E14" s="18" t="str">
        <f>[1]!w_info_lasttradingdate(B14)</f>
        <v>2020-04-22</v>
      </c>
      <c r="F14" s="15">
        <f>IF(G14&gt;0,RTD("wdf.rtq",,$B14,F$5),0)</f>
        <v>6.3399999999999998E-2</v>
      </c>
      <c r="G14" s="53">
        <f>RTD("wdf.rtq",,$B14,G$5)</f>
        <v>56016</v>
      </c>
      <c r="H14" s="15">
        <f>RTD("wdf.rtq",,$B14,H$5)</f>
        <v>6.3100000000000003E-2</v>
      </c>
      <c r="I14" s="53">
        <f>RTD("wdf.rtq",,$B14,I$5)</f>
        <v>105</v>
      </c>
      <c r="J14" s="15">
        <f>RTD("wdf.rtq",,$B14,J$5)</f>
        <v>6.3399999999999998E-2</v>
      </c>
      <c r="K14" s="54">
        <f>RTD("wdf.rtq",,$B14,K$5)</f>
        <v>185</v>
      </c>
      <c r="L14" s="15">
        <f>[1]!s_dq_presettle(B14,"")</f>
        <v>4.6100000000000002E-2</v>
      </c>
      <c r="M14" s="15">
        <f t="shared" si="3"/>
        <v>0.1469999999999998</v>
      </c>
      <c r="N14" s="3">
        <f t="shared" si="31"/>
        <v>22700</v>
      </c>
      <c r="O14" s="15">
        <f t="shared" si="4"/>
        <v>0.30336000000000019</v>
      </c>
      <c r="P14" s="14">
        <f t="shared" si="5"/>
        <v>4.4380000000000001E-3</v>
      </c>
      <c r="Q14" s="8">
        <f t="shared" si="6"/>
        <v>44011.210000000028</v>
      </c>
      <c r="R14" s="55">
        <f ca="1">IF(NOW()-TODAY()&gt;15/24, G14, [1]!s_dq_volume(B14,R$2,1))/$AI$2</f>
        <v>7605.4</v>
      </c>
      <c r="S14" s="110"/>
      <c r="T14" s="110"/>
      <c r="U14" s="110"/>
      <c r="V14" s="110"/>
      <c r="W14" s="110"/>
      <c r="X14" s="110"/>
      <c r="Y14" s="110"/>
      <c r="Z14" s="110"/>
      <c r="AA14" s="110"/>
      <c r="AB14" s="61" t="s">
        <v>295</v>
      </c>
      <c r="AC14" s="29" t="str">
        <f>IF([1]!w_info_callput(AB14)="认购","C","P")</f>
        <v>P</v>
      </c>
      <c r="AD14" s="31">
        <f>[1]!w_info_strikeprice(AB14,"")</f>
        <v>3.9</v>
      </c>
      <c r="AE14" s="18" t="str">
        <f>[1]!w_info_lasttradingdate(AB14)</f>
        <v>2020-04-22</v>
      </c>
      <c r="AF14" s="15">
        <f>RTD("wdf.rtq",,$AB14,F$5)</f>
        <v>0.22700000000000001</v>
      </c>
      <c r="AG14" s="53">
        <f>RTD("wdf.rtq",,$AB14,G$5)</f>
        <v>21212</v>
      </c>
      <c r="AH14" s="15">
        <f>RTD("wdf.rtq",,$AB14,H$5)</f>
        <v>0.22590000000000002</v>
      </c>
      <c r="AI14" s="53">
        <f>RTD("wdf.rtq",,$AB14,I$5)</f>
        <v>30</v>
      </c>
      <c r="AJ14" s="15">
        <f>RTD("wdf.rtq",,$AB14,J$5)</f>
        <v>0.22840000000000002</v>
      </c>
      <c r="AK14" s="54">
        <f>RTD("wdf.rtq",,$AB14,K$5)</f>
        <v>1</v>
      </c>
      <c r="AL14" s="15">
        <f>[1]!s_dq_presettle(AB14,"")</f>
        <v>0.2898</v>
      </c>
      <c r="AM14" s="15">
        <f t="shared" si="7"/>
        <v>0</v>
      </c>
      <c r="AN14" s="3">
        <f t="shared" si="8"/>
        <v>22700</v>
      </c>
      <c r="AO14" s="15">
        <f t="shared" si="9"/>
        <v>0.45035999999999998</v>
      </c>
      <c r="AP14" s="14">
        <f t="shared" si="10"/>
        <v>0.27300000000000002</v>
      </c>
      <c r="AQ14" s="8">
        <f t="shared" si="11"/>
        <v>81283.209999999992</v>
      </c>
      <c r="AR14" s="55">
        <f ca="1">IF(NOW()-TODAY()&gt;15/24, AG14, [1]!s_dq_volume(AB14,AR$2,1))/AI$2</f>
        <v>3478.8</v>
      </c>
      <c r="AS14" s="110"/>
      <c r="AT14" s="110"/>
      <c r="AU14" s="110"/>
      <c r="AV14" s="110"/>
      <c r="AY14" s="10"/>
      <c r="AZ14" s="10"/>
      <c r="BA14" s="6">
        <f t="shared" ca="1" si="32"/>
        <v>-252.43141655739754</v>
      </c>
      <c r="BB14" s="6">
        <f t="shared" ca="1" si="33"/>
        <v>-422.43141655739549</v>
      </c>
      <c r="BC14" s="6">
        <f t="shared" ca="1" si="34"/>
        <v>-162.45141655739857</v>
      </c>
      <c r="BD14" s="12">
        <f t="shared" ca="1" si="35"/>
        <v>-142.43141655739856</v>
      </c>
      <c r="BE14" s="2">
        <f t="shared" ca="1" si="12"/>
        <v>-2.2589505058551126E-3</v>
      </c>
      <c r="BF14" s="2">
        <f t="shared" ca="1" si="13"/>
        <v>-3.7755112184618368E-3</v>
      </c>
      <c r="BG14" s="2">
        <f t="shared" ca="1" si="14"/>
        <v>-1.4549120164958317E-3</v>
      </c>
      <c r="BH14" s="13">
        <f t="shared" ca="1" si="15"/>
        <v>-1.2758417785378061E-3</v>
      </c>
      <c r="BI14" s="2">
        <f t="shared" ca="1" si="16"/>
        <v>-3.0537664245819114E-2</v>
      </c>
      <c r="BJ14" s="2">
        <f t="shared" ca="1" si="17"/>
        <v>-5.1039318323650752E-2</v>
      </c>
      <c r="BK14" s="2">
        <f t="shared" ca="1" si="18"/>
        <v>-1.9668255037814022E-2</v>
      </c>
      <c r="BL14" s="40">
        <f t="shared" ca="1" si="19"/>
        <v>-1.7247490709862933E-2</v>
      </c>
      <c r="BN14" s="6">
        <f t="shared" ca="1" si="36"/>
        <v>-119.01465637293052</v>
      </c>
      <c r="BO14" s="6">
        <f t="shared" ca="1" si="37"/>
        <v>-229.01465637292949</v>
      </c>
      <c r="BP14" s="6">
        <f t="shared" ca="1" si="38"/>
        <v>10.985343627067408</v>
      </c>
      <c r="BQ14" s="12">
        <f t="shared" ca="1" si="39"/>
        <v>50.985343627067408</v>
      </c>
      <c r="BR14" s="2">
        <f t="shared" ca="1" si="20"/>
        <v>-8.9747693458191633E-4</v>
      </c>
      <c r="BS14" s="2">
        <f t="shared" ca="1" si="21"/>
        <v>-2.8157122995735111E-3</v>
      </c>
      <c r="BT14" s="2">
        <f t="shared" ca="1" si="22"/>
        <v>1.3506371801118118E-4</v>
      </c>
      <c r="BU14" s="13">
        <f t="shared" ca="1" si="23"/>
        <v>6.2685993278376799E-4</v>
      </c>
      <c r="BV14" s="2">
        <f t="shared" ca="1" si="24"/>
        <v>-1.2132558560088869E-2</v>
      </c>
      <c r="BW14" s="2">
        <f t="shared" ca="1" si="25"/>
        <v>-3.806425886460487E-2</v>
      </c>
      <c r="BX14" s="2">
        <f t="shared" ca="1" si="26"/>
        <v>1.8258613731141158E-3</v>
      </c>
      <c r="BY14" s="13">
        <f t="shared" ca="1" si="27"/>
        <v>8.4742176098546416E-3</v>
      </c>
      <c r="CB14" s="17"/>
      <c r="CC14" s="94"/>
      <c r="CD14" s="94"/>
      <c r="CE14" s="94"/>
      <c r="CF14" s="39" t="str">
        <f t="shared" si="28"/>
        <v>C2020-04-3900.CFE</v>
      </c>
      <c r="CG14" s="39" t="str">
        <f t="shared" si="29"/>
        <v>P2020-04-3900.CFE</v>
      </c>
      <c r="CH14" s="95" t="s">
        <v>286</v>
      </c>
      <c r="CI14" s="100" t="str">
        <f>IF([1]!w_info_callput(CH14)="认购","C","P")</f>
        <v>C</v>
      </c>
      <c r="CJ14" s="101">
        <f>[1]!w_info_strikeprice(CH14,"")</f>
        <v>3.9</v>
      </c>
      <c r="CK14" s="102" t="str">
        <f>[1]!w_info_lasttradingdate(CH14)</f>
        <v>2020-04-22</v>
      </c>
      <c r="CL14" s="39" t="str">
        <f t="shared" si="30"/>
        <v>10002362.SH</v>
      </c>
      <c r="CM14" s="17"/>
      <c r="CN14" s="17"/>
    </row>
    <row r="15" spans="1:92" ht="16.2" customHeight="1">
      <c r="A15" s="35">
        <f t="shared" si="2"/>
        <v>1</v>
      </c>
      <c r="B15" s="17" t="s">
        <v>287</v>
      </c>
      <c r="C15" s="29" t="str">
        <f>IF([1]!w_info_callput(B15)="认购","C","P")</f>
        <v>C</v>
      </c>
      <c r="D15" s="96">
        <f>[1]!w_info_strikeprice(B15,"")</f>
        <v>4</v>
      </c>
      <c r="E15" s="18" t="str">
        <f>[1]!w_info_lasttradingdate(B15)</f>
        <v>2020-04-22</v>
      </c>
      <c r="F15" s="15">
        <f>IF(G15&gt;0,RTD("wdf.rtq",,$B15,F$5),0)</f>
        <v>3.7999999999999999E-2</v>
      </c>
      <c r="G15" s="53">
        <f>RTD("wdf.rtq",,$B15,G$5)</f>
        <v>28413</v>
      </c>
      <c r="H15" s="15">
        <f>RTD("wdf.rtq",,$B15,H$5)</f>
        <v>3.7900000000000003E-2</v>
      </c>
      <c r="I15" s="53">
        <f>RTD("wdf.rtq",,$B15,I$5)</f>
        <v>12</v>
      </c>
      <c r="J15" s="15">
        <f>RTD("wdf.rtq",,$B15,J$5)</f>
        <v>3.8300000000000001E-2</v>
      </c>
      <c r="K15" s="54">
        <f>RTD("wdf.rtq",,$B15,K$5)</f>
        <v>26</v>
      </c>
      <c r="L15" s="15">
        <f>[1]!s_dq_presettle(B15,"")</f>
        <v>2.81E-2</v>
      </c>
      <c r="M15" s="15">
        <f t="shared" si="3"/>
        <v>0.24699999999999989</v>
      </c>
      <c r="N15" s="3">
        <f t="shared" si="31"/>
        <v>30050</v>
      </c>
      <c r="O15" s="15">
        <f t="shared" si="4"/>
        <v>0.2033600000000001</v>
      </c>
      <c r="P15" s="14">
        <f t="shared" si="5"/>
        <v>2.66E-3</v>
      </c>
      <c r="Q15" s="8">
        <f t="shared" si="6"/>
        <v>28963.21000000001</v>
      </c>
      <c r="R15" s="55">
        <f ca="1">IF(NOW()-TODAY()&gt;15/24, G15, [1]!s_dq_volume(B15,R$2,1))/$AI$2</f>
        <v>4931.7</v>
      </c>
      <c r="S15" s="110"/>
      <c r="T15" s="110"/>
      <c r="U15" s="110"/>
      <c r="V15" s="110"/>
      <c r="W15" s="110"/>
      <c r="X15" s="110"/>
      <c r="Y15" s="110"/>
      <c r="Z15" s="110"/>
      <c r="AA15" s="110"/>
      <c r="AB15" s="61" t="s">
        <v>296</v>
      </c>
      <c r="AC15" s="29" t="str">
        <f>IF([1]!w_info_callput(AB15)="认购","C","P")</f>
        <v>P</v>
      </c>
      <c r="AD15" s="31">
        <f>[1]!w_info_strikeprice(AB15,"")</f>
        <v>4</v>
      </c>
      <c r="AE15" s="18" t="str">
        <f>[1]!w_info_lasttradingdate(AB15)</f>
        <v>2020-04-22</v>
      </c>
      <c r="AF15" s="15">
        <f>RTD("wdf.rtq",,$AB15,F$5)</f>
        <v>0.30049999999999999</v>
      </c>
      <c r="AG15" s="53">
        <f>RTD("wdf.rtq",,$AB15,G$5)</f>
        <v>9396</v>
      </c>
      <c r="AH15" s="15">
        <f>RTD("wdf.rtq",,$AB15,H$5)</f>
        <v>0.30049999999999999</v>
      </c>
      <c r="AI15" s="53">
        <f>RTD("wdf.rtq",,$AB15,I$5)</f>
        <v>4</v>
      </c>
      <c r="AJ15" s="15">
        <f>RTD("wdf.rtq",,$AB15,J$5)</f>
        <v>0.30370000000000003</v>
      </c>
      <c r="AK15" s="54">
        <f>RTD("wdf.rtq",,$AB15,K$5)</f>
        <v>1</v>
      </c>
      <c r="AL15" s="15">
        <f>[1]!s_dq_presettle(AB15,"")</f>
        <v>0.3725</v>
      </c>
      <c r="AM15" s="15">
        <f t="shared" si="7"/>
        <v>0</v>
      </c>
      <c r="AN15" s="3">
        <f t="shared" si="8"/>
        <v>30050</v>
      </c>
      <c r="AO15" s="15">
        <f t="shared" si="9"/>
        <v>0.45035999999999998</v>
      </c>
      <c r="AP15" s="14">
        <f t="shared" si="10"/>
        <v>0.28000000000000003</v>
      </c>
      <c r="AQ15" s="8">
        <f t="shared" si="11"/>
        <v>90103.209999999992</v>
      </c>
      <c r="AR15" s="55">
        <f ca="1">IF(NOW()-TODAY()&gt;15/24, AG15, [1]!s_dq_volume(AB15,AR$2,1))/AI$2</f>
        <v>1196.8</v>
      </c>
      <c r="AS15" s="110"/>
      <c r="AT15" s="110"/>
      <c r="AU15" s="110"/>
      <c r="AV15" s="110"/>
      <c r="AY15" s="10"/>
      <c r="AZ15" s="10"/>
      <c r="BA15" s="6">
        <f t="shared" ca="1" si="32"/>
        <v>-142.43141655738745</v>
      </c>
      <c r="BB15" s="6">
        <f t="shared" ca="1" si="33"/>
        <v>-472.43141655738998</v>
      </c>
      <c r="BC15" s="6">
        <f t="shared" ca="1" si="34"/>
        <v>-132.45141655738519</v>
      </c>
      <c r="BD15" s="12">
        <f t="shared" ca="1" si="35"/>
        <v>-112.43141655738521</v>
      </c>
      <c r="BE15" s="2">
        <f t="shared" ca="1" si="12"/>
        <v>-1.3688851319235142E-3</v>
      </c>
      <c r="BF15" s="2">
        <f t="shared" ca="1" si="13"/>
        <v>-4.5265401219132537E-3</v>
      </c>
      <c r="BG15" s="2">
        <f t="shared" ca="1" si="14"/>
        <v>-1.2727243394793251E-3</v>
      </c>
      <c r="BH15" s="13">
        <f t="shared" ca="1" si="15"/>
        <v>-1.0805600211417771E-3</v>
      </c>
      <c r="BI15" s="2">
        <f t="shared" ca="1" si="16"/>
        <v>-1.8505299005632692E-2</v>
      </c>
      <c r="BJ15" s="2">
        <f t="shared" ca="1" si="17"/>
        <v>-6.1192116462901396E-2</v>
      </c>
      <c r="BK15" s="2">
        <f t="shared" ca="1" si="18"/>
        <v>-1.7205347552220505E-2</v>
      </c>
      <c r="BL15" s="40">
        <f t="shared" ca="1" si="19"/>
        <v>-1.4607570656175874E-2</v>
      </c>
      <c r="BN15" s="6">
        <f t="shared" ca="1" si="36"/>
        <v>-229.01465637294061</v>
      </c>
      <c r="BO15" s="6">
        <f t="shared" ca="1" si="37"/>
        <v>-259.01465637294285</v>
      </c>
      <c r="BP15" s="6">
        <f t="shared" ca="1" si="38"/>
        <v>60.985343627061894</v>
      </c>
      <c r="BQ15" s="12">
        <f t="shared" ca="1" si="39"/>
        <v>100.98534362706189</v>
      </c>
      <c r="BR15" s="2">
        <f t="shared" ca="1" si="20"/>
        <v>-1.6488891589724552E-3</v>
      </c>
      <c r="BS15" s="2">
        <f t="shared" ca="1" si="21"/>
        <v>-2.8730874371546956E-3</v>
      </c>
      <c r="BT15" s="2">
        <f t="shared" ca="1" si="22"/>
        <v>6.7647238944067568E-4</v>
      </c>
      <c r="BU15" s="13">
        <f t="shared" ca="1" si="23"/>
        <v>1.1201676959449445E-3</v>
      </c>
      <c r="BV15" s="2">
        <f t="shared" ca="1" si="24"/>
        <v>-2.2290538630553563E-2</v>
      </c>
      <c r="BW15" s="2">
        <f t="shared" ca="1" si="25"/>
        <v>-3.883988572449866E-2</v>
      </c>
      <c r="BX15" s="2">
        <f t="shared" ca="1" si="26"/>
        <v>9.1449045239202463E-3</v>
      </c>
      <c r="BY15" s="13">
        <f t="shared" ca="1" si="27"/>
        <v>1.5143007741477954E-2</v>
      </c>
      <c r="CB15" s="17"/>
      <c r="CC15" s="94"/>
      <c r="CD15" s="94"/>
      <c r="CE15" s="94"/>
      <c r="CF15" s="39" t="str">
        <f t="shared" si="28"/>
        <v>C2020-04-4000.CFE</v>
      </c>
      <c r="CG15" s="39" t="str">
        <f t="shared" si="29"/>
        <v>P2020-04-4000.CFE</v>
      </c>
      <c r="CH15" s="17" t="s">
        <v>287</v>
      </c>
      <c r="CI15" s="100" t="str">
        <f>IF([1]!w_info_callput(CH15)="认购","C","P")</f>
        <v>C</v>
      </c>
      <c r="CJ15" s="101">
        <f>[1]!w_info_strikeprice(CH15,"")</f>
        <v>4</v>
      </c>
      <c r="CK15" s="102" t="str">
        <f>[1]!w_info_lasttradingdate(CH15)</f>
        <v>2020-04-22</v>
      </c>
      <c r="CL15" s="39" t="str">
        <f t="shared" si="30"/>
        <v>10002363.SH</v>
      </c>
      <c r="CM15" s="17"/>
      <c r="CN15" s="17"/>
    </row>
    <row r="16" spans="1:92" ht="16.2" customHeight="1">
      <c r="A16" s="35">
        <f t="shared" si="2"/>
        <v>1</v>
      </c>
      <c r="B16" s="17" t="s">
        <v>288</v>
      </c>
      <c r="C16" s="29" t="str">
        <f>IF([1]!w_info_callput(B16)="认购","C","P")</f>
        <v>C</v>
      </c>
      <c r="D16" s="96">
        <f>[1]!w_info_strikeprice(B16,"")</f>
        <v>4.0999999999999996</v>
      </c>
      <c r="E16" s="18" t="str">
        <f>[1]!w_info_lasttradingdate(B16)</f>
        <v>2020-04-22</v>
      </c>
      <c r="F16" s="15">
        <f>IF(G16&gt;0,RTD("wdf.rtq",,$B16,F$5),0)</f>
        <v>2.2700000000000001E-2</v>
      </c>
      <c r="G16" s="53">
        <f>RTD("wdf.rtq",,$B16,G$5)</f>
        <v>20216</v>
      </c>
      <c r="H16" s="15">
        <f>RTD("wdf.rtq",,$B16,H$5)</f>
        <v>2.2600000000000002E-2</v>
      </c>
      <c r="I16" s="53">
        <f>RTD("wdf.rtq",,$B16,I$5)</f>
        <v>20</v>
      </c>
      <c r="J16" s="15">
        <f>RTD("wdf.rtq",,$B16,J$5)</f>
        <v>2.2800000000000001E-2</v>
      </c>
      <c r="K16" s="54">
        <f>RTD("wdf.rtq",,$B16,K$5)</f>
        <v>6</v>
      </c>
      <c r="L16" s="15">
        <f>[1]!s_dq_presettle(B16,"")</f>
        <v>1.6799999999999999E-2</v>
      </c>
      <c r="M16" s="15">
        <f t="shared" si="3"/>
        <v>0.34699999999999953</v>
      </c>
      <c r="N16" s="3">
        <f t="shared" si="31"/>
        <v>38540</v>
      </c>
      <c r="O16" s="15">
        <f t="shared" si="4"/>
        <v>0.10336000000000045</v>
      </c>
      <c r="P16" s="14">
        <f t="shared" si="5"/>
        <v>1.5890000000000004E-3</v>
      </c>
      <c r="Q16" s="8">
        <f t="shared" si="6"/>
        <v>15127.210000000054</v>
      </c>
      <c r="R16" s="55">
        <f ca="1">IF(NOW()-TODAY()&gt;15/24, G16, [1]!s_dq_volume(B16,R$2,1))/$AI$2</f>
        <v>3057.4</v>
      </c>
      <c r="S16" s="110"/>
      <c r="T16" s="110"/>
      <c r="U16" s="110"/>
      <c r="V16" s="110"/>
      <c r="W16" s="110"/>
      <c r="X16" s="110"/>
      <c r="Y16" s="110"/>
      <c r="Z16" s="110"/>
      <c r="AA16" s="110"/>
      <c r="AB16" s="61" t="s">
        <v>297</v>
      </c>
      <c r="AC16" s="29" t="str">
        <f>IF([1]!w_info_callput(AB16)="认购","C","P")</f>
        <v>P</v>
      </c>
      <c r="AD16" s="31">
        <f>[1]!w_info_strikeprice(AB16,"")</f>
        <v>4.0999999999999996</v>
      </c>
      <c r="AE16" s="18" t="str">
        <f>[1]!w_info_lasttradingdate(AB16)</f>
        <v>2020-04-22</v>
      </c>
      <c r="AF16" s="15">
        <f>RTD("wdf.rtq",,$AB16,F$5)</f>
        <v>0.38540000000000002</v>
      </c>
      <c r="AG16" s="53">
        <f>RTD("wdf.rtq",,$AB16,G$5)</f>
        <v>3124</v>
      </c>
      <c r="AH16" s="15">
        <f>RTD("wdf.rtq",,$AB16,H$5)</f>
        <v>0.38300000000000001</v>
      </c>
      <c r="AI16" s="53">
        <f>RTD("wdf.rtq",,$AB16,I$5)</f>
        <v>2</v>
      </c>
      <c r="AJ16" s="15">
        <f>RTD("wdf.rtq",,$AB16,J$5)</f>
        <v>0.3871</v>
      </c>
      <c r="AK16" s="54">
        <f>RTD("wdf.rtq",,$AB16,K$5)</f>
        <v>1</v>
      </c>
      <c r="AL16" s="15">
        <f>[1]!s_dq_presettle(AB16,"")</f>
        <v>0.4607</v>
      </c>
      <c r="AM16" s="15">
        <f t="shared" si="7"/>
        <v>0</v>
      </c>
      <c r="AN16" s="3">
        <f t="shared" si="8"/>
        <v>38540</v>
      </c>
      <c r="AO16" s="15">
        <f t="shared" si="9"/>
        <v>0.45035999999999998</v>
      </c>
      <c r="AP16" s="14">
        <f t="shared" si="10"/>
        <v>0.28699999999999998</v>
      </c>
      <c r="AQ16" s="8">
        <f t="shared" si="11"/>
        <v>100291.20999999999</v>
      </c>
      <c r="AR16" s="55">
        <f ca="1">IF(NOW()-TODAY()&gt;15/24, AG16, [1]!s_dq_volume(AB16,AR$2,1))/AI$2</f>
        <v>541.6</v>
      </c>
      <c r="AS16" s="110"/>
      <c r="AT16" s="110"/>
      <c r="AU16" s="110"/>
      <c r="AV16" s="110"/>
      <c r="AY16" s="10"/>
      <c r="AZ16" s="10"/>
      <c r="BA16" s="6">
        <f t="shared" ca="1" si="32"/>
        <v>-162.43141655742411</v>
      </c>
      <c r="BB16" s="6">
        <f t="shared" ca="1" si="33"/>
        <v>-342.4314165574209</v>
      </c>
      <c r="BC16" s="6">
        <f t="shared" ca="1" si="34"/>
        <v>67.548583442576117</v>
      </c>
      <c r="BD16" s="12">
        <f t="shared" ca="1" si="35"/>
        <v>87.568583442576113</v>
      </c>
      <c r="BE16" s="2">
        <f t="shared" ca="1" si="12"/>
        <v>-1.6456548531443307E-3</v>
      </c>
      <c r="BF16" s="2">
        <f t="shared" ca="1" si="13"/>
        <v>-3.4633387199365807E-3</v>
      </c>
      <c r="BG16" s="2">
        <f t="shared" ca="1" si="14"/>
        <v>6.8588933527426741E-4</v>
      </c>
      <c r="BH16" s="13">
        <f t="shared" ca="1" si="15"/>
        <v>8.8935332742631551E-4</v>
      </c>
      <c r="BI16" s="2">
        <f t="shared" ca="1" si="16"/>
        <v>-2.2246815607321509E-2</v>
      </c>
      <c r="BJ16" s="2">
        <f t="shared" ca="1" si="17"/>
        <v>-4.6819208621364884E-2</v>
      </c>
      <c r="BK16" s="2">
        <f t="shared" ca="1" si="18"/>
        <v>9.2722076805595403E-3</v>
      </c>
      <c r="BL16" s="40">
        <f t="shared" ca="1" si="19"/>
        <v>1.2022739426318709E-2</v>
      </c>
      <c r="BN16" s="6">
        <f t="shared" ca="1" si="36"/>
        <v>-209.01465637290397</v>
      </c>
      <c r="BO16" s="6">
        <f t="shared" ca="1" si="37"/>
        <v>-459.0146563729042</v>
      </c>
      <c r="BP16" s="6">
        <f t="shared" ca="1" si="38"/>
        <v>-69.014656372907126</v>
      </c>
      <c r="BQ16" s="12">
        <f t="shared" ca="1" si="39"/>
        <v>-29.014656372907126</v>
      </c>
      <c r="BR16" s="2">
        <f t="shared" ca="1" si="20"/>
        <v>-1.4165849583307332E-3</v>
      </c>
      <c r="BS16" s="2">
        <f t="shared" ca="1" si="21"/>
        <v>-4.574662381110749E-3</v>
      </c>
      <c r="BT16" s="2">
        <f t="shared" ca="1" si="22"/>
        <v>-6.8781845605804157E-4</v>
      </c>
      <c r="BU16" s="13">
        <f t="shared" ca="1" si="23"/>
        <v>-2.8916785471675159E-4</v>
      </c>
      <c r="BV16" s="2">
        <f t="shared" ca="1" si="24"/>
        <v>-1.9150129992248802E-2</v>
      </c>
      <c r="BW16" s="2">
        <f t="shared" ca="1" si="25"/>
        <v>-6.1842658115015679E-2</v>
      </c>
      <c r="BX16" s="2">
        <f t="shared" ca="1" si="26"/>
        <v>-9.2982865355994513E-3</v>
      </c>
      <c r="BY16" s="13">
        <f t="shared" ca="1" si="27"/>
        <v>-3.9091209989486793E-3</v>
      </c>
      <c r="CB16" s="17"/>
      <c r="CC16" s="94"/>
      <c r="CD16" s="94"/>
      <c r="CE16" s="94"/>
      <c r="CF16" s="39" t="str">
        <f t="shared" si="28"/>
        <v>C2020-04-4100.CFE</v>
      </c>
      <c r="CG16" s="39" t="str">
        <f t="shared" si="29"/>
        <v>P2020-04-4100.CFE</v>
      </c>
      <c r="CH16" s="17" t="s">
        <v>288</v>
      </c>
      <c r="CI16" s="100" t="str">
        <f>IF([1]!w_info_callput(CH16)="认购","C","P")</f>
        <v>C</v>
      </c>
      <c r="CJ16" s="101">
        <f>[1]!w_info_strikeprice(CH16,"")</f>
        <v>4.0999999999999996</v>
      </c>
      <c r="CK16" s="102" t="str">
        <f>[1]!w_info_lasttradingdate(CH16)</f>
        <v>2020-04-22</v>
      </c>
      <c r="CL16" s="39" t="str">
        <f t="shared" si="30"/>
        <v>10002364.SH</v>
      </c>
      <c r="CM16" s="17"/>
      <c r="CN16" s="17"/>
    </row>
    <row r="17" spans="1:92" ht="16.2" customHeight="1">
      <c r="A17" s="35">
        <f t="shared" si="2"/>
        <v>1</v>
      </c>
      <c r="B17" s="17" t="s">
        <v>289</v>
      </c>
      <c r="C17" s="29" t="str">
        <f>IF([1]!w_info_callput(B17)="认购","C","P")</f>
        <v>C</v>
      </c>
      <c r="D17" s="96">
        <f>[1]!w_info_strikeprice(B17,"")</f>
        <v>4.2</v>
      </c>
      <c r="E17" s="18" t="str">
        <f>[1]!w_info_lasttradingdate(B17)</f>
        <v>2020-04-22</v>
      </c>
      <c r="F17" s="15">
        <f>IF(G17&gt;0,RTD("wdf.rtq",,$B17,F$5),0)</f>
        <v>1.34E-2</v>
      </c>
      <c r="G17" s="53">
        <f>RTD("wdf.rtq",,$B17,G$5)</f>
        <v>13100</v>
      </c>
      <c r="H17" s="15">
        <f>RTD("wdf.rtq",,$B17,H$5)</f>
        <v>1.3300000000000001E-2</v>
      </c>
      <c r="I17" s="53">
        <f>RTD("wdf.rtq",,$B17,I$5)</f>
        <v>149</v>
      </c>
      <c r="J17" s="15">
        <f>RTD("wdf.rtq",,$B17,J$5)</f>
        <v>1.34E-2</v>
      </c>
      <c r="K17" s="54">
        <f>RTD("wdf.rtq",,$B17,K$5)</f>
        <v>4</v>
      </c>
      <c r="L17" s="15">
        <f>[1]!s_dq_presettle(B17,"")</f>
        <v>0.01</v>
      </c>
      <c r="M17" s="15">
        <f t="shared" si="3"/>
        <v>0.44700000000000006</v>
      </c>
      <c r="N17" s="3">
        <f t="shared" si="31"/>
        <v>47500</v>
      </c>
      <c r="O17" s="15">
        <f t="shared" si="4"/>
        <v>3.3599999999999186E-3</v>
      </c>
      <c r="P17" s="14">
        <f t="shared" si="5"/>
        <v>9.3800000000000014E-4</v>
      </c>
      <c r="Q17" s="8">
        <f t="shared" si="6"/>
        <v>2011.2099999999903</v>
      </c>
      <c r="R17" s="55">
        <f ca="1">IF(NOW()-TODAY()&gt;15/24, G17, [1]!s_dq_volume(B17,R$2,1))/$AI$2</f>
        <v>2227.1</v>
      </c>
      <c r="S17" s="110"/>
      <c r="T17" s="110"/>
      <c r="U17" s="110"/>
      <c r="V17" s="110"/>
      <c r="W17" s="110"/>
      <c r="X17" s="110"/>
      <c r="Y17" s="110"/>
      <c r="Z17" s="110"/>
      <c r="AA17" s="110"/>
      <c r="AB17" s="61" t="s">
        <v>298</v>
      </c>
      <c r="AC17" s="29" t="str">
        <f>IF([1]!w_info_callput(AB17)="认购","C","P")</f>
        <v>P</v>
      </c>
      <c r="AD17" s="31">
        <f>[1]!w_info_strikeprice(AB17,"")</f>
        <v>4.2</v>
      </c>
      <c r="AE17" s="18" t="str">
        <f>[1]!w_info_lasttradingdate(AB17)</f>
        <v>2020-04-22</v>
      </c>
      <c r="AF17" s="15">
        <f>RTD("wdf.rtq",,$AB17,F$5)</f>
        <v>0.47500000000000003</v>
      </c>
      <c r="AG17" s="53">
        <f>RTD("wdf.rtq",,$AB17,G$5)</f>
        <v>809</v>
      </c>
      <c r="AH17" s="15">
        <f>RTD("wdf.rtq",,$AB17,H$5)</f>
        <v>0.47300000000000003</v>
      </c>
      <c r="AI17" s="53">
        <f>RTD("wdf.rtq",,$AB17,I$5)</f>
        <v>2</v>
      </c>
      <c r="AJ17" s="15">
        <f>RTD("wdf.rtq",,$AB17,J$5)</f>
        <v>0.49300000000000005</v>
      </c>
      <c r="AK17" s="54">
        <f>RTD("wdf.rtq",,$AB17,K$5)</f>
        <v>2</v>
      </c>
      <c r="AL17" s="15">
        <f>[1]!s_dq_presettle(AB17,"")</f>
        <v>0.54910000000000003</v>
      </c>
      <c r="AM17" s="15">
        <f t="shared" si="7"/>
        <v>0</v>
      </c>
      <c r="AN17" s="3">
        <f t="shared" si="8"/>
        <v>47500</v>
      </c>
      <c r="AO17" s="15">
        <f t="shared" si="9"/>
        <v>0.45035999999999998</v>
      </c>
      <c r="AP17" s="14">
        <f t="shared" si="10"/>
        <v>0.29400000000000004</v>
      </c>
      <c r="AQ17" s="8">
        <f t="shared" si="11"/>
        <v>111043.20999999999</v>
      </c>
      <c r="AR17" s="55">
        <f ca="1">IF(NOW()-TODAY()&gt;15/24, AG17, [1]!s_dq_volume(AB17,AR$2,1))/AI$2</f>
        <v>142.30000000000001</v>
      </c>
      <c r="AS17" s="110"/>
      <c r="AT17" s="110"/>
      <c r="AU17" s="110"/>
      <c r="AV17" s="110"/>
      <c r="AY17" s="10"/>
      <c r="AZ17" s="10"/>
      <c r="BA17" s="6">
        <f t="shared" ca="1" si="32"/>
        <v>-52.431416557369609</v>
      </c>
      <c r="BB17" s="6">
        <f t="shared" ca="1" si="33"/>
        <v>-1862.4314165573755</v>
      </c>
      <c r="BC17" s="6">
        <f t="shared" ca="1" si="34"/>
        <v>127.54858344263056</v>
      </c>
      <c r="BD17" s="12">
        <f t="shared" ca="1" si="35"/>
        <v>147.56858344263057</v>
      </c>
      <c r="BE17" s="2">
        <f t="shared" ca="1" si="12"/>
        <v>-5.5455276318962363E-4</v>
      </c>
      <c r="BF17" s="2">
        <f t="shared" ca="1" si="13"/>
        <v>-1.93304135797744E-2</v>
      </c>
      <c r="BG17" s="2">
        <f t="shared" ca="1" si="14"/>
        <v>1.3516197357390407E-3</v>
      </c>
      <c r="BH17" s="13">
        <f t="shared" ca="1" si="15"/>
        <v>1.56410119008957E-3</v>
      </c>
      <c r="BI17" s="2">
        <f t="shared" ca="1" si="16"/>
        <v>-7.4967317986745418E-3</v>
      </c>
      <c r="BJ17" s="2">
        <f t="shared" ca="1" si="17"/>
        <v>-0.2613185539488021</v>
      </c>
      <c r="BK17" s="2">
        <f t="shared" ca="1" si="18"/>
        <v>1.8271896427583329E-2</v>
      </c>
      <c r="BL17" s="40">
        <f t="shared" ca="1" si="19"/>
        <v>2.1144330903062707E-2</v>
      </c>
      <c r="BN17" s="6">
        <f t="shared" ca="1" si="36"/>
        <v>-319.01465637295848</v>
      </c>
      <c r="BO17" s="6">
        <f t="shared" ca="1" si="37"/>
        <v>-519.0146563729586</v>
      </c>
      <c r="BP17" s="6">
        <f t="shared" ca="1" si="38"/>
        <v>1450.9853436270475</v>
      </c>
      <c r="BQ17" s="12">
        <f t="shared" ca="1" si="39"/>
        <v>1490.9853436270475</v>
      </c>
      <c r="BR17" s="2">
        <f t="shared" ca="1" si="20"/>
        <v>-2.0271596498767593E-3</v>
      </c>
      <c r="BS17" s="2">
        <f t="shared" ca="1" si="21"/>
        <v>-4.6720390607470179E-3</v>
      </c>
      <c r="BT17" s="2">
        <f t="shared" ca="1" si="22"/>
        <v>1.3061403003794535E-2</v>
      </c>
      <c r="BU17" s="13">
        <f t="shared" ca="1" si="23"/>
        <v>1.3421475301225009E-2</v>
      </c>
      <c r="BV17" s="2">
        <f t="shared" ca="1" si="24"/>
        <v>-2.7404195266852487E-2</v>
      </c>
      <c r="BW17" s="2">
        <f t="shared" ca="1" si="25"/>
        <v>-6.3159046561950427E-2</v>
      </c>
      <c r="BX17" s="2">
        <f t="shared" ca="1" si="26"/>
        <v>0.17657081838462982</v>
      </c>
      <c r="BY17" s="13">
        <f t="shared" ca="1" si="27"/>
        <v>0.1814384624054492</v>
      </c>
      <c r="CB17" s="17"/>
      <c r="CC17" s="94"/>
      <c r="CD17" s="94"/>
      <c r="CE17" s="94"/>
      <c r="CF17" s="39" t="str">
        <f t="shared" si="28"/>
        <v>C2020-04-4200.CFE</v>
      </c>
      <c r="CG17" s="39" t="str">
        <f t="shared" si="29"/>
        <v>P2020-04-4200.CFE</v>
      </c>
      <c r="CH17" s="95" t="s">
        <v>289</v>
      </c>
      <c r="CI17" s="100" t="str">
        <f>IF([1]!w_info_callput(CH17)="认购","C","P")</f>
        <v>C</v>
      </c>
      <c r="CJ17" s="101">
        <f>[1]!w_info_strikeprice(CH17,"")</f>
        <v>4.2</v>
      </c>
      <c r="CK17" s="102" t="str">
        <f>[1]!w_info_lasttradingdate(CH17)</f>
        <v>2020-04-22</v>
      </c>
      <c r="CL17" s="39" t="str">
        <f t="shared" si="30"/>
        <v>10002365.SH</v>
      </c>
      <c r="CM17" s="17"/>
      <c r="CN17" s="17"/>
    </row>
    <row r="18" spans="1:92" ht="16.2" customHeight="1">
      <c r="A18" s="35">
        <f t="shared" si="2"/>
        <v>1</v>
      </c>
      <c r="B18" s="17" t="s">
        <v>290</v>
      </c>
      <c r="C18" s="29" t="str">
        <f>IF([1]!w_info_callput(B18)="认购","C","P")</f>
        <v>C</v>
      </c>
      <c r="D18" s="96">
        <f>[1]!w_info_strikeprice(B18,"")</f>
        <v>4.3</v>
      </c>
      <c r="E18" s="18" t="str">
        <f>[1]!w_info_lasttradingdate(B18)</f>
        <v>2020-04-22</v>
      </c>
      <c r="F18" s="15">
        <f>IF(G18&gt;0,RTD("wdf.rtq",,$B18,F$5),0)</f>
        <v>8.0000000000000002E-3</v>
      </c>
      <c r="G18" s="53">
        <f>RTD("wdf.rtq",,$B18,G$5)</f>
        <v>4997</v>
      </c>
      <c r="H18" s="15">
        <f>RTD("wdf.rtq",,$B18,H$5)</f>
        <v>8.0000000000000002E-3</v>
      </c>
      <c r="I18" s="53">
        <f>RTD("wdf.rtq",,$B18,I$5)</f>
        <v>175</v>
      </c>
      <c r="J18" s="15">
        <f>RTD("wdf.rtq",,$B18,J$5)</f>
        <v>8.0999999999999996E-3</v>
      </c>
      <c r="K18" s="54">
        <f>RTD("wdf.rtq",,$B18,K$5)</f>
        <v>4</v>
      </c>
      <c r="L18" s="15">
        <f>[1]!s_dq_presettle(B18,"")</f>
        <v>6.1999999999999998E-3</v>
      </c>
      <c r="M18" s="15">
        <f t="shared" si="3"/>
        <v>0.54699999999999971</v>
      </c>
      <c r="N18" s="3">
        <f t="shared" si="31"/>
        <v>57000.000000000007</v>
      </c>
      <c r="O18" s="15">
        <f t="shared" si="4"/>
        <v>-9.6639999999999726E-2</v>
      </c>
      <c r="P18" s="14">
        <f t="shared" si="5"/>
        <v>5.6000000000000006E-4</v>
      </c>
      <c r="Q18" s="8">
        <f t="shared" si="6"/>
        <v>1027.21</v>
      </c>
      <c r="R18" s="55">
        <f ca="1">IF(NOW()-TODAY()&gt;15/24, G18, [1]!s_dq_volume(B18,R$2,1))/$AI$2</f>
        <v>1122.9000000000001</v>
      </c>
      <c r="S18" s="110"/>
      <c r="T18" s="110"/>
      <c r="U18" s="110"/>
      <c r="V18" s="110"/>
      <c r="W18" s="110"/>
      <c r="X18" s="110"/>
      <c r="Y18" s="110"/>
      <c r="Z18" s="110"/>
      <c r="AA18" s="110"/>
      <c r="AB18" s="61" t="s">
        <v>299</v>
      </c>
      <c r="AC18" s="29" t="str">
        <f>IF([1]!w_info_callput(AB18)="认购","C","P")</f>
        <v>P</v>
      </c>
      <c r="AD18" s="31">
        <f>[1]!w_info_strikeprice(AB18,"")</f>
        <v>4.3</v>
      </c>
      <c r="AE18" s="18" t="str">
        <f>[1]!w_info_lasttradingdate(AB18)</f>
        <v>2020-04-22</v>
      </c>
      <c r="AF18" s="15">
        <f>RTD("wdf.rtq",,$AB18,F$5)</f>
        <v>0.57000000000000006</v>
      </c>
      <c r="AG18" s="53">
        <f>RTD("wdf.rtq",,$AB18,G$5)</f>
        <v>244</v>
      </c>
      <c r="AH18" s="15">
        <f>RTD("wdf.rtq",,$AB18,H$5)</f>
        <v>0.56000000000000005</v>
      </c>
      <c r="AI18" s="53">
        <f>RTD("wdf.rtq",,$AB18,I$5)</f>
        <v>2</v>
      </c>
      <c r="AJ18" s="15">
        <f>RTD("wdf.rtq",,$AB18,J$5)</f>
        <v>0</v>
      </c>
      <c r="AK18" s="54">
        <f>RTD("wdf.rtq",,$AB18,K$5)</f>
        <v>0</v>
      </c>
      <c r="AL18" s="15">
        <f>[1]!s_dq_presettle(AB18,"")</f>
        <v>0.64480000000000004</v>
      </c>
      <c r="AM18" s="15">
        <f t="shared" si="7"/>
        <v>0</v>
      </c>
      <c r="AN18" s="3">
        <f t="shared" si="8"/>
        <v>57000.000000000007</v>
      </c>
      <c r="AO18" s="15">
        <f t="shared" si="9"/>
        <v>0.45035999999999998</v>
      </c>
      <c r="AP18" s="14">
        <f t="shared" si="10"/>
        <v>0.30099999999999999</v>
      </c>
      <c r="AQ18" s="8">
        <f t="shared" si="11"/>
        <v>122443.21</v>
      </c>
      <c r="AR18" s="55">
        <f ca="1">IF(NOW()-TODAY()&gt;15/24, AG18, [1]!s_dq_volume(AB18,AR$2,1))/AI$2</f>
        <v>69.099999999999994</v>
      </c>
      <c r="AS18" s="110"/>
      <c r="AT18" s="110"/>
      <c r="AU18" s="110"/>
      <c r="AV18" s="110"/>
      <c r="AY18" s="10"/>
      <c r="AZ18" s="10"/>
      <c r="BA18" s="6">
        <f t="shared" ca="1" si="32"/>
        <v>-92.431416557409619</v>
      </c>
      <c r="BB18" s="6">
        <f t="shared" ca="1" si="33"/>
        <v>0</v>
      </c>
      <c r="BC18" s="6">
        <f t="shared" ca="1" si="34"/>
        <v>897.54858344259014</v>
      </c>
      <c r="BD18" s="12">
        <f t="shared" ca="1" si="35"/>
        <v>917.56858344259012</v>
      </c>
      <c r="BE18" s="2">
        <f t="shared" ca="1" si="12"/>
        <v>-8.9684201139678848E-4</v>
      </c>
      <c r="BF18" s="2">
        <f t="shared" ca="1" si="13"/>
        <v>0</v>
      </c>
      <c r="BG18" s="2">
        <f t="shared" ca="1" si="14"/>
        <v>8.7923232766934957E-3</v>
      </c>
      <c r="BH18" s="13">
        <f t="shared" ca="1" si="15"/>
        <v>8.9901991466130662E-3</v>
      </c>
      <c r="BI18" s="2">
        <f t="shared" ca="1" si="16"/>
        <v>-1.2123975339252881E-2</v>
      </c>
      <c r="BJ18" s="2">
        <f t="shared" ca="1" si="17"/>
        <v>0</v>
      </c>
      <c r="BK18" s="2">
        <f t="shared" ca="1" si="18"/>
        <v>0.11885918503678244</v>
      </c>
      <c r="BL18" s="40">
        <f t="shared" ca="1" si="19"/>
        <v>0.12153417364865812</v>
      </c>
      <c r="BN18" s="6">
        <f t="shared" ca="1" si="36"/>
        <v>-279.01465637291847</v>
      </c>
      <c r="BO18" s="6">
        <f t="shared" ca="1" si="37"/>
        <v>-1289.0146563729181</v>
      </c>
      <c r="BP18" s="6">
        <f t="shared" ca="1" si="38"/>
        <v>0</v>
      </c>
      <c r="BQ18" s="12">
        <f t="shared" ca="1" si="39"/>
        <v>0</v>
      </c>
      <c r="BR18" s="2">
        <f t="shared" ca="1" si="20"/>
        <v>-1.6585282809912939E-3</v>
      </c>
      <c r="BS18" s="2">
        <f t="shared" ca="1" si="21"/>
        <v>-1.0523512985681903E-2</v>
      </c>
      <c r="BT18" s="2">
        <f t="shared" ca="1" si="22"/>
        <v>0</v>
      </c>
      <c r="BU18" s="13">
        <f t="shared" ca="1" si="23"/>
        <v>0</v>
      </c>
      <c r="BV18" s="2">
        <f t="shared" ca="1" si="24"/>
        <v>-2.2420845280067492E-2</v>
      </c>
      <c r="BW18" s="2">
        <f t="shared" ca="1" si="25"/>
        <v>-0.1422623051768109</v>
      </c>
      <c r="BX18" s="2">
        <f t="shared" ca="1" si="26"/>
        <v>0</v>
      </c>
      <c r="BY18" s="13">
        <f t="shared" ca="1" si="27"/>
        <v>0</v>
      </c>
      <c r="CB18" s="17"/>
      <c r="CC18" s="94"/>
      <c r="CD18" s="94"/>
      <c r="CE18" s="94"/>
      <c r="CF18" s="39" t="str">
        <f t="shared" si="28"/>
        <v>C2020-04-4300.CFE</v>
      </c>
      <c r="CG18" s="39" t="str">
        <f t="shared" si="29"/>
        <v>P2020-04-4300.CFE</v>
      </c>
      <c r="CH18" s="95" t="s">
        <v>290</v>
      </c>
      <c r="CI18" s="100" t="str">
        <f>IF([1]!w_info_callput(CH18)="认购","C","P")</f>
        <v>C</v>
      </c>
      <c r="CJ18" s="101">
        <f>[1]!w_info_strikeprice(CH18,"")</f>
        <v>4.3</v>
      </c>
      <c r="CK18" s="102" t="str">
        <f>[1]!w_info_lasttradingdate(CH18)</f>
        <v>2020-04-22</v>
      </c>
      <c r="CL18" s="39" t="str">
        <f t="shared" si="30"/>
        <v>10002366.SH</v>
      </c>
      <c r="CM18" s="17"/>
      <c r="CN18" s="17"/>
    </row>
    <row r="19" spans="1:92" ht="16.2" customHeight="1">
      <c r="A19" s="35">
        <f t="shared" si="2"/>
        <v>1</v>
      </c>
      <c r="B19" s="17" t="s">
        <v>291</v>
      </c>
      <c r="C19" s="29" t="str">
        <f>IF([1]!w_info_callput(B19)="认购","C","P")</f>
        <v>C</v>
      </c>
      <c r="D19" s="96">
        <f>[1]!w_info_strikeprice(B19,"")</f>
        <v>4.4000000000000004</v>
      </c>
      <c r="E19" s="18" t="str">
        <f>[1]!w_info_lasttradingdate(B19)</f>
        <v>2020-04-22</v>
      </c>
      <c r="F19" s="15">
        <f>IF(G19&gt;0,RTD("wdf.rtq",,$B19,F$5),0)</f>
        <v>5.0000000000000001E-3</v>
      </c>
      <c r="G19" s="53">
        <f>RTD("wdf.rtq",,$B19,G$5)</f>
        <v>3441</v>
      </c>
      <c r="H19" s="15">
        <f>RTD("wdf.rtq",,$B19,H$5)</f>
        <v>5.0000000000000001E-3</v>
      </c>
      <c r="I19" s="53">
        <f>RTD("wdf.rtq",,$B19,I$5)</f>
        <v>220</v>
      </c>
      <c r="J19" s="15">
        <f>RTD("wdf.rtq",,$B19,J$5)</f>
        <v>5.1000000000000004E-3</v>
      </c>
      <c r="K19" s="54">
        <f>RTD("wdf.rtq",,$B19,K$5)</f>
        <v>4</v>
      </c>
      <c r="L19" s="15">
        <f>[1]!s_dq_presettle(B19,"")</f>
        <v>4.1999999999999997E-3</v>
      </c>
      <c r="M19" s="15">
        <f t="shared" si="3"/>
        <v>0.64700000000000024</v>
      </c>
      <c r="N19" s="3">
        <f t="shared" si="31"/>
        <v>67750</v>
      </c>
      <c r="O19" s="15">
        <f t="shared" si="4"/>
        <v>-0.19664000000000026</v>
      </c>
      <c r="P19" s="14">
        <f t="shared" si="5"/>
        <v>3.5000000000000005E-4</v>
      </c>
      <c r="Q19" s="8">
        <f t="shared" si="6"/>
        <v>642.0100000000001</v>
      </c>
      <c r="R19" s="55">
        <f ca="1">IF(NOW()-TODAY()&gt;15/24, G19, [1]!s_dq_volume(B19,R$2,1))/$AI$2</f>
        <v>619.79999999999995</v>
      </c>
      <c r="S19" s="110"/>
      <c r="T19" s="110"/>
      <c r="U19" s="110"/>
      <c r="V19" s="110"/>
      <c r="W19" s="110"/>
      <c r="X19" s="110"/>
      <c r="Y19" s="110"/>
      <c r="Z19" s="110"/>
      <c r="AA19" s="110"/>
      <c r="AB19" s="61" t="s">
        <v>300</v>
      </c>
      <c r="AC19" s="29" t="str">
        <f>IF([1]!w_info_callput(AB19)="认购","C","P")</f>
        <v>P</v>
      </c>
      <c r="AD19" s="31">
        <f>[1]!w_info_strikeprice(AB19,"")</f>
        <v>4.4000000000000004</v>
      </c>
      <c r="AE19" s="18" t="str">
        <f>[1]!w_info_lasttradingdate(AB19)</f>
        <v>2020-04-22</v>
      </c>
      <c r="AF19" s="15">
        <f>RTD("wdf.rtq",,$AB19,F$5)</f>
        <v>0.67749999999999999</v>
      </c>
      <c r="AG19" s="53">
        <f>RTD("wdf.rtq",,$AB19,G$5)</f>
        <v>191</v>
      </c>
      <c r="AH19" s="15">
        <f>RTD("wdf.rtq",,$AB19,H$5)</f>
        <v>0.66110000000000002</v>
      </c>
      <c r="AI19" s="53">
        <f>RTD("wdf.rtq",,$AB19,I$5)</f>
        <v>1</v>
      </c>
      <c r="AJ19" s="15">
        <f>RTD("wdf.rtq",,$AB19,J$5)</f>
        <v>0</v>
      </c>
      <c r="AK19" s="54">
        <f>RTD("wdf.rtq",,$AB19,K$5)</f>
        <v>0</v>
      </c>
      <c r="AL19" s="15">
        <f>[1]!s_dq_presettle(AB19,"")</f>
        <v>0.74639999999999995</v>
      </c>
      <c r="AM19" s="15">
        <f t="shared" si="7"/>
        <v>0</v>
      </c>
      <c r="AN19" s="3">
        <f t="shared" si="8"/>
        <v>67750</v>
      </c>
      <c r="AO19" s="15">
        <f t="shared" si="9"/>
        <v>0.45035999999999998</v>
      </c>
      <c r="AP19" s="14">
        <f t="shared" si="10"/>
        <v>0.30800000000000005</v>
      </c>
      <c r="AQ19" s="8">
        <f t="shared" si="11"/>
        <v>135343.21000000002</v>
      </c>
      <c r="AR19" s="55">
        <f ca="1">IF(NOW()-TODAY()&gt;15/24, AG19, [1]!s_dq_volume(AB19,AR$2,1))/AI$2</f>
        <v>63.1</v>
      </c>
      <c r="AS19" s="110"/>
      <c r="AT19" s="110"/>
      <c r="AU19" s="110"/>
      <c r="AV19" s="110"/>
      <c r="AY19" s="10"/>
      <c r="AZ19" s="10"/>
      <c r="BA19" s="6">
        <f t="shared" ca="1" si="32"/>
        <v>-1142.4314165573494</v>
      </c>
      <c r="BB19" s="6">
        <f t="shared" ca="1" si="33"/>
        <v>0</v>
      </c>
      <c r="BC19" s="6">
        <f t="shared" ca="1" si="34"/>
        <v>487.54858344264642</v>
      </c>
      <c r="BD19" s="12">
        <f t="shared" ca="1" si="35"/>
        <v>507.5685834426464</v>
      </c>
      <c r="BE19" s="2">
        <f t="shared" ca="1" si="12"/>
        <v>-1.007186334801562E-2</v>
      </c>
      <c r="BF19" s="2">
        <f t="shared" ca="1" si="13"/>
        <v>0</v>
      </c>
      <c r="BG19" s="2">
        <f t="shared" ca="1" si="14"/>
        <v>4.3605872552659368E-3</v>
      </c>
      <c r="BH19" s="13">
        <f t="shared" ca="1" si="15"/>
        <v>4.5404563820632135E-3</v>
      </c>
      <c r="BI19" s="2">
        <f t="shared" ca="1" si="16"/>
        <v>-0.13615667118613708</v>
      </c>
      <c r="BJ19" s="2">
        <f t="shared" ca="1" si="17"/>
        <v>0</v>
      </c>
      <c r="BK19" s="2">
        <f t="shared" ca="1" si="18"/>
        <v>5.894867956192841E-2</v>
      </c>
      <c r="BL19" s="40">
        <f t="shared" ca="1" si="19"/>
        <v>6.1380243683447147E-2</v>
      </c>
      <c r="BN19" s="6">
        <f t="shared" ca="1" si="36"/>
        <v>770.98534362702139</v>
      </c>
      <c r="BO19" s="6">
        <f t="shared" ca="1" si="37"/>
        <v>-879.01465637297451</v>
      </c>
      <c r="BP19" s="6">
        <f t="shared" ca="1" si="38"/>
        <v>0</v>
      </c>
      <c r="BQ19" s="12">
        <f t="shared" ca="1" si="39"/>
        <v>0</v>
      </c>
      <c r="BR19" s="2">
        <f t="shared" ca="1" si="20"/>
        <v>4.263585705380003E-3</v>
      </c>
      <c r="BS19" s="2">
        <f t="shared" ca="1" si="21"/>
        <v>-6.4925256727625946E-3</v>
      </c>
      <c r="BT19" s="2">
        <f t="shared" ca="1" si="22"/>
        <v>0</v>
      </c>
      <c r="BU19" s="13">
        <f t="shared" ca="1" si="23"/>
        <v>0</v>
      </c>
      <c r="BV19" s="2">
        <f t="shared" ca="1" si="24"/>
        <v>5.7637362313470407E-2</v>
      </c>
      <c r="BW19" s="2">
        <f t="shared" ca="1" si="25"/>
        <v>-8.7769328539198041E-2</v>
      </c>
      <c r="BX19" s="2">
        <f t="shared" ca="1" si="26"/>
        <v>0</v>
      </c>
      <c r="BY19" s="13">
        <f t="shared" ca="1" si="27"/>
        <v>0</v>
      </c>
      <c r="CB19" s="17"/>
      <c r="CC19" s="94"/>
      <c r="CD19" s="94"/>
      <c r="CE19" s="94"/>
      <c r="CF19" s="39" t="str">
        <f t="shared" si="28"/>
        <v>C2020-04-4400.CFE</v>
      </c>
      <c r="CG19" s="39" t="str">
        <f t="shared" si="29"/>
        <v>P2020-04-4400.CFE</v>
      </c>
      <c r="CH19" s="95" t="s">
        <v>291</v>
      </c>
      <c r="CI19" s="100" t="str">
        <f>IF([1]!w_info_callput(CH19)="认购","C","P")</f>
        <v>C</v>
      </c>
      <c r="CJ19" s="101">
        <f>[1]!w_info_strikeprice(CH19,"")</f>
        <v>4.4000000000000004</v>
      </c>
      <c r="CK19" s="102" t="str">
        <f>[1]!w_info_lasttradingdate(CH19)</f>
        <v>2020-04-22</v>
      </c>
      <c r="CL19" s="39" t="str">
        <f t="shared" si="30"/>
        <v>10002367.SH</v>
      </c>
      <c r="CM19" s="17"/>
      <c r="CN19" s="17"/>
    </row>
    <row r="20" spans="1:92" ht="16.2" customHeight="1">
      <c r="A20" s="35">
        <f t="shared" si="2"/>
        <v>1</v>
      </c>
      <c r="B20" s="17" t="s">
        <v>292</v>
      </c>
      <c r="C20" s="29" t="str">
        <f>IF([1]!w_info_callput(B20)="认购","C","P")</f>
        <v>C</v>
      </c>
      <c r="D20" s="96">
        <f>[1]!w_info_strikeprice(B20,"")</f>
        <v>4.5</v>
      </c>
      <c r="E20" s="18" t="str">
        <f>[1]!w_info_lasttradingdate(B20)</f>
        <v>2020-04-22</v>
      </c>
      <c r="F20" s="15">
        <f>IF(G20&gt;0,RTD("wdf.rtq",,$B20,F$5),0)</f>
        <v>3.9000000000000003E-3</v>
      </c>
      <c r="G20" s="53">
        <f>RTD("wdf.rtq",,$B20,G$5)</f>
        <v>10038</v>
      </c>
      <c r="H20" s="15">
        <f>RTD("wdf.rtq",,$B20,H$5)</f>
        <v>3.6000000000000003E-3</v>
      </c>
      <c r="I20" s="53">
        <f>RTD("wdf.rtq",,$B20,I$5)</f>
        <v>819</v>
      </c>
      <c r="J20" s="15">
        <f>RTD("wdf.rtq",,$B20,J$5)</f>
        <v>4.0000000000000001E-3</v>
      </c>
      <c r="K20" s="54">
        <f>RTD("wdf.rtq",,$B20,K$5)</f>
        <v>56</v>
      </c>
      <c r="L20" s="15">
        <f>[1]!s_dq_presettle(B20,"")</f>
        <v>3.3E-3</v>
      </c>
      <c r="M20" s="15">
        <f t="shared" si="3"/>
        <v>0.74699999999999989</v>
      </c>
      <c r="N20" s="3">
        <f t="shared" ref="N20:N62" si="40">AH$2*AI$2*AF20</f>
        <v>77770</v>
      </c>
      <c r="O20" s="15">
        <f t="shared" si="4"/>
        <v>-0.2966399999999999</v>
      </c>
      <c r="P20" s="14">
        <f t="shared" si="5"/>
        <v>2.7300000000000002E-4</v>
      </c>
      <c r="Q20" s="8">
        <f t="shared" si="6"/>
        <v>500.77000000000004</v>
      </c>
      <c r="R20" s="55">
        <f ca="1">IF(NOW()-TODAY()&gt;15/24, G20, [1]!s_dq_volume(B20,R$2,1))/$AI$2</f>
        <v>1259.8</v>
      </c>
      <c r="S20" s="110"/>
      <c r="T20" s="110"/>
      <c r="U20" s="110"/>
      <c r="V20" s="110"/>
      <c r="W20" s="110"/>
      <c r="X20" s="110"/>
      <c r="Y20" s="110"/>
      <c r="Z20" s="110"/>
      <c r="AA20" s="110"/>
      <c r="AB20" s="61" t="s">
        <v>301</v>
      </c>
      <c r="AC20" s="29" t="str">
        <f>IF([1]!w_info_callput(AB20)="认购","C","P")</f>
        <v>P</v>
      </c>
      <c r="AD20" s="31">
        <f>[1]!w_info_strikeprice(AB20,"")</f>
        <v>4.5</v>
      </c>
      <c r="AE20" s="18" t="str">
        <f>[1]!w_info_lasttradingdate(AB20)</f>
        <v>2020-04-22</v>
      </c>
      <c r="AF20" s="15">
        <f>RTD("wdf.rtq",,$AB20,F$5)</f>
        <v>0.77770000000000006</v>
      </c>
      <c r="AG20" s="53">
        <f>RTD("wdf.rtq",,$AB20,G$5)</f>
        <v>284</v>
      </c>
      <c r="AH20" s="15">
        <f>RTD("wdf.rtq",,$AB20,H$5)</f>
        <v>0.61209999999999998</v>
      </c>
      <c r="AI20" s="53">
        <f>RTD("wdf.rtq",,$AB20,I$5)</f>
        <v>10</v>
      </c>
      <c r="AJ20" s="15">
        <f>RTD("wdf.rtq",,$AB20,J$5)</f>
        <v>0</v>
      </c>
      <c r="AK20" s="54">
        <f>RTD("wdf.rtq",,$AB20,K$5)</f>
        <v>0</v>
      </c>
      <c r="AL20" s="15">
        <f>[1]!s_dq_presettle(AB20,"")</f>
        <v>0.84340000000000004</v>
      </c>
      <c r="AM20" s="15">
        <f t="shared" ref="AM20:AM62" si="41">IF(AC20="P",MAX($AF$2-AD20,0),MAX(0,AD20-$AF$2))</f>
        <v>0</v>
      </c>
      <c r="AN20" s="3">
        <f t="shared" ref="AN20:AN62" si="42">AH$2*AI$2*AF20</f>
        <v>77770</v>
      </c>
      <c r="AO20" s="15">
        <f t="shared" ref="AO20:AO62" si="43">$AO$2*$AF$2-AM20</f>
        <v>0.45035999999999998</v>
      </c>
      <c r="AP20" s="14">
        <f t="shared" ref="AP20:AP62" si="44">IF(AC20="C",$AP$2*AF20,$AP$2*AD20)</f>
        <v>0.31500000000000006</v>
      </c>
      <c r="AQ20" s="8">
        <f t="shared" ref="AQ20:AQ62" si="45">AH$2*AI$2*IF(AC20="C", MAX(AO20,AP20)+AF20, MIN(AF20+MAX(AO20,AP20),AD20) )*$AQ$2+0.01</f>
        <v>147367.21000000002</v>
      </c>
      <c r="AR20" s="55">
        <f ca="1">IF(NOW()-TODAY()&gt;15/24, AG20, [1]!s_dq_volume(AB20,AR$2,1))/AI$2</f>
        <v>80.599999999999994</v>
      </c>
      <c r="AS20" s="110"/>
      <c r="AT20" s="110"/>
      <c r="AU20" s="110"/>
      <c r="AV20" s="110"/>
      <c r="AY20" s="10"/>
      <c r="AZ20" s="10"/>
      <c r="BA20" s="6">
        <f t="shared" ca="1" si="32"/>
        <v>-1272.4314165573908</v>
      </c>
      <c r="BB20" s="6">
        <f t="shared" ca="1" si="33"/>
        <v>0</v>
      </c>
      <c r="BC20" s="6">
        <f t="shared" ca="1" si="34"/>
        <v>15277.548583442616</v>
      </c>
      <c r="BD20" s="12">
        <f t="shared" ca="1" si="35"/>
        <v>15297.568583442617</v>
      </c>
      <c r="BE20" s="2">
        <f t="shared" ca="1" si="12"/>
        <v>-1.0319234025490981E-2</v>
      </c>
      <c r="BF20" s="2">
        <f t="shared" ca="1" si="13"/>
        <v>0</v>
      </c>
      <c r="BG20" s="2">
        <f t="shared" ca="1" si="14"/>
        <v>0.14309272991439767</v>
      </c>
      <c r="BH20" s="13">
        <f t="shared" ca="1" si="15"/>
        <v>0.14330708632628994</v>
      </c>
      <c r="BI20" s="2">
        <f t="shared" ca="1" si="16"/>
        <v>-0.13950075627052622</v>
      </c>
      <c r="BJ20" s="2">
        <f t="shared" ca="1" si="17"/>
        <v>0</v>
      </c>
      <c r="BK20" s="2">
        <f t="shared" ca="1" si="18"/>
        <v>1.9344017192131535</v>
      </c>
      <c r="BL20" s="40">
        <f t="shared" ca="1" si="19"/>
        <v>1.9372995003368825</v>
      </c>
      <c r="BN20" s="6">
        <f t="shared" ca="1" si="36"/>
        <v>900.98534362706266</v>
      </c>
      <c r="BO20" s="6">
        <f t="shared" ca="1" si="37"/>
        <v>-15669.014656372945</v>
      </c>
      <c r="BP20" s="6">
        <f t="shared" ca="1" si="38"/>
        <v>0</v>
      </c>
      <c r="BQ20" s="12">
        <f t="shared" ca="1" si="39"/>
        <v>0</v>
      </c>
      <c r="BR20" s="2">
        <f t="shared" ca="1" si="20"/>
        <v>4.6745117522716262E-3</v>
      </c>
      <c r="BS20" s="2">
        <f t="shared" ca="1" si="21"/>
        <v>-0.1062935934183475</v>
      </c>
      <c r="BT20" s="2">
        <f t="shared" ca="1" si="22"/>
        <v>0</v>
      </c>
      <c r="BU20" s="13">
        <f t="shared" ca="1" si="23"/>
        <v>0</v>
      </c>
      <c r="BV20" s="2">
        <f t="shared" ca="1" si="24"/>
        <v>6.3192473688116438E-2</v>
      </c>
      <c r="BW20" s="2">
        <f t="shared" ca="1" si="25"/>
        <v>-1.4369319110258088</v>
      </c>
      <c r="BX20" s="2">
        <f t="shared" ca="1" si="26"/>
        <v>0</v>
      </c>
      <c r="BY20" s="13">
        <f t="shared" ca="1" si="27"/>
        <v>0</v>
      </c>
      <c r="CB20" s="17"/>
      <c r="CC20" s="94"/>
      <c r="CD20" s="94"/>
      <c r="CE20" s="94"/>
      <c r="CF20" s="39" t="str">
        <f t="shared" si="28"/>
        <v>C2020-04-4500.CFE</v>
      </c>
      <c r="CG20" s="39" t="str">
        <f t="shared" si="29"/>
        <v>P2020-04-4500.CFE</v>
      </c>
      <c r="CH20" s="95" t="s">
        <v>292</v>
      </c>
      <c r="CI20" s="100" t="str">
        <f>IF([1]!w_info_callput(CH20)="认购","C","P")</f>
        <v>C</v>
      </c>
      <c r="CJ20" s="101">
        <f>[1]!w_info_strikeprice(CH20,"")</f>
        <v>4.5</v>
      </c>
      <c r="CK20" s="102" t="str">
        <f>[1]!w_info_lasttradingdate(CH20)</f>
        <v>2020-04-22</v>
      </c>
      <c r="CL20" s="39" t="str">
        <f t="shared" si="30"/>
        <v>10002368.SH</v>
      </c>
      <c r="CM20" s="17"/>
      <c r="CN20" s="17"/>
    </row>
    <row r="21" spans="1:92" s="128" customFormat="1" ht="16.2" customHeight="1">
      <c r="A21" s="115">
        <f t="shared" si="2"/>
        <v>1</v>
      </c>
      <c r="B21" s="135" t="s">
        <v>375</v>
      </c>
      <c r="C21" s="117" t="str">
        <f>IF([1]!w_info_callput(B21)="认购","C","P")</f>
        <v>C</v>
      </c>
      <c r="D21" s="118">
        <f>[1]!w_info_strikeprice(B21,"")</f>
        <v>4.5999999999999996</v>
      </c>
      <c r="E21" s="119" t="str">
        <f>[1]!w_info_lasttradingdate(B21)</f>
        <v>2020-04-22</v>
      </c>
      <c r="F21" s="120">
        <f>IF(G21&gt;0,RTD("wdf.rtq",,$B21,F$5),0)</f>
        <v>2.1000000000000003E-3</v>
      </c>
      <c r="G21" s="121">
        <f>RTD("wdf.rtq",,$B21,G$5)</f>
        <v>2218</v>
      </c>
      <c r="H21" s="120">
        <f>RTD("wdf.rtq",,$B21,H$5)</f>
        <v>1.8000000000000002E-3</v>
      </c>
      <c r="I21" s="121">
        <f>RTD("wdf.rtq",,$B21,I$5)</f>
        <v>60</v>
      </c>
      <c r="J21" s="120">
        <f>RTD("wdf.rtq",,$B21,J$5)</f>
        <v>2.1000000000000003E-3</v>
      </c>
      <c r="K21" s="121">
        <f>RTD("wdf.rtq",,$B21,K$5)</f>
        <v>339</v>
      </c>
      <c r="L21" s="120">
        <f>[1]!s_dq_presettle(B21,"")</f>
        <v>1.9E-3</v>
      </c>
      <c r="M21" s="120">
        <f t="shared" si="3"/>
        <v>0.84699999999999953</v>
      </c>
      <c r="N21" s="122">
        <f t="shared" si="40"/>
        <v>87110.000000000015</v>
      </c>
      <c r="O21" s="120">
        <f t="shared" si="4"/>
        <v>-0.39663999999999955</v>
      </c>
      <c r="P21" s="123">
        <f t="shared" si="5"/>
        <v>1.4700000000000002E-4</v>
      </c>
      <c r="Q21" s="124">
        <f t="shared" si="6"/>
        <v>269.64999999999998</v>
      </c>
      <c r="R21" s="125">
        <f ca="1">IF(NOW()-TODAY()&gt;15/24, G21, [1]!s_dq_volume(B21,R$2,1))/$AI$2</f>
        <v>1046.4000000000001</v>
      </c>
      <c r="S21" s="127"/>
      <c r="T21" s="127"/>
      <c r="U21" s="127"/>
      <c r="V21" s="127"/>
      <c r="W21" s="127"/>
      <c r="X21" s="127"/>
      <c r="Y21" s="127"/>
      <c r="Z21" s="127"/>
      <c r="AA21" s="127"/>
      <c r="AB21" s="116" t="s">
        <v>376</v>
      </c>
      <c r="AC21" s="117" t="str">
        <f>IF([1]!w_info_callput(AB21)="认购","C","P")</f>
        <v>P</v>
      </c>
      <c r="AD21" s="126">
        <f>[1]!w_info_strikeprice(AB21,"")</f>
        <v>4.5999999999999996</v>
      </c>
      <c r="AE21" s="119" t="str">
        <f>[1]!w_info_lasttradingdate(AB21)</f>
        <v>2020-04-22</v>
      </c>
      <c r="AF21" s="120">
        <f>RTD("wdf.rtq",,$AB21,F$5)</f>
        <v>0.8711000000000001</v>
      </c>
      <c r="AG21" s="121">
        <f>RTD("wdf.rtq",,$AB21,G$5)</f>
        <v>310</v>
      </c>
      <c r="AH21" s="120">
        <f>RTD("wdf.rtq",,$AB21,H$5)</f>
        <v>0.61209999999999998</v>
      </c>
      <c r="AI21" s="121">
        <f>RTD("wdf.rtq",,$AB21,I$5)</f>
        <v>10</v>
      </c>
      <c r="AJ21" s="120">
        <f>RTD("wdf.rtq",,$AB21,J$5)</f>
        <v>0</v>
      </c>
      <c r="AK21" s="121">
        <f>RTD("wdf.rtq",,$AB21,K$5)</f>
        <v>0</v>
      </c>
      <c r="AL21" s="120">
        <f>[1]!s_dq_presettle(AB21,"")</f>
        <v>0.94099999999999995</v>
      </c>
      <c r="AM21" s="120">
        <f t="shared" si="41"/>
        <v>0</v>
      </c>
      <c r="AN21" s="122">
        <f t="shared" si="42"/>
        <v>87110.000000000015</v>
      </c>
      <c r="AO21" s="120">
        <f t="shared" si="43"/>
        <v>0.45035999999999998</v>
      </c>
      <c r="AP21" s="123">
        <f t="shared" si="44"/>
        <v>0.32200000000000001</v>
      </c>
      <c r="AQ21" s="124">
        <f t="shared" si="45"/>
        <v>158575.21</v>
      </c>
      <c r="AR21" s="125">
        <f ca="1">IF(NOW()-TODAY()&gt;15/24, AG21, [1]!s_dq_volume(AB21,AR$2,1))/AI$2</f>
        <v>127.6</v>
      </c>
      <c r="AS21" s="127"/>
      <c r="AT21" s="127"/>
      <c r="AU21" s="127"/>
      <c r="AV21" s="127"/>
      <c r="AX21" s="129"/>
      <c r="AY21" s="130"/>
      <c r="AZ21" s="130"/>
      <c r="BA21" s="131">
        <f t="shared" ca="1" si="32"/>
        <v>-792.43141655743239</v>
      </c>
      <c r="BB21" s="131">
        <f t="shared" ca="1" si="33"/>
        <v>0</v>
      </c>
      <c r="BC21" s="131">
        <f t="shared" ca="1" si="34"/>
        <v>25087.548583442578</v>
      </c>
      <c r="BD21" s="141">
        <f t="shared" ca="1" si="35"/>
        <v>25107.568583442579</v>
      </c>
      <c r="BE21" s="132">
        <f t="shared" ca="1" si="12"/>
        <v>-5.9844241715947656E-3</v>
      </c>
      <c r="BF21" s="132">
        <f t="shared" ca="1" si="13"/>
        <v>0</v>
      </c>
      <c r="BG21" s="132">
        <f t="shared" ca="1" si="14"/>
        <v>0.23548500979195772</v>
      </c>
      <c r="BH21" s="133">
        <f t="shared" ca="1" si="15"/>
        <v>0.23571717943271792</v>
      </c>
      <c r="BI21" s="132">
        <f t="shared" ca="1" si="16"/>
        <v>-8.0900548986373694E-2</v>
      </c>
      <c r="BJ21" s="132">
        <f t="shared" ca="1" si="17"/>
        <v>0</v>
      </c>
      <c r="BK21" s="132">
        <f t="shared" ca="1" si="18"/>
        <v>3.183408465706095</v>
      </c>
      <c r="BL21" s="132">
        <f t="shared" ca="1" si="19"/>
        <v>3.1865470552941497</v>
      </c>
      <c r="BM21" s="134"/>
      <c r="BN21" s="131">
        <f t="shared" ca="1" si="36"/>
        <v>420.98534362710438</v>
      </c>
      <c r="BO21" s="131">
        <f t="shared" ca="1" si="37"/>
        <v>-25479.014656372907</v>
      </c>
      <c r="BP21" s="131">
        <f t="shared" ca="1" si="38"/>
        <v>0</v>
      </c>
      <c r="BQ21" s="141">
        <f t="shared" ca="1" si="39"/>
        <v>0</v>
      </c>
      <c r="BR21" s="132">
        <f t="shared" ca="1" si="20"/>
        <v>2.0659599502190879E-3</v>
      </c>
      <c r="BS21" s="132">
        <f t="shared" ca="1" si="21"/>
        <v>-0.16062885683514999</v>
      </c>
      <c r="BT21" s="132">
        <f t="shared" ca="1" si="22"/>
        <v>0</v>
      </c>
      <c r="BU21" s="133">
        <f t="shared" ca="1" si="23"/>
        <v>0</v>
      </c>
      <c r="BV21" s="132">
        <f t="shared" ca="1" si="24"/>
        <v>2.7928717845554334E-2</v>
      </c>
      <c r="BW21" s="132">
        <f t="shared" ca="1" si="25"/>
        <v>-2.1714641757344348</v>
      </c>
      <c r="BX21" s="132">
        <f t="shared" ca="1" si="26"/>
        <v>0</v>
      </c>
      <c r="BY21" s="133">
        <f t="shared" ca="1" si="27"/>
        <v>0</v>
      </c>
      <c r="CB21" s="135"/>
      <c r="CC21" s="136"/>
      <c r="CD21" s="136"/>
      <c r="CE21" s="136"/>
      <c r="CF21" s="128" t="str">
        <f t="shared" si="28"/>
        <v>C2020-04-4600.CFE</v>
      </c>
      <c r="CG21" s="128" t="str">
        <f t="shared" si="29"/>
        <v>P2020-04-4600.CFE</v>
      </c>
      <c r="CH21" s="135" t="s">
        <v>375</v>
      </c>
      <c r="CI21" s="117" t="str">
        <f>IF([1]!w_info_callput(CH21)="认购","C","P")</f>
        <v>C</v>
      </c>
      <c r="CJ21" s="137">
        <f>[1]!w_info_strikeprice(CH21,"")</f>
        <v>4.5999999999999996</v>
      </c>
      <c r="CK21" s="138" t="str">
        <f>[1]!w_info_lasttradingdate(CH21)</f>
        <v>2020-04-22</v>
      </c>
      <c r="CL21" s="128" t="str">
        <f t="shared" si="30"/>
        <v>10002382.SH</v>
      </c>
      <c r="CM21" s="135"/>
      <c r="CN21" s="135"/>
    </row>
    <row r="22" spans="1:92" ht="16.2" customHeight="1">
      <c r="A22" s="35">
        <f t="shared" si="2"/>
        <v>1</v>
      </c>
      <c r="B22" s="17" t="s">
        <v>404</v>
      </c>
      <c r="C22" s="29" t="str">
        <f>IF([1]!w_info_callput(B22)="认购","C","P")</f>
        <v>C</v>
      </c>
      <c r="D22" s="96">
        <f>[1]!w_info_strikeprice(B22,"")</f>
        <v>3.3</v>
      </c>
      <c r="E22" s="18" t="str">
        <f>[1]!w_info_lasttradingdate(B22)</f>
        <v>2020-05-27</v>
      </c>
      <c r="F22" s="15">
        <f>IF(G22&gt;0,RTD("wdf.rtq",,$B22,F$5),0)</f>
        <v>0.48110000000000003</v>
      </c>
      <c r="G22" s="53">
        <f>RTD("wdf.rtq",,$B22,G$5)</f>
        <v>404</v>
      </c>
      <c r="H22" s="15">
        <f>RTD("wdf.rtq",,$B22,H$5)</f>
        <v>6.2400000000000004E-2</v>
      </c>
      <c r="I22" s="53">
        <f>RTD("wdf.rtq",,$B22,I$5)</f>
        <v>1</v>
      </c>
      <c r="J22" s="15">
        <f>RTD("wdf.rtq",,$B22,J$5)</f>
        <v>0</v>
      </c>
      <c r="K22" s="54">
        <f>RTD("wdf.rtq",,$B22,K$5)</f>
        <v>0</v>
      </c>
      <c r="L22" s="15">
        <f>[1]!s_dq_presettle(B22,"")</f>
        <v>0.42220000000000002</v>
      </c>
      <c r="M22" s="15">
        <f t="shared" si="3"/>
        <v>0</v>
      </c>
      <c r="N22" s="3">
        <f t="shared" si="40"/>
        <v>4940</v>
      </c>
      <c r="O22" s="15">
        <f t="shared" si="4"/>
        <v>0.45035999999999998</v>
      </c>
      <c r="P22" s="14">
        <f t="shared" si="5"/>
        <v>3.3677000000000006E-2</v>
      </c>
      <c r="Q22" s="8">
        <f t="shared" si="6"/>
        <v>111775.20999999999</v>
      </c>
      <c r="R22" s="55">
        <f ca="1">IF(NOW()-TODAY()&gt;15/24, G22, [1]!s_dq_volume(B22,R$2,1))/$AI$2</f>
        <v>116.3</v>
      </c>
      <c r="S22" s="110"/>
      <c r="T22" s="110"/>
      <c r="U22" s="110"/>
      <c r="V22" s="110"/>
      <c r="W22" s="110"/>
      <c r="X22" s="110"/>
      <c r="Y22" s="110"/>
      <c r="Z22" s="110"/>
      <c r="AA22" s="110"/>
      <c r="AB22" s="61" t="s">
        <v>413</v>
      </c>
      <c r="AC22" s="29" t="str">
        <f>IF([1]!w_info_callput(AB22)="认购","C","P")</f>
        <v>P</v>
      </c>
      <c r="AD22" s="31">
        <f>[1]!w_info_strikeprice(AB22,"")</f>
        <v>3.3</v>
      </c>
      <c r="AE22" s="18" t="str">
        <f>[1]!w_info_lasttradingdate(AB22)</f>
        <v>2020-05-27</v>
      </c>
      <c r="AF22" s="15">
        <f>RTD("wdf.rtq",,$AB22,F$5)</f>
        <v>4.9399999999999999E-2</v>
      </c>
      <c r="AG22" s="53">
        <f>RTD("wdf.rtq",,$AB22,G$5)</f>
        <v>2549</v>
      </c>
      <c r="AH22" s="15">
        <f>RTD("wdf.rtq",,$AB22,H$5)</f>
        <v>4.9399999999999999E-2</v>
      </c>
      <c r="AI22" s="53">
        <f>RTD("wdf.rtq",,$AB22,I$5)</f>
        <v>28</v>
      </c>
      <c r="AJ22" s="15">
        <f>RTD("wdf.rtq",,$AB22,J$5)</f>
        <v>5.0500000000000003E-2</v>
      </c>
      <c r="AK22" s="54">
        <f>RTD("wdf.rtq",,$AB22,K$5)</f>
        <v>10</v>
      </c>
      <c r="AL22" s="15">
        <f>[1]!s_dq_presettle(AB22,"")</f>
        <v>6.7500000000000004E-2</v>
      </c>
      <c r="AM22" s="15">
        <f t="shared" si="41"/>
        <v>0.45300000000000029</v>
      </c>
      <c r="AN22" s="3">
        <f t="shared" si="42"/>
        <v>4940</v>
      </c>
      <c r="AO22" s="15">
        <f t="shared" si="43"/>
        <v>-2.6400000000003088E-3</v>
      </c>
      <c r="AP22" s="14">
        <f t="shared" si="44"/>
        <v>0.23100000000000001</v>
      </c>
      <c r="AQ22" s="8">
        <f t="shared" si="45"/>
        <v>33648.01</v>
      </c>
      <c r="AR22" s="55">
        <f ca="1">IF(NOW()-TODAY()&gt;15/24, AG22, [1]!s_dq_volume(AB22,AR$2,1))/AI$2</f>
        <v>509.3</v>
      </c>
      <c r="AS22" s="110"/>
      <c r="AT22" s="110"/>
      <c r="AU22" s="110"/>
      <c r="AV22" s="110"/>
      <c r="AY22" s="10"/>
      <c r="AZ22" s="10"/>
      <c r="BA22" s="6">
        <f t="shared" ca="1" si="32"/>
        <v>1464.439434296427</v>
      </c>
      <c r="BB22" s="6">
        <f t="shared" ca="1" si="33"/>
        <v>-40515.560565703578</v>
      </c>
      <c r="BC22" s="6">
        <f t="shared" ca="1" si="34"/>
        <v>0</v>
      </c>
      <c r="BD22" s="12">
        <f t="shared" ca="1" si="35"/>
        <v>0</v>
      </c>
      <c r="BE22" s="2">
        <f t="shared" ca="1" si="12"/>
        <v>9.0536536591993774E-3</v>
      </c>
      <c r="BF22" s="2">
        <f t="shared" ca="1" si="13"/>
        <v>-0.25031050098849245</v>
      </c>
      <c r="BG22" s="2">
        <f t="shared" ca="1" si="14"/>
        <v>0</v>
      </c>
      <c r="BH22" s="13">
        <f t="shared" ca="1" si="15"/>
        <v>0</v>
      </c>
      <c r="BI22" s="2">
        <f t="shared" ca="1" si="16"/>
        <v>5.329973525173827E-2</v>
      </c>
      <c r="BJ22" s="2">
        <f t="shared" ca="1" si="17"/>
        <v>-1.473602142916125</v>
      </c>
      <c r="BK22" s="2">
        <f t="shared" ca="1" si="18"/>
        <v>0</v>
      </c>
      <c r="BL22" s="40">
        <f t="shared" ca="1" si="19"/>
        <v>0</v>
      </c>
      <c r="BN22" s="6">
        <f t="shared" ca="1" si="36"/>
        <v>-1835.885507226755</v>
      </c>
      <c r="BO22" s="6">
        <f t="shared" ca="1" si="37"/>
        <v>0</v>
      </c>
      <c r="BP22" s="6">
        <f t="shared" ca="1" si="38"/>
        <v>40104.114492773246</v>
      </c>
      <c r="BQ22" s="12">
        <f t="shared" ca="1" si="39"/>
        <v>40144.114492773246</v>
      </c>
      <c r="BR22" s="2">
        <f t="shared" ca="1" si="20"/>
        <v>-1.4484867485507967E-2</v>
      </c>
      <c r="BS22" s="2">
        <f t="shared" ca="1" si="21"/>
        <v>0</v>
      </c>
      <c r="BT22" s="2">
        <f t="shared" ca="1" si="22"/>
        <v>1.1900593067776222</v>
      </c>
      <c r="BU22" s="13">
        <f t="shared" ca="1" si="23"/>
        <v>1.1912469835525543</v>
      </c>
      <c r="BV22" s="2">
        <f t="shared" ca="1" si="24"/>
        <v>-8.5273816648554962E-2</v>
      </c>
      <c r="BW22" s="2">
        <f t="shared" ca="1" si="25"/>
        <v>0</v>
      </c>
      <c r="BX22" s="2">
        <f t="shared" ca="1" si="26"/>
        <v>7.0059943060295495</v>
      </c>
      <c r="BY22" s="13">
        <f t="shared" ca="1" si="27"/>
        <v>7.0129862741400375</v>
      </c>
      <c r="CB22" s="17"/>
      <c r="CC22" s="94"/>
      <c r="CD22" s="94"/>
      <c r="CE22" s="94"/>
      <c r="CF22" s="128" t="str">
        <f t="shared" si="28"/>
        <v>C2020-05-3300.CFE</v>
      </c>
      <c r="CG22" s="128" t="str">
        <f t="shared" si="29"/>
        <v>P2020-05-3300.CFE</v>
      </c>
      <c r="CH22" s="95" t="s">
        <v>404</v>
      </c>
      <c r="CI22" s="117" t="str">
        <f>IF([1]!w_info_callput(CH22)="认购","C","P")</f>
        <v>C</v>
      </c>
      <c r="CJ22" s="137">
        <f>[1]!w_info_strikeprice(CH22,"")</f>
        <v>3.3</v>
      </c>
      <c r="CK22" s="138" t="str">
        <f>[1]!w_info_lasttradingdate(CH22)</f>
        <v>2020-05-27</v>
      </c>
      <c r="CL22" s="128" t="str">
        <f t="shared" si="30"/>
        <v>10002460.SH</v>
      </c>
      <c r="CM22" s="17"/>
      <c r="CN22" s="17"/>
    </row>
    <row r="23" spans="1:92" ht="16.2" customHeight="1">
      <c r="A23" s="35">
        <f t="shared" si="2"/>
        <v>1</v>
      </c>
      <c r="B23" s="17" t="s">
        <v>405</v>
      </c>
      <c r="C23" s="29" t="str">
        <f>IF([1]!w_info_callput(B23)="认购","C","P")</f>
        <v>C</v>
      </c>
      <c r="D23" s="96">
        <f>[1]!w_info_strikeprice(B23,"")</f>
        <v>3.4</v>
      </c>
      <c r="E23" s="18" t="str">
        <f>[1]!w_info_lasttradingdate(B23)</f>
        <v>2020-05-27</v>
      </c>
      <c r="F23" s="15">
        <f>IF(G23&gt;0,RTD("wdf.rtq",,$B23,F$5),0)</f>
        <v>0.39980000000000004</v>
      </c>
      <c r="G23" s="53">
        <f>RTD("wdf.rtq",,$B23,G$5)</f>
        <v>384</v>
      </c>
      <c r="H23" s="15">
        <f>RTD("wdf.rtq",,$B23,H$5)</f>
        <v>0.34550000000000003</v>
      </c>
      <c r="I23" s="53">
        <f>RTD("wdf.rtq",,$B23,I$5)</f>
        <v>1</v>
      </c>
      <c r="J23" s="15">
        <f>RTD("wdf.rtq",,$B23,J$5)</f>
        <v>0</v>
      </c>
      <c r="K23" s="54">
        <f>RTD("wdf.rtq",,$B23,K$5)</f>
        <v>0</v>
      </c>
      <c r="L23" s="15">
        <f>[1]!s_dq_presettle(B23,"")</f>
        <v>0.34410000000000002</v>
      </c>
      <c r="M23" s="15">
        <f t="shared" si="3"/>
        <v>0</v>
      </c>
      <c r="N23" s="3">
        <f t="shared" si="40"/>
        <v>7050.0000000000009</v>
      </c>
      <c r="O23" s="15">
        <f t="shared" si="4"/>
        <v>0.45035999999999998</v>
      </c>
      <c r="P23" s="14">
        <f t="shared" si="5"/>
        <v>2.7986000000000007E-2</v>
      </c>
      <c r="Q23" s="8">
        <f t="shared" si="6"/>
        <v>102019.20999999999</v>
      </c>
      <c r="R23" s="55">
        <f ca="1">IF(NOW()-TODAY()&gt;15/24, G23, [1]!s_dq_volume(B23,R$2,1))/$AI$2</f>
        <v>88.9</v>
      </c>
      <c r="S23" s="110"/>
      <c r="T23" s="110"/>
      <c r="U23" s="110"/>
      <c r="V23" s="110"/>
      <c r="W23" s="110"/>
      <c r="X23" s="110"/>
      <c r="Y23" s="110"/>
      <c r="Z23" s="110"/>
      <c r="AA23" s="110"/>
      <c r="AB23" s="61" t="s">
        <v>414</v>
      </c>
      <c r="AC23" s="29" t="str">
        <f>IF([1]!w_info_callput(AB23)="认购","C","P")</f>
        <v>P</v>
      </c>
      <c r="AD23" s="31">
        <f>[1]!w_info_strikeprice(AB23,"")</f>
        <v>3.4</v>
      </c>
      <c r="AE23" s="18" t="str">
        <f>[1]!w_info_lasttradingdate(AB23)</f>
        <v>2020-05-27</v>
      </c>
      <c r="AF23" s="15">
        <f>RTD("wdf.rtq",,$AB23,F$5)</f>
        <v>7.0500000000000007E-2</v>
      </c>
      <c r="AG23" s="53">
        <f>RTD("wdf.rtq",,$AB23,G$5)</f>
        <v>2393</v>
      </c>
      <c r="AH23" s="15">
        <f>RTD("wdf.rtq",,$AB23,H$5)</f>
        <v>6.770000000000001E-2</v>
      </c>
      <c r="AI23" s="53">
        <f>RTD("wdf.rtq",,$AB23,I$5)</f>
        <v>1</v>
      </c>
      <c r="AJ23" s="15">
        <f>RTD("wdf.rtq",,$AB23,J$5)</f>
        <v>8.3000000000000004E-2</v>
      </c>
      <c r="AK23" s="54">
        <f>RTD("wdf.rtq",,$AB23,K$5)</f>
        <v>1</v>
      </c>
      <c r="AL23" s="15">
        <f>[1]!s_dq_presettle(AB23,"")</f>
        <v>9.2799999999999994E-2</v>
      </c>
      <c r="AM23" s="15">
        <f t="shared" si="41"/>
        <v>0.3530000000000002</v>
      </c>
      <c r="AN23" s="3">
        <f t="shared" si="42"/>
        <v>7050.0000000000009</v>
      </c>
      <c r="AO23" s="15">
        <f t="shared" si="43"/>
        <v>9.735999999999978E-2</v>
      </c>
      <c r="AP23" s="14">
        <f t="shared" si="44"/>
        <v>0.23800000000000002</v>
      </c>
      <c r="AQ23" s="8">
        <f t="shared" si="45"/>
        <v>37020.01</v>
      </c>
      <c r="AR23" s="55">
        <f ca="1">IF(NOW()-TODAY()&gt;15/24, AG23, [1]!s_dq_volume(AB23,AR$2,1))/AI$2</f>
        <v>389.3</v>
      </c>
      <c r="AS23" s="110"/>
      <c r="AT23" s="110"/>
      <c r="AU23" s="110"/>
      <c r="AV23" s="110"/>
      <c r="AY23" s="10"/>
      <c r="AZ23" s="10"/>
      <c r="BA23" s="6">
        <f t="shared" ca="1" si="32"/>
        <v>1224.4394342964367</v>
      </c>
      <c r="BB23" s="6">
        <f t="shared" ca="1" si="33"/>
        <v>-5455.5605657035658</v>
      </c>
      <c r="BC23" s="6">
        <f t="shared" ca="1" si="34"/>
        <v>0</v>
      </c>
      <c r="BD23" s="12">
        <f t="shared" ca="1" si="35"/>
        <v>0</v>
      </c>
      <c r="BE23" s="2">
        <f t="shared" ca="1" si="12"/>
        <v>7.9454772119413528E-3</v>
      </c>
      <c r="BF23" s="2">
        <f t="shared" ca="1" si="13"/>
        <v>-3.5116688817218078E-2</v>
      </c>
      <c r="BG23" s="2">
        <f t="shared" ca="1" si="14"/>
        <v>0</v>
      </c>
      <c r="BH23" s="13">
        <f t="shared" ca="1" si="15"/>
        <v>0</v>
      </c>
      <c r="BI23" s="2">
        <f t="shared" ca="1" si="16"/>
        <v>4.677579326384828E-2</v>
      </c>
      <c r="BJ23" s="2">
        <f t="shared" ca="1" si="17"/>
        <v>-0.2067353454562032</v>
      </c>
      <c r="BK23" s="2">
        <f t="shared" ca="1" si="18"/>
        <v>0</v>
      </c>
      <c r="BL23" s="40">
        <f t="shared" ca="1" si="19"/>
        <v>0</v>
      </c>
      <c r="BN23" s="6">
        <f t="shared" ca="1" si="36"/>
        <v>-1595.8855072267647</v>
      </c>
      <c r="BO23" s="6">
        <f t="shared" ca="1" si="37"/>
        <v>0</v>
      </c>
      <c r="BP23" s="6">
        <f t="shared" ca="1" si="38"/>
        <v>5044.1144927732375</v>
      </c>
      <c r="BQ23" s="12">
        <f t="shared" ca="1" si="39"/>
        <v>5084.1144927732375</v>
      </c>
      <c r="BR23" s="2">
        <f t="shared" ca="1" si="20"/>
        <v>-1.3082415537072163E-2</v>
      </c>
      <c r="BS23" s="2">
        <f t="shared" ca="1" si="21"/>
        <v>0</v>
      </c>
      <c r="BT23" s="2">
        <f t="shared" ca="1" si="22"/>
        <v>0.13596154599203281</v>
      </c>
      <c r="BU23" s="13">
        <f t="shared" ca="1" si="23"/>
        <v>0.1370397995666362</v>
      </c>
      <c r="BV23" s="2">
        <f t="shared" ca="1" si="24"/>
        <v>-7.7017446306957088E-2</v>
      </c>
      <c r="BW23" s="2">
        <f t="shared" ca="1" si="25"/>
        <v>0</v>
      </c>
      <c r="BX23" s="2">
        <f t="shared" ca="1" si="26"/>
        <v>0.80041877882406409</v>
      </c>
      <c r="BY23" s="13">
        <f t="shared" ca="1" si="27"/>
        <v>0.8067665619648744</v>
      </c>
      <c r="CB23" s="17"/>
      <c r="CC23" s="94"/>
      <c r="CD23" s="94"/>
      <c r="CE23" s="94"/>
      <c r="CF23" s="128" t="str">
        <f t="shared" si="28"/>
        <v>C2020-05-3400.CFE</v>
      </c>
      <c r="CG23" s="128" t="str">
        <f t="shared" si="29"/>
        <v>P2020-05-3400.CFE</v>
      </c>
      <c r="CH23" s="17" t="s">
        <v>405</v>
      </c>
      <c r="CI23" s="117" t="str">
        <f>IF([1]!w_info_callput(CH23)="认购","C","P")</f>
        <v>C</v>
      </c>
      <c r="CJ23" s="137">
        <f>[1]!w_info_strikeprice(CH23,"")</f>
        <v>3.4</v>
      </c>
      <c r="CK23" s="138" t="str">
        <f>[1]!w_info_lasttradingdate(CH23)</f>
        <v>2020-05-27</v>
      </c>
      <c r="CL23" s="128" t="str">
        <f t="shared" si="30"/>
        <v>10002461.SH</v>
      </c>
      <c r="CM23" s="17"/>
      <c r="CN23" s="17"/>
    </row>
    <row r="24" spans="1:92" ht="16.2" customHeight="1">
      <c r="A24" s="35">
        <f t="shared" si="2"/>
        <v>1</v>
      </c>
      <c r="B24" s="17" t="s">
        <v>406</v>
      </c>
      <c r="C24" s="29" t="str">
        <f>IF([1]!w_info_callput(B24)="认购","C","P")</f>
        <v>C</v>
      </c>
      <c r="D24" s="96">
        <f>[1]!w_info_strikeprice(B24,"")</f>
        <v>3.5</v>
      </c>
      <c r="E24" s="18" t="str">
        <f>[1]!w_info_lasttradingdate(B24)</f>
        <v>2020-05-27</v>
      </c>
      <c r="F24" s="15">
        <f>IF(G24&gt;0,RTD("wdf.rtq",,$B24,F$5),0)</f>
        <v>0.3211</v>
      </c>
      <c r="G24" s="53">
        <f>RTD("wdf.rtq",,$B24,G$5)</f>
        <v>502</v>
      </c>
      <c r="H24" s="15">
        <f>RTD("wdf.rtq",,$B24,H$5)</f>
        <v>5.7200000000000001E-2</v>
      </c>
      <c r="I24" s="53">
        <f>RTD("wdf.rtq",,$B24,I$5)</f>
        <v>1</v>
      </c>
      <c r="J24" s="15">
        <f>RTD("wdf.rtq",,$B24,J$5)</f>
        <v>0.379</v>
      </c>
      <c r="K24" s="54">
        <f>RTD("wdf.rtq",,$B24,K$5)</f>
        <v>4</v>
      </c>
      <c r="L24" s="15">
        <f>[1]!s_dq_presettle(B24,"")</f>
        <v>0.2772</v>
      </c>
      <c r="M24" s="15">
        <f t="shared" si="3"/>
        <v>0</v>
      </c>
      <c r="N24" s="3">
        <f t="shared" si="40"/>
        <v>9000.0000000000018</v>
      </c>
      <c r="O24" s="15">
        <f t="shared" si="4"/>
        <v>0.45035999999999998</v>
      </c>
      <c r="P24" s="14">
        <f t="shared" si="5"/>
        <v>2.2477E-2</v>
      </c>
      <c r="Q24" s="8">
        <f t="shared" si="6"/>
        <v>92575.209999999992</v>
      </c>
      <c r="R24" s="55">
        <f ca="1">IF(NOW()-TODAY()&gt;15/24, G24, [1]!s_dq_volume(B24,R$2,1))/$AI$2</f>
        <v>148.4</v>
      </c>
      <c r="S24" s="110"/>
      <c r="T24" s="110"/>
      <c r="U24" s="110"/>
      <c r="V24" s="110"/>
      <c r="W24" s="110"/>
      <c r="X24" s="110"/>
      <c r="Y24" s="110"/>
      <c r="Z24" s="110"/>
      <c r="AA24" s="110"/>
      <c r="AB24" s="61" t="s">
        <v>415</v>
      </c>
      <c r="AC24" s="29" t="str">
        <f>IF([1]!w_info_callput(AB24)="认购","C","P")</f>
        <v>P</v>
      </c>
      <c r="AD24" s="31">
        <f>[1]!w_info_strikeprice(AB24,"")</f>
        <v>3.5</v>
      </c>
      <c r="AE24" s="18" t="str">
        <f>[1]!w_info_lasttradingdate(AB24)</f>
        <v>2020-05-27</v>
      </c>
      <c r="AF24" s="15">
        <f>RTD("wdf.rtq",,$AB24,F$5)</f>
        <v>9.0000000000000011E-2</v>
      </c>
      <c r="AG24" s="53">
        <f>RTD("wdf.rtq",,$AB24,G$5)</f>
        <v>2255</v>
      </c>
      <c r="AH24" s="15">
        <f>RTD("wdf.rtq",,$AB24,H$5)</f>
        <v>9.0000000000000011E-2</v>
      </c>
      <c r="AI24" s="53">
        <f>RTD("wdf.rtq",,$AB24,I$5)</f>
        <v>7</v>
      </c>
      <c r="AJ24" s="15">
        <f>RTD("wdf.rtq",,$AB24,J$5)</f>
        <v>0.10500000000000001</v>
      </c>
      <c r="AK24" s="54">
        <f>RTD("wdf.rtq",,$AB24,K$5)</f>
        <v>7</v>
      </c>
      <c r="AL24" s="15">
        <f>[1]!s_dq_presettle(AB24,"")</f>
        <v>0.1246</v>
      </c>
      <c r="AM24" s="15">
        <f t="shared" si="41"/>
        <v>0.25300000000000011</v>
      </c>
      <c r="AN24" s="3">
        <f t="shared" si="42"/>
        <v>9000.0000000000018</v>
      </c>
      <c r="AO24" s="15">
        <f t="shared" si="43"/>
        <v>0.19735999999999987</v>
      </c>
      <c r="AP24" s="14">
        <f t="shared" si="44"/>
        <v>0.24500000000000002</v>
      </c>
      <c r="AQ24" s="8">
        <f t="shared" si="45"/>
        <v>40200.01</v>
      </c>
      <c r="AR24" s="55">
        <f ca="1">IF(NOW()-TODAY()&gt;15/24, AG24, [1]!s_dq_volume(AB24,AR$2,1))/AI$2</f>
        <v>347.7</v>
      </c>
      <c r="AS24" s="110"/>
      <c r="AT24" s="110"/>
      <c r="AU24" s="110"/>
      <c r="AV24" s="110"/>
      <c r="AY24" s="10"/>
      <c r="AZ24" s="10"/>
      <c r="BA24" s="6">
        <f t="shared" ca="1" si="32"/>
        <v>1404.4394342964392</v>
      </c>
      <c r="BB24" s="6">
        <f t="shared" ca="1" si="33"/>
        <v>-26485.560565703559</v>
      </c>
      <c r="BC24" s="6">
        <f t="shared" ca="1" si="34"/>
        <v>7174.4194342964402</v>
      </c>
      <c r="BD24" s="12">
        <f t="shared" ca="1" si="35"/>
        <v>7194.4394342964406</v>
      </c>
      <c r="BE24" s="2">
        <f t="shared" ca="1" si="12"/>
        <v>9.5793454968173264E-3</v>
      </c>
      <c r="BF24" s="2">
        <f t="shared" ca="1" si="13"/>
        <v>-0.17882211998473013</v>
      </c>
      <c r="BG24" s="2">
        <f t="shared" ca="1" si="14"/>
        <v>4.8928324565393963E-2</v>
      </c>
      <c r="BH24" s="13">
        <f t="shared" ca="1" si="15"/>
        <v>4.9071550765432202E-2</v>
      </c>
      <c r="BI24" s="2">
        <f t="shared" ca="1" si="16"/>
        <v>5.6394533973198775E-2</v>
      </c>
      <c r="BJ24" s="2">
        <f t="shared" ca="1" si="17"/>
        <v>-1.0527431257165563</v>
      </c>
      <c r="BK24" s="2">
        <f t="shared" ca="1" si="18"/>
        <v>0.28804578171562578</v>
      </c>
      <c r="BL24" s="40">
        <f t="shared" ca="1" si="19"/>
        <v>0.28888896821585086</v>
      </c>
      <c r="BN24" s="6">
        <f t="shared" ca="1" si="36"/>
        <v>-1775.885507226767</v>
      </c>
      <c r="BO24" s="6">
        <f t="shared" ca="1" si="37"/>
        <v>-7565.8855072267688</v>
      </c>
      <c r="BP24" s="6">
        <f t="shared" ca="1" si="38"/>
        <v>26074.114492773231</v>
      </c>
      <c r="BQ24" s="12">
        <f t="shared" ca="1" si="39"/>
        <v>26114.114492773231</v>
      </c>
      <c r="BR24" s="2">
        <f t="shared" ca="1" si="20"/>
        <v>-1.5140067394925507E-2</v>
      </c>
      <c r="BS24" s="2">
        <f t="shared" ca="1" si="21"/>
        <v>-0.18781880301276671</v>
      </c>
      <c r="BT24" s="2">
        <f t="shared" ca="1" si="22"/>
        <v>0.6477922244137555</v>
      </c>
      <c r="BU24" s="13">
        <f t="shared" ca="1" si="23"/>
        <v>0.64878631740810699</v>
      </c>
      <c r="BV24" s="2">
        <f t="shared" ca="1" si="24"/>
        <v>-8.9131041921738874E-2</v>
      </c>
      <c r="BW24" s="2">
        <f t="shared" ca="1" si="25"/>
        <v>-1.1057074693493525</v>
      </c>
      <c r="BX24" s="2">
        <f t="shared" ca="1" si="26"/>
        <v>3.813615514693883</v>
      </c>
      <c r="BY24" s="13">
        <f t="shared" ca="1" si="27"/>
        <v>3.8194678363541783</v>
      </c>
      <c r="CB24" s="17"/>
      <c r="CC24" s="94"/>
      <c r="CD24" s="94"/>
      <c r="CE24" s="94"/>
      <c r="CF24" s="39" t="str">
        <f t="shared" si="28"/>
        <v>C2020-05-3500.CFE</v>
      </c>
      <c r="CG24" s="39" t="str">
        <f t="shared" si="29"/>
        <v>P2020-05-3500.CFE</v>
      </c>
      <c r="CH24" s="95" t="s">
        <v>406</v>
      </c>
      <c r="CI24" s="100" t="str">
        <f>IF([1]!w_info_callput(CH24)="认购","C","P")</f>
        <v>C</v>
      </c>
      <c r="CJ24" s="101">
        <f>[1]!w_info_strikeprice(CH24,"")</f>
        <v>3.5</v>
      </c>
      <c r="CK24" s="102" t="str">
        <f>[1]!w_info_lasttradingdate(CH24)</f>
        <v>2020-05-27</v>
      </c>
      <c r="CL24" s="39" t="str">
        <f t="shared" si="30"/>
        <v>10002462.SH</v>
      </c>
      <c r="CM24" s="17"/>
      <c r="CN24" s="17"/>
    </row>
    <row r="25" spans="1:92" ht="16.2" customHeight="1">
      <c r="A25" s="35">
        <f t="shared" si="2"/>
        <v>1</v>
      </c>
      <c r="B25" s="17" t="s">
        <v>407</v>
      </c>
      <c r="C25" s="29" t="str">
        <f>IF([1]!w_info_callput(B25)="认购","C","P")</f>
        <v>C</v>
      </c>
      <c r="D25" s="96">
        <f>[1]!w_info_strikeprice(B25,"")</f>
        <v>3.6</v>
      </c>
      <c r="E25" s="18" t="str">
        <f>[1]!w_info_lasttradingdate(B25)</f>
        <v>2020-05-27</v>
      </c>
      <c r="F25" s="15">
        <f>IF(G25&gt;0,RTD("wdf.rtq",,$B25,F$5),0)</f>
        <v>0.26100000000000001</v>
      </c>
      <c r="G25" s="53">
        <f>RTD("wdf.rtq",,$B25,G$5)</f>
        <v>1386</v>
      </c>
      <c r="H25" s="15">
        <f>RTD("wdf.rtq",,$B25,H$5)</f>
        <v>0.21250000000000002</v>
      </c>
      <c r="I25" s="53">
        <f>RTD("wdf.rtq",,$B25,I$5)</f>
        <v>5</v>
      </c>
      <c r="J25" s="15">
        <f>RTD("wdf.rtq",,$B25,J$5)</f>
        <v>0.314</v>
      </c>
      <c r="K25" s="54">
        <f>RTD("wdf.rtq",,$B25,K$5)</f>
        <v>5</v>
      </c>
      <c r="L25" s="15">
        <f>[1]!s_dq_presettle(B25,"")</f>
        <v>0.2198</v>
      </c>
      <c r="M25" s="15">
        <f t="shared" si="3"/>
        <v>0</v>
      </c>
      <c r="N25" s="3">
        <f t="shared" si="40"/>
        <v>11800</v>
      </c>
      <c r="O25" s="15">
        <f t="shared" si="4"/>
        <v>0.45035999999999998</v>
      </c>
      <c r="P25" s="14">
        <f t="shared" si="5"/>
        <v>1.8270000000000002E-2</v>
      </c>
      <c r="Q25" s="8">
        <f t="shared" si="6"/>
        <v>85363.209999999992</v>
      </c>
      <c r="R25" s="55">
        <f ca="1">IF(NOW()-TODAY()&gt;15/24, G25, [1]!s_dq_volume(B25,R$2,1))/$AI$2</f>
        <v>184.7</v>
      </c>
      <c r="S25" s="110"/>
      <c r="T25" s="110"/>
      <c r="U25" s="110"/>
      <c r="V25" s="110"/>
      <c r="W25" s="110"/>
      <c r="X25" s="110"/>
      <c r="Y25" s="110"/>
      <c r="Z25" s="110"/>
      <c r="AA25" s="110"/>
      <c r="AB25" s="61" t="s">
        <v>416</v>
      </c>
      <c r="AC25" s="29" t="str">
        <f>IF([1]!w_info_callput(AB25)="认购","C","P")</f>
        <v>P</v>
      </c>
      <c r="AD25" s="31">
        <f>[1]!w_info_strikeprice(AB25,"")</f>
        <v>3.6</v>
      </c>
      <c r="AE25" s="18" t="str">
        <f>[1]!w_info_lasttradingdate(AB25)</f>
        <v>2020-05-27</v>
      </c>
      <c r="AF25" s="15">
        <f>RTD("wdf.rtq",,$AB25,F$5)</f>
        <v>0.11800000000000001</v>
      </c>
      <c r="AG25" s="53">
        <f>RTD("wdf.rtq",,$AB25,G$5)</f>
        <v>2069</v>
      </c>
      <c r="AH25" s="15">
        <f>RTD("wdf.rtq",,$AB25,H$5)</f>
        <v>0.11800000000000001</v>
      </c>
      <c r="AI25" s="53">
        <f>RTD("wdf.rtq",,$AB25,I$5)</f>
        <v>5</v>
      </c>
      <c r="AJ25" s="15">
        <f>RTD("wdf.rtq",,$AB25,J$5)</f>
        <v>0.1399</v>
      </c>
      <c r="AK25" s="54">
        <f>RTD("wdf.rtq",,$AB25,K$5)</f>
        <v>3</v>
      </c>
      <c r="AL25" s="15">
        <f>[1]!s_dq_presettle(AB25,"")</f>
        <v>0.1661</v>
      </c>
      <c r="AM25" s="15">
        <f t="shared" si="41"/>
        <v>0.15300000000000002</v>
      </c>
      <c r="AN25" s="3">
        <f t="shared" si="42"/>
        <v>11800</v>
      </c>
      <c r="AO25" s="15">
        <f t="shared" si="43"/>
        <v>0.29735999999999996</v>
      </c>
      <c r="AP25" s="14">
        <f t="shared" si="44"/>
        <v>0.25200000000000006</v>
      </c>
      <c r="AQ25" s="8">
        <f t="shared" si="45"/>
        <v>49843.209999999992</v>
      </c>
      <c r="AR25" s="55">
        <f ca="1">IF(NOW()-TODAY()&gt;15/24, AG25, [1]!s_dq_volume(AB25,AR$2,1))/AI$2</f>
        <v>311.2</v>
      </c>
      <c r="AS25" s="110"/>
      <c r="AT25" s="110"/>
      <c r="AU25" s="110"/>
      <c r="AV25" s="110"/>
      <c r="AY25" s="10"/>
      <c r="AZ25" s="10"/>
      <c r="BA25" s="6">
        <f t="shared" ca="1" si="32"/>
        <v>2594.4394342964524</v>
      </c>
      <c r="BB25" s="6">
        <f t="shared" ca="1" si="33"/>
        <v>-4445.5605657035467</v>
      </c>
      <c r="BC25" s="6">
        <f t="shared" ca="1" si="34"/>
        <v>7874.419434296452</v>
      </c>
      <c r="BD25" s="12">
        <f t="shared" ca="1" si="35"/>
        <v>7894.4394342964524</v>
      </c>
      <c r="BE25" s="2">
        <f t="shared" ca="1" si="12"/>
        <v>1.8245104415815339E-2</v>
      </c>
      <c r="BF25" s="2">
        <f t="shared" ca="1" si="13"/>
        <v>-3.0788731136513228E-2</v>
      </c>
      <c r="BG25" s="2">
        <f t="shared" ca="1" si="14"/>
        <v>5.5368184328238444E-2</v>
      </c>
      <c r="BH25" s="13">
        <f t="shared" ca="1" si="15"/>
        <v>5.5516760144423118E-2</v>
      </c>
      <c r="BI25" s="2">
        <f t="shared" ca="1" si="16"/>
        <v>0.10741069535117095</v>
      </c>
      <c r="BJ25" s="2">
        <f t="shared" ca="1" si="17"/>
        <v>-0.18125623975527946</v>
      </c>
      <c r="BK25" s="2">
        <f t="shared" ca="1" si="18"/>
        <v>0.32595785935172633</v>
      </c>
      <c r="BL25" s="40">
        <f t="shared" ca="1" si="19"/>
        <v>0.32683253955991032</v>
      </c>
      <c r="BN25" s="6">
        <f t="shared" ca="1" si="36"/>
        <v>-2965.8855072267802</v>
      </c>
      <c r="BO25" s="6">
        <f t="shared" ca="1" si="37"/>
        <v>-8265.8855072267797</v>
      </c>
      <c r="BP25" s="6">
        <f t="shared" ca="1" si="38"/>
        <v>4034.1144927732184</v>
      </c>
      <c r="BQ25" s="12">
        <f t="shared" ca="1" si="39"/>
        <v>4074.1144927732184</v>
      </c>
      <c r="BR25" s="2">
        <f t="shared" ca="1" si="20"/>
        <v>-2.4525584607231331E-2</v>
      </c>
      <c r="BS25" s="2">
        <f t="shared" ca="1" si="21"/>
        <v>-0.16558397892725696</v>
      </c>
      <c r="BT25" s="2">
        <f t="shared" ca="1" si="22"/>
        <v>8.0828642953155699E-2</v>
      </c>
      <c r="BU25" s="13">
        <f t="shared" ca="1" si="23"/>
        <v>8.1630126819061316E-2</v>
      </c>
      <c r="BV25" s="2">
        <f t="shared" ca="1" si="24"/>
        <v>-0.14438449002644249</v>
      </c>
      <c r="BW25" s="2">
        <f t="shared" ca="1" si="25"/>
        <v>-0.97480890820078703</v>
      </c>
      <c r="BX25" s="2">
        <f t="shared" ca="1" si="26"/>
        <v>0.475846043191965</v>
      </c>
      <c r="BY25" s="13">
        <f t="shared" ca="1" si="27"/>
        <v>0.48056445627350614</v>
      </c>
      <c r="CB25" s="17"/>
      <c r="CC25" s="94"/>
      <c r="CD25" s="94"/>
      <c r="CE25" s="94"/>
      <c r="CF25" s="39" t="str">
        <f t="shared" si="28"/>
        <v>C2020-05-3600.CFE</v>
      </c>
      <c r="CG25" s="39" t="str">
        <f t="shared" si="29"/>
        <v>P2020-05-3600.CFE</v>
      </c>
      <c r="CH25" s="95" t="s">
        <v>407</v>
      </c>
      <c r="CI25" s="100" t="str">
        <f>IF([1]!w_info_callput(CH25)="认购","C","P")</f>
        <v>C</v>
      </c>
      <c r="CJ25" s="101">
        <f>[1]!w_info_strikeprice(CH25,"")</f>
        <v>3.6</v>
      </c>
      <c r="CK25" s="102" t="str">
        <f>[1]!w_info_lasttradingdate(CH25)</f>
        <v>2020-05-27</v>
      </c>
      <c r="CL25" s="39" t="str">
        <f t="shared" si="30"/>
        <v>10002463.SH</v>
      </c>
      <c r="CM25" s="17"/>
      <c r="CN25" s="17"/>
    </row>
    <row r="26" spans="1:92" ht="16.2" customHeight="1">
      <c r="A26" s="35">
        <f t="shared" si="2"/>
        <v>1</v>
      </c>
      <c r="B26" s="17" t="s">
        <v>408</v>
      </c>
      <c r="C26" s="29" t="str">
        <f>IF([1]!w_info_callput(B26)="认购","C","P")</f>
        <v>C</v>
      </c>
      <c r="D26" s="96">
        <f>[1]!w_info_strikeprice(B26,"")</f>
        <v>3.7</v>
      </c>
      <c r="E26" s="18" t="str">
        <f>[1]!w_info_lasttradingdate(B26)</f>
        <v>2020-05-27</v>
      </c>
      <c r="F26" s="15">
        <f>IF(G26&gt;0,RTD("wdf.rtq",,$B26,F$5),0)</f>
        <v>0.20400000000000001</v>
      </c>
      <c r="G26" s="53">
        <f>RTD("wdf.rtq",,$B26,G$5)</f>
        <v>3340</v>
      </c>
      <c r="H26" s="15">
        <f>RTD("wdf.rtq",,$B26,H$5)</f>
        <v>0.20330000000000001</v>
      </c>
      <c r="I26" s="53">
        <f>RTD("wdf.rtq",,$B26,I$5)</f>
        <v>5</v>
      </c>
      <c r="J26" s="15">
        <f>RTD("wdf.rtq",,$B26,J$5)</f>
        <v>0.25630000000000003</v>
      </c>
      <c r="K26" s="54">
        <f>RTD("wdf.rtq",,$B26,K$5)</f>
        <v>6</v>
      </c>
      <c r="L26" s="15">
        <f>[1]!s_dq_presettle(B26,"")</f>
        <v>0.16600000000000001</v>
      </c>
      <c r="M26" s="15">
        <f t="shared" si="3"/>
        <v>0</v>
      </c>
      <c r="N26" s="3">
        <f t="shared" si="40"/>
        <v>19480</v>
      </c>
      <c r="O26" s="15">
        <f t="shared" si="4"/>
        <v>0.45035999999999998</v>
      </c>
      <c r="P26" s="14">
        <f t="shared" si="5"/>
        <v>1.4280000000000003E-2</v>
      </c>
      <c r="Q26" s="8">
        <f t="shared" si="6"/>
        <v>78523.210000000006</v>
      </c>
      <c r="R26" s="55">
        <f ca="1">IF(NOW()-TODAY()&gt;15/24, G26, [1]!s_dq_volume(B26,R$2,1))/$AI$2</f>
        <v>512.29999999999995</v>
      </c>
      <c r="S26" s="110"/>
      <c r="T26" s="110"/>
      <c r="U26" s="110"/>
      <c r="V26" s="110"/>
      <c r="W26" s="110"/>
      <c r="X26" s="110"/>
      <c r="Y26" s="110"/>
      <c r="Z26" s="110"/>
      <c r="AA26" s="110"/>
      <c r="AB26" s="61" t="s">
        <v>417</v>
      </c>
      <c r="AC26" s="29" t="str">
        <f>IF([1]!w_info_callput(AB26)="认购","C","P")</f>
        <v>P</v>
      </c>
      <c r="AD26" s="31">
        <f>[1]!w_info_strikeprice(AB26,"")</f>
        <v>3.7</v>
      </c>
      <c r="AE26" s="18" t="str">
        <f>[1]!w_info_lasttradingdate(AB26)</f>
        <v>2020-05-27</v>
      </c>
      <c r="AF26" s="15">
        <f>RTD("wdf.rtq",,$AB26,F$5)</f>
        <v>0.1948</v>
      </c>
      <c r="AG26" s="53">
        <f>RTD("wdf.rtq",,$AB26,G$5)</f>
        <v>4492</v>
      </c>
      <c r="AH26" s="15">
        <f>RTD("wdf.rtq",,$AB26,H$5)</f>
        <v>0.16</v>
      </c>
      <c r="AI26" s="53">
        <f>RTD("wdf.rtq",,$AB26,I$5)</f>
        <v>34</v>
      </c>
      <c r="AJ26" s="15">
        <f>RTD("wdf.rtq",,$AB26,J$5)</f>
        <v>0.1948</v>
      </c>
      <c r="AK26" s="54">
        <f>RTD("wdf.rtq",,$AB26,K$5)</f>
        <v>5</v>
      </c>
      <c r="AL26" s="15">
        <f>[1]!s_dq_presettle(AB26,"")</f>
        <v>0.21740000000000001</v>
      </c>
      <c r="AM26" s="15">
        <f t="shared" si="41"/>
        <v>5.2999999999999936E-2</v>
      </c>
      <c r="AN26" s="3">
        <f t="shared" si="42"/>
        <v>19480</v>
      </c>
      <c r="AO26" s="15">
        <f t="shared" si="43"/>
        <v>0.39736000000000005</v>
      </c>
      <c r="AP26" s="14">
        <f t="shared" si="44"/>
        <v>0.25900000000000006</v>
      </c>
      <c r="AQ26" s="8">
        <f t="shared" si="45"/>
        <v>71059.209999999992</v>
      </c>
      <c r="AR26" s="55">
        <f ca="1">IF(NOW()-TODAY()&gt;15/24, AG26, [1]!s_dq_volume(AB26,AR$2,1))/AI$2</f>
        <v>936.5</v>
      </c>
      <c r="AS26" s="110"/>
      <c r="AT26" s="110"/>
      <c r="AU26" s="110"/>
      <c r="AV26" s="110"/>
      <c r="AY26" s="10"/>
      <c r="AZ26" s="10"/>
      <c r="BA26" s="6">
        <f t="shared" ca="1" si="32"/>
        <v>-785.56056570353883</v>
      </c>
      <c r="BB26" s="6">
        <f t="shared" ca="1" si="33"/>
        <v>-855.56056570353951</v>
      </c>
      <c r="BC26" s="6">
        <f t="shared" ca="1" si="34"/>
        <v>7904.4194342964629</v>
      </c>
      <c r="BD26" s="12">
        <f t="shared" ca="1" si="35"/>
        <v>7924.4394342964633</v>
      </c>
      <c r="BE26" s="2">
        <f t="shared" ca="1" si="12"/>
        <v>-5.4919246666948092E-3</v>
      </c>
      <c r="BF26" s="2">
        <f t="shared" ca="1" si="13"/>
        <v>-5.9813009712759149E-3</v>
      </c>
      <c r="BG26" s="2">
        <f t="shared" ca="1" si="14"/>
        <v>5.6630349421639956E-2</v>
      </c>
      <c r="BH26" s="13">
        <f t="shared" ca="1" si="15"/>
        <v>5.6781916681073664E-2</v>
      </c>
      <c r="BI26" s="2">
        <f t="shared" ca="1" si="16"/>
        <v>-3.2331491989412993E-2</v>
      </c>
      <c r="BJ26" s="2">
        <f t="shared" ca="1" si="17"/>
        <v>-3.5212497653479176E-2</v>
      </c>
      <c r="BK26" s="2">
        <f t="shared" ca="1" si="18"/>
        <v>0.33338834740159007</v>
      </c>
      <c r="BL26" s="40">
        <f t="shared" ca="1" si="19"/>
        <v>0.33428063852567563</v>
      </c>
      <c r="BN26" s="6">
        <f t="shared" ca="1" si="36"/>
        <v>414.114492773211</v>
      </c>
      <c r="BO26" s="6">
        <f t="shared" ca="1" si="37"/>
        <v>-8295.8855072267907</v>
      </c>
      <c r="BP26" s="6">
        <f t="shared" ca="1" si="38"/>
        <v>444.11449277321162</v>
      </c>
      <c r="BQ26" s="12">
        <f t="shared" ca="1" si="39"/>
        <v>484.11449277321162</v>
      </c>
      <c r="BR26" s="2">
        <f t="shared" ca="1" si="20"/>
        <v>3.0350005196240347E-3</v>
      </c>
      <c r="BS26" s="2">
        <f t="shared" ca="1" si="21"/>
        <v>-0.11663019369525773</v>
      </c>
      <c r="BT26" s="2">
        <f t="shared" ca="1" si="22"/>
        <v>6.2441802604964337E-3</v>
      </c>
      <c r="BU26" s="13">
        <f t="shared" ca="1" si="23"/>
        <v>6.8065759141260965E-3</v>
      </c>
      <c r="BV26" s="2">
        <f t="shared" ca="1" si="24"/>
        <v>1.7867341768754399E-2</v>
      </c>
      <c r="BW26" s="2">
        <f t="shared" ca="1" si="25"/>
        <v>-0.68661323707692046</v>
      </c>
      <c r="BX26" s="2">
        <f t="shared" ca="1" si="26"/>
        <v>3.6760093469051583E-2</v>
      </c>
      <c r="BY26" s="13">
        <f t="shared" ca="1" si="27"/>
        <v>4.0070971107355247E-2</v>
      </c>
      <c r="CB26" s="17"/>
      <c r="CC26" s="94"/>
      <c r="CD26" s="94"/>
      <c r="CE26" s="94"/>
      <c r="CF26" s="39" t="str">
        <f t="shared" si="28"/>
        <v>C2020-05-3700.CFE</v>
      </c>
      <c r="CG26" s="39" t="str">
        <f t="shared" si="29"/>
        <v>P2020-05-3700.CFE</v>
      </c>
      <c r="CH26" s="95" t="s">
        <v>408</v>
      </c>
      <c r="CI26" s="100" t="str">
        <f>IF([1]!w_info_callput(CH26)="认购","C","P")</f>
        <v>C</v>
      </c>
      <c r="CJ26" s="101">
        <f>[1]!w_info_strikeprice(CH26,"")</f>
        <v>3.7</v>
      </c>
      <c r="CK26" s="102" t="str">
        <f>[1]!w_info_lasttradingdate(CH26)</f>
        <v>2020-05-27</v>
      </c>
      <c r="CL26" s="39" t="str">
        <f t="shared" si="30"/>
        <v>10002464.SH</v>
      </c>
      <c r="CM26" s="17"/>
      <c r="CN26" s="17"/>
    </row>
    <row r="27" spans="1:92" ht="16.2" customHeight="1">
      <c r="A27" s="35">
        <f t="shared" si="2"/>
        <v>1</v>
      </c>
      <c r="B27" s="17" t="s">
        <v>409</v>
      </c>
      <c r="C27" s="29" t="str">
        <f>IF([1]!w_info_callput(B27)="认购","C","P")</f>
        <v>C</v>
      </c>
      <c r="D27" s="96">
        <f>[1]!w_info_strikeprice(B27,"")</f>
        <v>3.8</v>
      </c>
      <c r="E27" s="18" t="str">
        <f>[1]!w_info_lasttradingdate(B27)</f>
        <v>2020-05-27</v>
      </c>
      <c r="F27" s="15">
        <f>IF(G27&gt;0,RTD("wdf.rtq",,$B27,F$5),0)</f>
        <v>0.1545</v>
      </c>
      <c r="G27" s="53">
        <f>RTD("wdf.rtq",,$B27,G$5)</f>
        <v>2979</v>
      </c>
      <c r="H27" s="15">
        <f>RTD("wdf.rtq",,$B27,H$5)</f>
        <v>0.1545</v>
      </c>
      <c r="I27" s="53">
        <f>RTD("wdf.rtq",,$B27,I$5)</f>
        <v>2</v>
      </c>
      <c r="J27" s="15">
        <f>RTD("wdf.rtq",,$B27,J$5)</f>
        <v>0.2087</v>
      </c>
      <c r="K27" s="54">
        <f>RTD("wdf.rtq",,$B27,K$5)</f>
        <v>5</v>
      </c>
      <c r="L27" s="15">
        <f>[1]!s_dq_presettle(B27,"")</f>
        <v>0.1258</v>
      </c>
      <c r="M27" s="15">
        <f t="shared" si="3"/>
        <v>4.6999999999999709E-2</v>
      </c>
      <c r="N27" s="3">
        <f t="shared" si="40"/>
        <v>22340</v>
      </c>
      <c r="O27" s="15">
        <f t="shared" si="4"/>
        <v>0.40336000000000027</v>
      </c>
      <c r="P27" s="14">
        <f t="shared" si="5"/>
        <v>1.0815000000000002E-2</v>
      </c>
      <c r="Q27" s="8">
        <f t="shared" si="6"/>
        <v>66943.210000000021</v>
      </c>
      <c r="R27" s="55">
        <f ca="1">IF(NOW()-TODAY()&gt;15/24, G27, [1]!s_dq_volume(B27,R$2,1))/$AI$2</f>
        <v>462.5</v>
      </c>
      <c r="S27" s="110"/>
      <c r="T27" s="110"/>
      <c r="U27" s="110"/>
      <c r="V27" s="110"/>
      <c r="W27" s="110"/>
      <c r="X27" s="110"/>
      <c r="Y27" s="110"/>
      <c r="Z27" s="110"/>
      <c r="AA27" s="110"/>
      <c r="AB27" s="61" t="s">
        <v>418</v>
      </c>
      <c r="AC27" s="29" t="str">
        <f>IF([1]!w_info_callput(AB27)="认购","C","P")</f>
        <v>P</v>
      </c>
      <c r="AD27" s="31">
        <f>[1]!w_info_strikeprice(AB27,"")</f>
        <v>3.8</v>
      </c>
      <c r="AE27" s="18" t="str">
        <f>[1]!w_info_lasttradingdate(AB27)</f>
        <v>2020-05-27</v>
      </c>
      <c r="AF27" s="15">
        <f>RTD("wdf.rtq",,$AB27,F$5)</f>
        <v>0.22340000000000002</v>
      </c>
      <c r="AG27" s="53">
        <f>RTD("wdf.rtq",,$AB27,G$5)</f>
        <v>1516</v>
      </c>
      <c r="AH27" s="15">
        <f>RTD("wdf.rtq",,$AB27,H$5)</f>
        <v>0.19370000000000001</v>
      </c>
      <c r="AI27" s="53">
        <f>RTD("wdf.rtq",,$AB27,I$5)</f>
        <v>35</v>
      </c>
      <c r="AJ27" s="15">
        <f>RTD("wdf.rtq",,$AB27,J$5)</f>
        <v>0.254</v>
      </c>
      <c r="AK27" s="54">
        <f>RTD("wdf.rtq",,$AB27,K$5)</f>
        <v>5</v>
      </c>
      <c r="AL27" s="15">
        <f>[1]!s_dq_presettle(AB27,"")</f>
        <v>0.27379999999999999</v>
      </c>
      <c r="AM27" s="15">
        <f t="shared" si="41"/>
        <v>0</v>
      </c>
      <c r="AN27" s="3">
        <f t="shared" si="42"/>
        <v>22340</v>
      </c>
      <c r="AO27" s="15">
        <f t="shared" si="43"/>
        <v>0.45035999999999998</v>
      </c>
      <c r="AP27" s="14">
        <f t="shared" si="44"/>
        <v>0.26600000000000001</v>
      </c>
      <c r="AQ27" s="8">
        <f t="shared" si="45"/>
        <v>80851.209999999992</v>
      </c>
      <c r="AR27" s="55">
        <f ca="1">IF(NOW()-TODAY()&gt;15/24, AG27, [1]!s_dq_volume(AB27,AR$2,1))/AI$2</f>
        <v>285.3</v>
      </c>
      <c r="AS27" s="110"/>
      <c r="AT27" s="110"/>
      <c r="AU27" s="110"/>
      <c r="AV27" s="110"/>
      <c r="AY27" s="10"/>
      <c r="AZ27" s="10"/>
      <c r="BA27" s="6">
        <f t="shared" ca="1" si="32"/>
        <v>1404.4394342964226</v>
      </c>
      <c r="BB27" s="6">
        <f t="shared" ca="1" si="33"/>
        <v>-1655.5605657035762</v>
      </c>
      <c r="BC27" s="6">
        <f t="shared" ca="1" si="34"/>
        <v>9774.4194342964238</v>
      </c>
      <c r="BD27" s="12">
        <f t="shared" ca="1" si="35"/>
        <v>9794.4394342964242</v>
      </c>
      <c r="BE27" s="2">
        <f t="shared" ca="1" si="12"/>
        <v>1.0455983431531665E-2</v>
      </c>
      <c r="BF27" s="2">
        <f t="shared" ca="1" si="13"/>
        <v>-1.2051026976378566E-2</v>
      </c>
      <c r="BG27" s="2">
        <f t="shared" ca="1" si="14"/>
        <v>7.4404188274378918E-2</v>
      </c>
      <c r="BH27" s="13">
        <f t="shared" ca="1" si="15"/>
        <v>7.4567935614507488E-2</v>
      </c>
      <c r="BI27" s="2">
        <f t="shared" ca="1" si="16"/>
        <v>6.1555386330791252E-2</v>
      </c>
      <c r="BJ27" s="2">
        <f t="shared" ca="1" si="17"/>
        <v>-7.0945562038357682E-2</v>
      </c>
      <c r="BK27" s="2">
        <f t="shared" ca="1" si="18"/>
        <v>0.43802465677658559</v>
      </c>
      <c r="BL27" s="40">
        <f t="shared" ca="1" si="19"/>
        <v>0.43898865321443925</v>
      </c>
      <c r="BN27" s="6">
        <f t="shared" ca="1" si="36"/>
        <v>-1775.8855072267504</v>
      </c>
      <c r="BO27" s="6">
        <f t="shared" ca="1" si="37"/>
        <v>-10165.885507226751</v>
      </c>
      <c r="BP27" s="6">
        <f t="shared" ca="1" si="38"/>
        <v>1244.1144927732485</v>
      </c>
      <c r="BQ27" s="12">
        <f t="shared" ca="1" si="39"/>
        <v>1284.1144927732485</v>
      </c>
      <c r="BR27" s="2">
        <f t="shared" ca="1" si="20"/>
        <v>-1.2569235497105513E-2</v>
      </c>
      <c r="BS27" s="2">
        <f t="shared" ca="1" si="21"/>
        <v>-0.12563339079013355</v>
      </c>
      <c r="BT27" s="2">
        <f t="shared" ca="1" si="22"/>
        <v>1.5376206399122468E-2</v>
      </c>
      <c r="BU27" s="13">
        <f t="shared" ca="1" si="23"/>
        <v>1.5870576603892867E-2</v>
      </c>
      <c r="BV27" s="2">
        <f t="shared" ca="1" si="24"/>
        <v>-7.39963057490889E-2</v>
      </c>
      <c r="BW27" s="2">
        <f t="shared" ca="1" si="25"/>
        <v>-0.73961592965159262</v>
      </c>
      <c r="BX27" s="2">
        <f t="shared" ca="1" si="26"/>
        <v>9.052121509160807E-2</v>
      </c>
      <c r="BY27" s="13">
        <f t="shared" ca="1" si="27"/>
        <v>9.3431620329369303E-2</v>
      </c>
      <c r="CB27" s="17"/>
      <c r="CC27" s="94"/>
      <c r="CD27" s="94"/>
      <c r="CE27" s="94"/>
      <c r="CF27" s="39" t="str">
        <f t="shared" si="28"/>
        <v>C2020-05-3800.CFE</v>
      </c>
      <c r="CG27" s="39" t="str">
        <f t="shared" si="29"/>
        <v>P2020-05-3800.CFE</v>
      </c>
      <c r="CH27" s="17" t="s">
        <v>409</v>
      </c>
      <c r="CI27" s="100" t="str">
        <f>IF([1]!w_info_callput(CH27)="认购","C","P")</f>
        <v>C</v>
      </c>
      <c r="CJ27" s="101">
        <f>[1]!w_info_strikeprice(CH27,"")</f>
        <v>3.8</v>
      </c>
      <c r="CK27" s="102" t="str">
        <f>[1]!w_info_lasttradingdate(CH27)</f>
        <v>2020-05-27</v>
      </c>
      <c r="CL27" s="39" t="str">
        <f t="shared" si="30"/>
        <v>10002465.SH</v>
      </c>
      <c r="CM27" s="17"/>
      <c r="CN27" s="17"/>
    </row>
    <row r="28" spans="1:92" ht="16.2" customHeight="1">
      <c r="A28" s="35">
        <f t="shared" si="2"/>
        <v>1</v>
      </c>
      <c r="B28" s="17" t="s">
        <v>410</v>
      </c>
      <c r="C28" s="29" t="str">
        <f>IF([1]!w_info_callput(B28)="认购","C","P")</f>
        <v>C</v>
      </c>
      <c r="D28" s="96">
        <f>[1]!w_info_strikeprice(B28,"")</f>
        <v>3.9</v>
      </c>
      <c r="E28" s="18" t="str">
        <f>[1]!w_info_lasttradingdate(B28)</f>
        <v>2020-05-27</v>
      </c>
      <c r="F28" s="15">
        <f>IF(G28&gt;0,RTD("wdf.rtq",,$B28,F$5),0)</f>
        <v>0.11600000000000001</v>
      </c>
      <c r="G28" s="53">
        <f>RTD("wdf.rtq",,$B28,G$5)</f>
        <v>2134</v>
      </c>
      <c r="H28" s="15">
        <f>RTD("wdf.rtq",,$B28,H$5)</f>
        <v>0.10110000000000001</v>
      </c>
      <c r="I28" s="53">
        <f>RTD("wdf.rtq",,$B28,I$5)</f>
        <v>7</v>
      </c>
      <c r="J28" s="15">
        <f>RTD("wdf.rtq",,$B28,J$5)</f>
        <v>0.1198</v>
      </c>
      <c r="K28" s="54">
        <f>RTD("wdf.rtq",,$B28,K$5)</f>
        <v>5</v>
      </c>
      <c r="L28" s="15">
        <f>[1]!s_dq_presettle(B28,"")</f>
        <v>9.4799999999999995E-2</v>
      </c>
      <c r="M28" s="15">
        <f t="shared" si="3"/>
        <v>0.1469999999999998</v>
      </c>
      <c r="N28" s="3">
        <f t="shared" si="40"/>
        <v>28450.000000000004</v>
      </c>
      <c r="O28" s="15">
        <f t="shared" si="4"/>
        <v>0.30336000000000019</v>
      </c>
      <c r="P28" s="14">
        <f t="shared" si="5"/>
        <v>8.1200000000000005E-3</v>
      </c>
      <c r="Q28" s="8">
        <f t="shared" si="6"/>
        <v>50323.210000000021</v>
      </c>
      <c r="R28" s="55">
        <f ca="1">IF(NOW()-TODAY()&gt;15/24, G28, [1]!s_dq_volume(B28,R$2,1))/$AI$2</f>
        <v>354</v>
      </c>
      <c r="S28" s="110"/>
      <c r="T28" s="110"/>
      <c r="U28" s="110"/>
      <c r="V28" s="110"/>
      <c r="W28" s="110"/>
      <c r="X28" s="110"/>
      <c r="Y28" s="110"/>
      <c r="Z28" s="110"/>
      <c r="AA28" s="110"/>
      <c r="AB28" s="61" t="s">
        <v>419</v>
      </c>
      <c r="AC28" s="29" t="str">
        <f>IF([1]!w_info_callput(AB28)="认购","C","P")</f>
        <v>P</v>
      </c>
      <c r="AD28" s="31">
        <f>[1]!w_info_strikeprice(AB28,"")</f>
        <v>3.9</v>
      </c>
      <c r="AE28" s="18" t="str">
        <f>[1]!w_info_lasttradingdate(AB28)</f>
        <v>2020-05-27</v>
      </c>
      <c r="AF28" s="15">
        <f>RTD("wdf.rtq",,$AB28,F$5)</f>
        <v>0.28450000000000003</v>
      </c>
      <c r="AG28" s="53">
        <f>RTD("wdf.rtq",,$AB28,G$5)</f>
        <v>724</v>
      </c>
      <c r="AH28" s="15">
        <f>RTD("wdf.rtq",,$AB28,H$5)</f>
        <v>0.23280000000000001</v>
      </c>
      <c r="AI28" s="53">
        <f>RTD("wdf.rtq",,$AB28,I$5)</f>
        <v>9</v>
      </c>
      <c r="AJ28" s="15">
        <f>RTD("wdf.rtq",,$AB28,J$5)</f>
        <v>0.2888</v>
      </c>
      <c r="AK28" s="54">
        <f>RTD("wdf.rtq",,$AB28,K$5)</f>
        <v>9</v>
      </c>
      <c r="AL28" s="15">
        <f>[1]!s_dq_presettle(AB28,"")</f>
        <v>0.33950000000000002</v>
      </c>
      <c r="AM28" s="15">
        <f t="shared" si="41"/>
        <v>0</v>
      </c>
      <c r="AN28" s="3">
        <f t="shared" si="42"/>
        <v>28450.000000000004</v>
      </c>
      <c r="AO28" s="15">
        <f t="shared" si="43"/>
        <v>0.45035999999999998</v>
      </c>
      <c r="AP28" s="14">
        <f t="shared" si="44"/>
        <v>0.27300000000000002</v>
      </c>
      <c r="AQ28" s="8">
        <f t="shared" si="45"/>
        <v>88183.209999999992</v>
      </c>
      <c r="AR28" s="55">
        <f ca="1">IF(NOW()-TODAY()&gt;15/24, AG28, [1]!s_dq_volume(AB28,AR$2,1))/AI$2</f>
        <v>187.4</v>
      </c>
      <c r="AS28" s="110"/>
      <c r="AT28" s="110"/>
      <c r="AU28" s="110"/>
      <c r="AV28" s="110"/>
      <c r="AY28" s="10"/>
      <c r="AZ28" s="10"/>
      <c r="BA28" s="6">
        <f t="shared" ca="1" si="32"/>
        <v>1444.4394342964292</v>
      </c>
      <c r="BB28" s="6">
        <f t="shared" ca="1" si="33"/>
        <v>-475.56056570356469</v>
      </c>
      <c r="BC28" s="6">
        <f t="shared" ca="1" si="34"/>
        <v>6974.419434296432</v>
      </c>
      <c r="BD28" s="12">
        <f t="shared" ca="1" si="35"/>
        <v>6994.4394342964324</v>
      </c>
      <c r="BE28" s="2">
        <f t="shared" ca="1" si="12"/>
        <v>1.1666655770571745E-2</v>
      </c>
      <c r="BF28" s="2">
        <f t="shared" ca="1" si="13"/>
        <v>-3.8277816295158719E-3</v>
      </c>
      <c r="BG28" s="2">
        <f t="shared" ca="1" si="14"/>
        <v>5.8776890848139231E-2</v>
      </c>
      <c r="BH28" s="13">
        <f t="shared" ca="1" si="15"/>
        <v>5.8955546267515022E-2</v>
      </c>
      <c r="BI28" s="2">
        <f t="shared" ca="1" si="16"/>
        <v>6.8682731552559467E-2</v>
      </c>
      <c r="BJ28" s="2">
        <f t="shared" ca="1" si="17"/>
        <v>-2.2534520883440212E-2</v>
      </c>
      <c r="BK28" s="2">
        <f t="shared" ca="1" si="18"/>
        <v>0.34602524450920674</v>
      </c>
      <c r="BL28" s="40">
        <f t="shared" ca="1" si="19"/>
        <v>0.34707700625230614</v>
      </c>
      <c r="BN28" s="6">
        <f t="shared" ca="1" si="36"/>
        <v>-1815.8855072267572</v>
      </c>
      <c r="BO28" s="6">
        <f t="shared" ca="1" si="37"/>
        <v>-7365.8855072267597</v>
      </c>
      <c r="BP28" s="6">
        <f t="shared" ca="1" si="38"/>
        <v>64.114492773236805</v>
      </c>
      <c r="BQ28" s="12">
        <f t="shared" ca="1" si="39"/>
        <v>104.1144927732368</v>
      </c>
      <c r="BR28" s="2">
        <f t="shared" ca="1" si="20"/>
        <v>-1.2543221329515269E-2</v>
      </c>
      <c r="BS28" s="2">
        <f t="shared" ca="1" si="21"/>
        <v>-8.3475416220285356E-2</v>
      </c>
      <c r="BT28" s="2">
        <f t="shared" ca="1" si="22"/>
        <v>7.2660594223930141E-4</v>
      </c>
      <c r="BU28" s="13">
        <f t="shared" ca="1" si="23"/>
        <v>1.1799239609774847E-3</v>
      </c>
      <c r="BV28" s="2">
        <f t="shared" ca="1" si="24"/>
        <v>-7.3843157826985056E-2</v>
      </c>
      <c r="BW28" s="2">
        <f t="shared" ca="1" si="25"/>
        <v>-0.49142785355490576</v>
      </c>
      <c r="BX28" s="2">
        <f t="shared" ca="1" si="26"/>
        <v>4.2775994986668552E-3</v>
      </c>
      <c r="BY28" s="13">
        <f t="shared" ca="1" si="27"/>
        <v>6.9463265444642246E-3</v>
      </c>
      <c r="CB28" s="17"/>
      <c r="CC28" s="94"/>
      <c r="CD28" s="94"/>
      <c r="CE28" s="94"/>
      <c r="CF28" s="39" t="str">
        <f t="shared" si="28"/>
        <v>C2020-05-3900.CFE</v>
      </c>
      <c r="CG28" s="39" t="str">
        <f t="shared" si="29"/>
        <v>P2020-05-3900.CFE</v>
      </c>
      <c r="CH28" s="17" t="s">
        <v>410</v>
      </c>
      <c r="CI28" s="100" t="str">
        <f>IF([1]!w_info_callput(CH28)="认购","C","P")</f>
        <v>C</v>
      </c>
      <c r="CJ28" s="101">
        <f>[1]!w_info_strikeprice(CH28,"")</f>
        <v>3.9</v>
      </c>
      <c r="CK28" s="102" t="str">
        <f>[1]!w_info_lasttradingdate(CH28)</f>
        <v>2020-05-27</v>
      </c>
      <c r="CL28" s="39" t="str">
        <f t="shared" si="30"/>
        <v>10002466.SH</v>
      </c>
      <c r="CM28" s="17"/>
      <c r="CN28" s="17"/>
    </row>
    <row r="29" spans="1:92" ht="16.2" customHeight="1">
      <c r="A29" s="35">
        <f t="shared" si="2"/>
        <v>1</v>
      </c>
      <c r="B29" s="17" t="s">
        <v>411</v>
      </c>
      <c r="C29" s="29" t="str">
        <f>IF([1]!w_info_callput(B29)="认购","C","P")</f>
        <v>C</v>
      </c>
      <c r="D29" s="96">
        <f>[1]!w_info_strikeprice(B29,"")</f>
        <v>4</v>
      </c>
      <c r="E29" s="18" t="str">
        <f>[1]!w_info_lasttradingdate(B29)</f>
        <v>2020-05-27</v>
      </c>
      <c r="F29" s="15">
        <f>IF(G29&gt;0,RTD("wdf.rtq",,$B29,F$5),0)</f>
        <v>8.8099999999999998E-2</v>
      </c>
      <c r="G29" s="53">
        <f>RTD("wdf.rtq",,$B29,G$5)</f>
        <v>2677</v>
      </c>
      <c r="H29" s="15">
        <f>RTD("wdf.rtq",,$B29,H$5)</f>
        <v>7.5200000000000003E-2</v>
      </c>
      <c r="I29" s="53">
        <f>RTD("wdf.rtq",,$B29,I$5)</f>
        <v>29</v>
      </c>
      <c r="J29" s="15">
        <f>RTD("wdf.rtq",,$B29,J$5)</f>
        <v>9.0999999999999998E-2</v>
      </c>
      <c r="K29" s="54">
        <f>RTD("wdf.rtq",,$B29,K$5)</f>
        <v>5</v>
      </c>
      <c r="L29" s="15">
        <f>[1]!s_dq_presettle(B29,"")</f>
        <v>6.9699999999999998E-2</v>
      </c>
      <c r="M29" s="15">
        <f t="shared" si="3"/>
        <v>0.24699999999999989</v>
      </c>
      <c r="N29" s="3">
        <f t="shared" si="40"/>
        <v>35560</v>
      </c>
      <c r="O29" s="15">
        <f t="shared" si="4"/>
        <v>0.2033600000000001</v>
      </c>
      <c r="P29" s="14">
        <f t="shared" si="5"/>
        <v>6.1670000000000006E-3</v>
      </c>
      <c r="Q29" s="8">
        <f t="shared" si="6"/>
        <v>34975.210000000014</v>
      </c>
      <c r="R29" s="55">
        <f ca="1">IF(NOW()-TODAY()&gt;15/24, G29, [1]!s_dq_volume(B29,R$2,1))/$AI$2</f>
        <v>430.2</v>
      </c>
      <c r="S29" s="110"/>
      <c r="T29" s="110"/>
      <c r="U29" s="110"/>
      <c r="V29" s="110"/>
      <c r="W29" s="110"/>
      <c r="X29" s="110"/>
      <c r="Y29" s="110"/>
      <c r="Z29" s="110"/>
      <c r="AA29" s="110"/>
      <c r="AB29" s="61" t="s">
        <v>420</v>
      </c>
      <c r="AC29" s="29" t="str">
        <f>IF([1]!w_info_callput(AB29)="认购","C","P")</f>
        <v>P</v>
      </c>
      <c r="AD29" s="31">
        <f>[1]!w_info_strikeprice(AB29,"")</f>
        <v>4</v>
      </c>
      <c r="AE29" s="18" t="str">
        <f>[1]!w_info_lasttradingdate(AB29)</f>
        <v>2020-05-27</v>
      </c>
      <c r="AF29" s="15">
        <f>RTD("wdf.rtq",,$AB29,F$5)</f>
        <v>0.35560000000000003</v>
      </c>
      <c r="AG29" s="53">
        <f>RTD("wdf.rtq",,$AB29,G$5)</f>
        <v>666</v>
      </c>
      <c r="AH29" s="15">
        <f>RTD("wdf.rtq",,$AB29,H$5)</f>
        <v>0.314</v>
      </c>
      <c r="AI29" s="53">
        <f>RTD("wdf.rtq",,$AB29,I$5)</f>
        <v>34</v>
      </c>
      <c r="AJ29" s="15">
        <f>RTD("wdf.rtq",,$AB29,J$5)</f>
        <v>0.3589</v>
      </c>
      <c r="AK29" s="54">
        <f>RTD("wdf.rtq",,$AB29,K$5)</f>
        <v>3</v>
      </c>
      <c r="AL29" s="15">
        <f>[1]!s_dq_presettle(AB29,"")</f>
        <v>0.41410000000000002</v>
      </c>
      <c r="AM29" s="15">
        <f t="shared" si="41"/>
        <v>0</v>
      </c>
      <c r="AN29" s="3">
        <f t="shared" si="42"/>
        <v>35560</v>
      </c>
      <c r="AO29" s="15">
        <f t="shared" si="43"/>
        <v>0.45035999999999998</v>
      </c>
      <c r="AP29" s="14">
        <f t="shared" si="44"/>
        <v>0.28000000000000003</v>
      </c>
      <c r="AQ29" s="8">
        <f t="shared" si="45"/>
        <v>96715.209999999992</v>
      </c>
      <c r="AR29" s="55">
        <f ca="1">IF(NOW()-TODAY()&gt;15/24, AG29, [1]!s_dq_volume(AB29,AR$2,1))/AI$2</f>
        <v>76.2</v>
      </c>
      <c r="AS29" s="110"/>
      <c r="AT29" s="110"/>
      <c r="AU29" s="110"/>
      <c r="AV29" s="110"/>
      <c r="AY29" s="10"/>
      <c r="AZ29" s="10"/>
      <c r="BA29" s="6">
        <f t="shared" ca="1" si="32"/>
        <v>1544.4394342964404</v>
      </c>
      <c r="BB29" s="6">
        <f t="shared" ca="1" si="33"/>
        <v>-75.560565703558794</v>
      </c>
      <c r="BC29" s="6">
        <f t="shared" ca="1" si="34"/>
        <v>5974.4194342964411</v>
      </c>
      <c r="BD29" s="12">
        <f t="shared" ca="1" si="35"/>
        <v>5994.4394342964415</v>
      </c>
      <c r="BE29" s="2">
        <f t="shared" ca="1" si="12"/>
        <v>1.3363530885386075E-2</v>
      </c>
      <c r="BF29" s="2">
        <f t="shared" ca="1" si="13"/>
        <v>-6.5193940342433683E-4</v>
      </c>
      <c r="BG29" s="2">
        <f t="shared" ca="1" si="14"/>
        <v>5.3615315083596793E-2</v>
      </c>
      <c r="BH29" s="13">
        <f t="shared" ca="1" si="15"/>
        <v>5.3804634509367955E-2</v>
      </c>
      <c r="BI29" s="2">
        <f t="shared" ca="1" si="16"/>
        <v>7.8672399567192214E-2</v>
      </c>
      <c r="BJ29" s="2">
        <f t="shared" ca="1" si="17"/>
        <v>-3.8380303588690799E-3</v>
      </c>
      <c r="BK29" s="2">
        <f t="shared" ca="1" si="18"/>
        <v>0.31563854847601336</v>
      </c>
      <c r="BL29" s="40">
        <f t="shared" ca="1" si="19"/>
        <v>0.31675309025676296</v>
      </c>
      <c r="BN29" s="6">
        <f t="shared" ca="1" si="36"/>
        <v>-1915.8855072267684</v>
      </c>
      <c r="BO29" s="6">
        <f t="shared" ca="1" si="37"/>
        <v>-6365.8855072267697</v>
      </c>
      <c r="BP29" s="6">
        <f t="shared" ca="1" si="38"/>
        <v>-335.88550722676911</v>
      </c>
      <c r="BQ29" s="12">
        <f t="shared" ca="1" si="39"/>
        <v>-295.88550722676911</v>
      </c>
      <c r="BR29" s="2">
        <f t="shared" ca="1" si="20"/>
        <v>-1.2729098690809591E-2</v>
      </c>
      <c r="BS29" s="2">
        <f t="shared" ca="1" si="21"/>
        <v>-6.5784145393181545E-2</v>
      </c>
      <c r="BT29" s="2">
        <f t="shared" ca="1" si="22"/>
        <v>-3.4710484862033354E-3</v>
      </c>
      <c r="BU29" s="13">
        <f t="shared" ca="1" si="23"/>
        <v>-3.0576882066045028E-3</v>
      </c>
      <c r="BV29" s="2">
        <f t="shared" ca="1" si="24"/>
        <v>-7.4937435841056457E-2</v>
      </c>
      <c r="BW29" s="2">
        <f t="shared" ca="1" si="25"/>
        <v>-0.38727763013727845</v>
      </c>
      <c r="BX29" s="2">
        <f t="shared" ca="1" si="26"/>
        <v>-2.0434398346197057E-2</v>
      </c>
      <c r="BY29" s="13">
        <f t="shared" ca="1" si="27"/>
        <v>-1.8000906377591025E-2</v>
      </c>
      <c r="CB29" s="17"/>
      <c r="CC29" s="94"/>
      <c r="CD29" s="94"/>
      <c r="CE29" s="94"/>
      <c r="CF29" s="39" t="str">
        <f t="shared" si="28"/>
        <v>C2020-05-4000.CFE</v>
      </c>
      <c r="CG29" s="39" t="str">
        <f t="shared" si="29"/>
        <v>P2020-05-4000.CFE</v>
      </c>
      <c r="CH29" s="17" t="s">
        <v>411</v>
      </c>
      <c r="CI29" s="100" t="str">
        <f>IF([1]!w_info_callput(CH29)="认购","C","P")</f>
        <v>C</v>
      </c>
      <c r="CJ29" s="101">
        <f>[1]!w_info_strikeprice(CH29,"")</f>
        <v>4</v>
      </c>
      <c r="CK29" s="102" t="str">
        <f>[1]!w_info_lasttradingdate(CH29)</f>
        <v>2020-05-27</v>
      </c>
      <c r="CL29" s="39" t="str">
        <f t="shared" si="30"/>
        <v>10002467.SH</v>
      </c>
      <c r="CM29" s="17"/>
      <c r="CN29" s="17"/>
    </row>
    <row r="30" spans="1:92" s="128" customFormat="1" ht="16.2" customHeight="1">
      <c r="A30" s="115">
        <f t="shared" si="2"/>
        <v>1</v>
      </c>
      <c r="B30" s="135" t="s">
        <v>412</v>
      </c>
      <c r="C30" s="117" t="str">
        <f>IF([1]!w_info_callput(B30)="认购","C","P")</f>
        <v>C</v>
      </c>
      <c r="D30" s="118">
        <f>[1]!w_info_strikeprice(B30,"")</f>
        <v>4.0999999999999996</v>
      </c>
      <c r="E30" s="119" t="str">
        <f>[1]!w_info_lasttradingdate(B30)</f>
        <v>2020-05-27</v>
      </c>
      <c r="F30" s="120">
        <f>IF(G30&gt;0,RTD("wdf.rtq",,$B30,F$5),0)</f>
        <v>6.4700000000000008E-2</v>
      </c>
      <c r="G30" s="121">
        <f>RTD("wdf.rtq",,$B30,G$5)</f>
        <v>2951</v>
      </c>
      <c r="H30" s="120">
        <f>RTD("wdf.rtq",,$B30,H$5)</f>
        <v>6.4700000000000008E-2</v>
      </c>
      <c r="I30" s="121">
        <f>RTD("wdf.rtq",,$B30,I$5)</f>
        <v>9</v>
      </c>
      <c r="J30" s="120">
        <f>RTD("wdf.rtq",,$B30,J$5)</f>
        <v>6.4899999999999999E-2</v>
      </c>
      <c r="K30" s="121">
        <f>RTD("wdf.rtq",,$B30,K$5)</f>
        <v>2</v>
      </c>
      <c r="L30" s="120">
        <f>[1]!s_dq_presettle(B30,"")</f>
        <v>4.8899999999999999E-2</v>
      </c>
      <c r="M30" s="120">
        <f t="shared" si="3"/>
        <v>0.34699999999999953</v>
      </c>
      <c r="N30" s="122">
        <f t="shared" si="40"/>
        <v>42900.000000000007</v>
      </c>
      <c r="O30" s="120">
        <f t="shared" si="4"/>
        <v>0.10336000000000045</v>
      </c>
      <c r="P30" s="123">
        <f t="shared" si="5"/>
        <v>4.5290000000000009E-3</v>
      </c>
      <c r="Q30" s="124">
        <f t="shared" si="6"/>
        <v>20167.210000000054</v>
      </c>
      <c r="R30" s="125">
        <f ca="1">IF(NOW()-TODAY()&gt;15/24, G30, [1]!s_dq_volume(B30,R$2,1))/$AI$2</f>
        <v>671.2</v>
      </c>
      <c r="S30" s="127"/>
      <c r="T30" s="127"/>
      <c r="U30" s="127"/>
      <c r="V30" s="127"/>
      <c r="W30" s="127"/>
      <c r="X30" s="127"/>
      <c r="Y30" s="127"/>
      <c r="Z30" s="127"/>
      <c r="AA30" s="127"/>
      <c r="AB30" s="116" t="s">
        <v>421</v>
      </c>
      <c r="AC30" s="117" t="str">
        <f>IF([1]!w_info_callput(AB30)="认购","C","P")</f>
        <v>P</v>
      </c>
      <c r="AD30" s="126">
        <f>[1]!w_info_strikeprice(AB30,"")</f>
        <v>4.0999999999999996</v>
      </c>
      <c r="AE30" s="119" t="str">
        <f>[1]!w_info_lasttradingdate(AB30)</f>
        <v>2020-05-27</v>
      </c>
      <c r="AF30" s="120">
        <f>RTD("wdf.rtq",,$AB30,F$5)</f>
        <v>0.42900000000000005</v>
      </c>
      <c r="AG30" s="121">
        <f>RTD("wdf.rtq",,$AB30,G$5)</f>
        <v>481</v>
      </c>
      <c r="AH30" s="120">
        <f>RTD("wdf.rtq",,$AB30,H$5)</f>
        <v>0.42010000000000003</v>
      </c>
      <c r="AI30" s="121">
        <f>RTD("wdf.rtq",,$AB30,I$5)</f>
        <v>1</v>
      </c>
      <c r="AJ30" s="120">
        <f>RTD("wdf.rtq",,$AB30,J$5)</f>
        <v>0.46700000000000003</v>
      </c>
      <c r="AK30" s="121">
        <f>RTD("wdf.rtq",,$AB30,K$5)</f>
        <v>10</v>
      </c>
      <c r="AL30" s="120">
        <f>[1]!s_dq_presettle(AB30,"")</f>
        <v>0.49440000000000001</v>
      </c>
      <c r="AM30" s="120">
        <f t="shared" si="41"/>
        <v>0</v>
      </c>
      <c r="AN30" s="122">
        <f t="shared" si="42"/>
        <v>42900.000000000007</v>
      </c>
      <c r="AO30" s="120">
        <f t="shared" si="43"/>
        <v>0.45035999999999998</v>
      </c>
      <c r="AP30" s="123">
        <f t="shared" si="44"/>
        <v>0.28699999999999998</v>
      </c>
      <c r="AQ30" s="124">
        <f t="shared" si="45"/>
        <v>105523.20999999999</v>
      </c>
      <c r="AR30" s="125">
        <f ca="1">IF(NOW()-TODAY()&gt;15/24, AG30, [1]!s_dq_volume(AB30,AR$2,1))/AI$2</f>
        <v>57.9</v>
      </c>
      <c r="AS30" s="127"/>
      <c r="AT30" s="127"/>
      <c r="AU30" s="127"/>
      <c r="AV30" s="127"/>
      <c r="AX30" s="129"/>
      <c r="AY30" s="130"/>
      <c r="AZ30" s="130"/>
      <c r="BA30" s="131">
        <f t="shared" ca="1" si="32"/>
        <v>1864.4394342963997</v>
      </c>
      <c r="BB30" s="131">
        <f t="shared" ca="1" si="33"/>
        <v>-1935.5605657035926</v>
      </c>
      <c r="BC30" s="131">
        <f t="shared" ca="1" si="34"/>
        <v>2754.4194342964047</v>
      </c>
      <c r="BD30" s="141">
        <f t="shared" ca="1" si="35"/>
        <v>2774.4394342964047</v>
      </c>
      <c r="BE30" s="132">
        <f t="shared" ca="1" si="12"/>
        <v>1.724684617872493E-2</v>
      </c>
      <c r="BF30" s="132">
        <f t="shared" ca="1" si="13"/>
        <v>-1.7296738544887065E-2</v>
      </c>
      <c r="BG30" s="132">
        <f t="shared" ca="1" si="14"/>
        <v>2.5686253673618493E-2</v>
      </c>
      <c r="BH30" s="133">
        <f t="shared" ca="1" si="15"/>
        <v>2.5877776015627209E-2</v>
      </c>
      <c r="BI30" s="132">
        <f t="shared" ca="1" si="16"/>
        <v>0.10153385250378387</v>
      </c>
      <c r="BJ30" s="132">
        <f t="shared" ca="1" si="17"/>
        <v>-0.10182757369167385</v>
      </c>
      <c r="BK30" s="132">
        <f t="shared" ca="1" si="18"/>
        <v>0.1512174611430766</v>
      </c>
      <c r="BL30" s="132">
        <f t="shared" ca="1" si="19"/>
        <v>0.1523449717049021</v>
      </c>
      <c r="BM30" s="134"/>
      <c r="BN30" s="131">
        <f t="shared" ca="1" si="36"/>
        <v>-2235.8855072267274</v>
      </c>
      <c r="BO30" s="131">
        <f t="shared" ca="1" si="37"/>
        <v>-3145.8855072267329</v>
      </c>
      <c r="BP30" s="131">
        <f t="shared" ca="1" si="38"/>
        <v>1524.1144927732648</v>
      </c>
      <c r="BQ30" s="141">
        <f t="shared" ca="1" si="39"/>
        <v>1564.1144927732648</v>
      </c>
      <c r="BR30" s="132">
        <f t="shared" ca="1" si="20"/>
        <v>-1.4243099102758429E-2</v>
      </c>
      <c r="BS30" s="132">
        <f t="shared" ca="1" si="21"/>
        <v>-2.9797725145169186E-2</v>
      </c>
      <c r="BT30" s="132">
        <f t="shared" ca="1" si="22"/>
        <v>1.4436362874967622E-2</v>
      </c>
      <c r="BU30" s="133">
        <f t="shared" ca="1" si="23"/>
        <v>1.4815244379803156E-2</v>
      </c>
      <c r="BV30" s="132">
        <f t="shared" ca="1" si="24"/>
        <v>-8.3850502782368164E-2</v>
      </c>
      <c r="BW30" s="132">
        <f t="shared" ca="1" si="25"/>
        <v>-0.17542209158043151</v>
      </c>
      <c r="BX30" s="132">
        <f t="shared" ca="1" si="26"/>
        <v>8.4988265312309394E-2</v>
      </c>
      <c r="BY30" s="133">
        <f t="shared" ca="1" si="27"/>
        <v>8.7218777397228262E-2</v>
      </c>
      <c r="CB30" s="135"/>
      <c r="CC30" s="136"/>
      <c r="CD30" s="136"/>
      <c r="CE30" s="136"/>
      <c r="CF30" s="39" t="str">
        <f t="shared" si="28"/>
        <v>C2020-05-4100.CFE</v>
      </c>
      <c r="CG30" s="39" t="str">
        <f t="shared" si="29"/>
        <v>P2020-05-4100.CFE</v>
      </c>
      <c r="CH30" s="95" t="s">
        <v>412</v>
      </c>
      <c r="CI30" s="100" t="str">
        <f>IF([1]!w_info_callput(CH30)="认购","C","P")</f>
        <v>C</v>
      </c>
      <c r="CJ30" s="101">
        <f>[1]!w_info_strikeprice(CH30,"")</f>
        <v>4.0999999999999996</v>
      </c>
      <c r="CK30" s="102" t="str">
        <f>[1]!w_info_lasttradingdate(CH30)</f>
        <v>2020-05-27</v>
      </c>
      <c r="CL30" s="39" t="str">
        <f t="shared" si="30"/>
        <v>10002468.SH</v>
      </c>
      <c r="CM30" s="135"/>
      <c r="CN30" s="135"/>
    </row>
    <row r="31" spans="1:92" ht="16.2" customHeight="1">
      <c r="A31" s="35">
        <f t="shared" si="2"/>
        <v>1</v>
      </c>
      <c r="B31" s="17" t="s">
        <v>400</v>
      </c>
      <c r="C31" s="29" t="str">
        <f>IF([1]!w_info_callput(B31)="认购","C","P")</f>
        <v>C</v>
      </c>
      <c r="D31" s="96">
        <f>[1]!w_info_strikeprice(B31,"")</f>
        <v>3.1</v>
      </c>
      <c r="E31" s="18" t="str">
        <f>[1]!w_info_lasttradingdate(B31)</f>
        <v>2020-06-24</v>
      </c>
      <c r="F31" s="15">
        <f>IF(G31&gt;0,RTD("wdf.rtq",,$B31,F$5),0)</f>
        <v>0.65950000000000009</v>
      </c>
      <c r="G31" s="53">
        <f>RTD("wdf.rtq",,$B31,G$5)</f>
        <v>81</v>
      </c>
      <c r="H31" s="15">
        <f>RTD("wdf.rtq",,$B31,H$5)</f>
        <v>0</v>
      </c>
      <c r="I31" s="53">
        <f>RTD("wdf.rtq",,$B31,I$5)</f>
        <v>0</v>
      </c>
      <c r="J31" s="15">
        <f>RTD("wdf.rtq",,$B31,J$5)</f>
        <v>0</v>
      </c>
      <c r="K31" s="54">
        <f>RTD("wdf.rtq",,$B31,K$5)</f>
        <v>0</v>
      </c>
      <c r="L31" s="15">
        <f>[1]!s_dq_presettle(B31,"")</f>
        <v>0.60150000000000003</v>
      </c>
      <c r="M31" s="15">
        <f t="shared" si="3"/>
        <v>0</v>
      </c>
      <c r="N31" s="3">
        <f t="shared" si="40"/>
        <v>3890.0000000000005</v>
      </c>
      <c r="O31" s="15">
        <f t="shared" si="4"/>
        <v>0.45035999999999998</v>
      </c>
      <c r="P31" s="14">
        <f t="shared" si="5"/>
        <v>4.6165000000000012E-2</v>
      </c>
      <c r="Q31" s="8">
        <f t="shared" si="6"/>
        <v>133183.21</v>
      </c>
      <c r="R31" s="55">
        <f ca="1">IF(NOW()-TODAY()&gt;15/24, G31, [1]!s_dq_volume(B31,R$2,1))/$AI$2</f>
        <v>33.4</v>
      </c>
      <c r="S31" s="110"/>
      <c r="T31" s="110"/>
      <c r="U31" s="110"/>
      <c r="V31" s="110"/>
      <c r="W31" s="110"/>
      <c r="X31" s="110"/>
      <c r="Y31" s="110"/>
      <c r="Z31" s="110"/>
      <c r="AA31" s="110"/>
      <c r="AB31" s="61" t="s">
        <v>401</v>
      </c>
      <c r="AC31" s="29" t="str">
        <f>IF([1]!w_info_callput(AB31)="认购","C","P")</f>
        <v>P</v>
      </c>
      <c r="AD31" s="31">
        <f>[1]!w_info_strikeprice(AB31,"")</f>
        <v>3.1</v>
      </c>
      <c r="AE31" s="18" t="str">
        <f>[1]!w_info_lasttradingdate(AB31)</f>
        <v>2020-06-24</v>
      </c>
      <c r="AF31" s="15">
        <f>RTD("wdf.rtq",,$AB31,F$5)</f>
        <v>3.8900000000000004E-2</v>
      </c>
      <c r="AG31" s="53">
        <f>RTD("wdf.rtq",,$AB31,G$5)</f>
        <v>3686</v>
      </c>
      <c r="AH31" s="15">
        <f>RTD("wdf.rtq",,$AB31,H$5)</f>
        <v>3.0100000000000002E-2</v>
      </c>
      <c r="AI31" s="53">
        <f>RTD("wdf.rtq",,$AB31,I$5)</f>
        <v>7</v>
      </c>
      <c r="AJ31" s="15">
        <f>RTD("wdf.rtq",,$AB31,J$5)</f>
        <v>0.05</v>
      </c>
      <c r="AK31" s="54">
        <f>RTD("wdf.rtq",,$AB31,K$5)</f>
        <v>3</v>
      </c>
      <c r="AL31" s="15">
        <f>[1]!s_dq_presettle(AB31,"")</f>
        <v>4.9700000000000001E-2</v>
      </c>
      <c r="AM31" s="15">
        <f t="shared" si="41"/>
        <v>0.65300000000000002</v>
      </c>
      <c r="AN31" s="3">
        <f t="shared" si="42"/>
        <v>3890.0000000000005</v>
      </c>
      <c r="AO31" s="15">
        <f t="shared" si="43"/>
        <v>-0.20264000000000004</v>
      </c>
      <c r="AP31" s="14">
        <f t="shared" si="44"/>
        <v>0.21700000000000003</v>
      </c>
      <c r="AQ31" s="8">
        <f t="shared" si="45"/>
        <v>30708.01</v>
      </c>
      <c r="AR31" s="55">
        <f ca="1">IF(NOW()-TODAY()&gt;15/24, AG31, [1]!s_dq_volume(AB31,AR$2,1))/AI$2</f>
        <v>399.4</v>
      </c>
      <c r="AS31" s="110"/>
      <c r="AT31" s="110"/>
      <c r="AU31" s="110"/>
      <c r="AV31" s="110"/>
      <c r="AY31" s="10"/>
      <c r="AZ31" s="10"/>
      <c r="BA31" s="6">
        <f t="shared" ca="1" si="32"/>
        <v>2103.9361149795172</v>
      </c>
      <c r="BB31" s="6">
        <f t="shared" ca="1" si="33"/>
        <v>0</v>
      </c>
      <c r="BC31" s="6">
        <f t="shared" ca="1" si="34"/>
        <v>0</v>
      </c>
      <c r="BD31" s="12">
        <f t="shared" ca="1" si="35"/>
        <v>0</v>
      </c>
      <c r="BE31" s="2">
        <f t="shared" ca="1" si="12"/>
        <v>1.1553156015445442E-2</v>
      </c>
      <c r="BF31" s="2">
        <f t="shared" ca="1" si="13"/>
        <v>0</v>
      </c>
      <c r="BG31" s="2">
        <f t="shared" ca="1" si="14"/>
        <v>0</v>
      </c>
      <c r="BH31" s="13">
        <f t="shared" ca="1" si="15"/>
        <v>0</v>
      </c>
      <c r="BI31" s="2">
        <f t="shared" ca="1" si="16"/>
        <v>4.6854466062639842E-2</v>
      </c>
      <c r="BJ31" s="2">
        <f t="shared" ca="1" si="17"/>
        <v>0</v>
      </c>
      <c r="BK31" s="2">
        <f t="shared" ca="1" si="18"/>
        <v>0</v>
      </c>
      <c r="BL31" s="40">
        <f t="shared" ca="1" si="19"/>
        <v>0</v>
      </c>
      <c r="BN31" s="6">
        <f t="shared" ca="1" si="36"/>
        <v>-2475.382187909845</v>
      </c>
      <c r="BO31" s="6">
        <f t="shared" ca="1" si="37"/>
        <v>0</v>
      </c>
      <c r="BP31" s="6">
        <f t="shared" ca="1" si="38"/>
        <v>0</v>
      </c>
      <c r="BQ31" s="12">
        <f t="shared" ca="1" si="39"/>
        <v>0</v>
      </c>
      <c r="BR31" s="2">
        <f t="shared" ca="1" si="20"/>
        <v>-1.7475950497552947E-2</v>
      </c>
      <c r="BS31" s="2">
        <f t="shared" ca="1" si="21"/>
        <v>0</v>
      </c>
      <c r="BT31" s="2">
        <f t="shared" ca="1" si="22"/>
        <v>0</v>
      </c>
      <c r="BU31" s="13">
        <f t="shared" ca="1" si="23"/>
        <v>0</v>
      </c>
      <c r="BV31" s="2">
        <f t="shared" ca="1" si="24"/>
        <v>-7.0874688128964733E-2</v>
      </c>
      <c r="BW31" s="2">
        <f t="shared" ca="1" si="25"/>
        <v>0</v>
      </c>
      <c r="BX31" s="2">
        <f t="shared" ca="1" si="26"/>
        <v>0</v>
      </c>
      <c r="BY31" s="13">
        <f t="shared" ca="1" si="27"/>
        <v>0</v>
      </c>
      <c r="CB31" s="17"/>
      <c r="CC31" s="94"/>
      <c r="CD31" s="94"/>
      <c r="CE31" s="94"/>
      <c r="CF31" s="39" t="str">
        <f t="shared" si="28"/>
        <v>C2020-06-3100.CFE</v>
      </c>
      <c r="CG31" s="39" t="str">
        <f t="shared" si="29"/>
        <v>P2020-06-3100.CFE</v>
      </c>
      <c r="CH31" s="17" t="s">
        <v>400</v>
      </c>
      <c r="CI31" s="100" t="str">
        <f>IF([1]!w_info_callput(CH31)="认购","C","P")</f>
        <v>C</v>
      </c>
      <c r="CJ31" s="101">
        <f>[1]!w_info_strikeprice(CH31,"")</f>
        <v>3.1</v>
      </c>
      <c r="CK31" s="102" t="str">
        <f>[1]!w_info_lasttradingdate(CH31)</f>
        <v>2020-06-24</v>
      </c>
      <c r="CL31" s="39" t="str">
        <f t="shared" si="30"/>
        <v>10002430.SH</v>
      </c>
      <c r="CM31" s="17"/>
      <c r="CN31" s="17"/>
    </row>
    <row r="32" spans="1:92" ht="16.2" customHeight="1">
      <c r="A32" s="35">
        <f t="shared" si="2"/>
        <v>1</v>
      </c>
      <c r="B32" s="17" t="s">
        <v>385</v>
      </c>
      <c r="C32" s="29" t="str">
        <f>IF([1]!w_info_callput(B32)="认购","C","P")</f>
        <v>C</v>
      </c>
      <c r="D32" s="96">
        <f>[1]!w_info_strikeprice(B32,"")</f>
        <v>3.2</v>
      </c>
      <c r="E32" s="18" t="str">
        <f>[1]!w_info_lasttradingdate(B32)</f>
        <v>2020-06-24</v>
      </c>
      <c r="F32" s="15">
        <f>IF(G32&gt;0,RTD("wdf.rtq",,$B32,F$5),0)</f>
        <v>0.57300000000000006</v>
      </c>
      <c r="G32" s="53">
        <f>RTD("wdf.rtq",,$B32,G$5)</f>
        <v>73</v>
      </c>
      <c r="H32" s="15">
        <f>RTD("wdf.rtq",,$B32,H$5)</f>
        <v>0.18990000000000001</v>
      </c>
      <c r="I32" s="53">
        <f>RTD("wdf.rtq",,$B32,I$5)</f>
        <v>1</v>
      </c>
      <c r="J32" s="15">
        <f>RTD("wdf.rtq",,$B32,J$5)</f>
        <v>0</v>
      </c>
      <c r="K32" s="54">
        <f>RTD("wdf.rtq",,$B32,K$5)</f>
        <v>0</v>
      </c>
      <c r="L32" s="15">
        <f>[1]!s_dq_presettle(B32,"")</f>
        <v>0.51939999999999997</v>
      </c>
      <c r="M32" s="15">
        <f t="shared" si="3"/>
        <v>0</v>
      </c>
      <c r="N32" s="3">
        <f t="shared" si="40"/>
        <v>5200.0000000000009</v>
      </c>
      <c r="O32" s="15">
        <f t="shared" si="4"/>
        <v>0.45035999999999998</v>
      </c>
      <c r="P32" s="14">
        <f t="shared" si="5"/>
        <v>4.0110000000000007E-2</v>
      </c>
      <c r="Q32" s="8">
        <f t="shared" si="6"/>
        <v>122803.20999999999</v>
      </c>
      <c r="R32" s="55">
        <f ca="1">IF(NOW()-TODAY()&gt;15/24, G32, [1]!s_dq_volume(B32,R$2,1))/$AI$2</f>
        <v>21.8</v>
      </c>
      <c r="S32" s="110"/>
      <c r="T32" s="110"/>
      <c r="U32" s="110"/>
      <c r="V32" s="110"/>
      <c r="W32" s="110"/>
      <c r="X32" s="110"/>
      <c r="Y32" s="110"/>
      <c r="Z32" s="110"/>
      <c r="AA32" s="110"/>
      <c r="AB32" s="61" t="s">
        <v>386</v>
      </c>
      <c r="AC32" s="29" t="str">
        <f>IF([1]!w_info_callput(AB32)="认购","C","P")</f>
        <v>P</v>
      </c>
      <c r="AD32" s="31">
        <f>[1]!w_info_strikeprice(AB32,"")</f>
        <v>3.2</v>
      </c>
      <c r="AE32" s="18" t="str">
        <f>[1]!w_info_lasttradingdate(AB32)</f>
        <v>2020-06-24</v>
      </c>
      <c r="AF32" s="15">
        <f>RTD("wdf.rtq",,$AB32,F$5)</f>
        <v>5.2000000000000005E-2</v>
      </c>
      <c r="AG32" s="53">
        <f>RTD("wdf.rtq",,$AB32,G$5)</f>
        <v>2410</v>
      </c>
      <c r="AH32" s="15">
        <f>RTD("wdf.rtq",,$AB32,H$5)</f>
        <v>5.2000000000000005E-2</v>
      </c>
      <c r="AI32" s="53">
        <f>RTD("wdf.rtq",,$AB32,I$5)</f>
        <v>25</v>
      </c>
      <c r="AJ32" s="15">
        <f>RTD("wdf.rtq",,$AB32,J$5)</f>
        <v>6.0700000000000004E-2</v>
      </c>
      <c r="AK32" s="54">
        <f>RTD("wdf.rtq",,$AB32,K$5)</f>
        <v>11</v>
      </c>
      <c r="AL32" s="15">
        <f>[1]!s_dq_presettle(AB32,"")</f>
        <v>6.6799999999999998E-2</v>
      </c>
      <c r="AM32" s="15">
        <f t="shared" si="41"/>
        <v>0.55299999999999994</v>
      </c>
      <c r="AN32" s="3">
        <f t="shared" si="42"/>
        <v>5200.0000000000009</v>
      </c>
      <c r="AO32" s="15">
        <f t="shared" si="43"/>
        <v>-0.10263999999999995</v>
      </c>
      <c r="AP32" s="14">
        <f t="shared" si="44"/>
        <v>0.22400000000000003</v>
      </c>
      <c r="AQ32" s="8">
        <f t="shared" si="45"/>
        <v>33120.01</v>
      </c>
      <c r="AR32" s="55">
        <f ca="1">IF(NOW()-TODAY()&gt;15/24, AG32, [1]!s_dq_volume(AB32,AR$2,1))/AI$2</f>
        <v>354.7</v>
      </c>
      <c r="AS32" s="110"/>
      <c r="AT32" s="110"/>
      <c r="AU32" s="110"/>
      <c r="AV32" s="110"/>
      <c r="AY32" s="10"/>
      <c r="AZ32" s="10"/>
      <c r="BA32" s="6">
        <f t="shared" ca="1" si="32"/>
        <v>2143.9361149795241</v>
      </c>
      <c r="BB32" s="6">
        <f t="shared" ca="1" si="33"/>
        <v>-37036.063885020478</v>
      </c>
      <c r="BC32" s="6">
        <f t="shared" ca="1" si="34"/>
        <v>0</v>
      </c>
      <c r="BD32" s="12">
        <f t="shared" ca="1" si="35"/>
        <v>0</v>
      </c>
      <c r="BE32" s="2">
        <f t="shared" ca="1" si="12"/>
        <v>1.2389886170767448E-2</v>
      </c>
      <c r="BF32" s="2">
        <f t="shared" ca="1" si="13"/>
        <v>-0.21296206155510958</v>
      </c>
      <c r="BG32" s="2">
        <f t="shared" ca="1" si="14"/>
        <v>0</v>
      </c>
      <c r="BH32" s="13">
        <f t="shared" ca="1" si="15"/>
        <v>0</v>
      </c>
      <c r="BI32" s="2">
        <f t="shared" ca="1" si="16"/>
        <v>5.0247871692556879E-2</v>
      </c>
      <c r="BJ32" s="2">
        <f t="shared" ca="1" si="17"/>
        <v>-0.8636794718623888</v>
      </c>
      <c r="BK32" s="2">
        <f t="shared" ca="1" si="18"/>
        <v>0</v>
      </c>
      <c r="BL32" s="40">
        <f t="shared" ca="1" si="19"/>
        <v>0</v>
      </c>
      <c r="BN32" s="6">
        <f t="shared" ca="1" si="36"/>
        <v>-2515.3821879098518</v>
      </c>
      <c r="BO32" s="6">
        <f t="shared" ca="1" si="37"/>
        <v>0</v>
      </c>
      <c r="BP32" s="6">
        <f t="shared" ca="1" si="38"/>
        <v>36624.617812090153</v>
      </c>
      <c r="BQ32" s="12">
        <f t="shared" ca="1" si="39"/>
        <v>36664.617812090153</v>
      </c>
      <c r="BR32" s="2">
        <f t="shared" ca="1" si="20"/>
        <v>-1.8576446815443692E-2</v>
      </c>
      <c r="BS32" s="2">
        <f t="shared" ca="1" si="21"/>
        <v>0</v>
      </c>
      <c r="BT32" s="2">
        <f t="shared" ca="1" si="22"/>
        <v>1.1036827996276872</v>
      </c>
      <c r="BU32" s="13">
        <f t="shared" ca="1" si="23"/>
        <v>1.1048888654806734</v>
      </c>
      <c r="BV32" s="2">
        <f t="shared" ca="1" si="24"/>
        <v>-7.5337812084854974E-2</v>
      </c>
      <c r="BW32" s="2">
        <f t="shared" ca="1" si="25"/>
        <v>0</v>
      </c>
      <c r="BX32" s="2">
        <f t="shared" ca="1" si="26"/>
        <v>4.4760469096011759</v>
      </c>
      <c r="BY32" s="13">
        <f t="shared" ca="1" si="27"/>
        <v>4.4809381766716205</v>
      </c>
      <c r="CB32" s="17"/>
      <c r="CC32" s="94"/>
      <c r="CD32" s="94"/>
      <c r="CE32" s="94"/>
      <c r="CF32" s="128" t="str">
        <f t="shared" si="28"/>
        <v>C2020-06-3200.CFE</v>
      </c>
      <c r="CG32" s="128" t="str">
        <f t="shared" si="29"/>
        <v>P2020-06-3200.CFE</v>
      </c>
      <c r="CH32" s="135" t="s">
        <v>385</v>
      </c>
      <c r="CI32" s="117" t="str">
        <f>IF([1]!w_info_callput(CH32)="认购","C","P")</f>
        <v>C</v>
      </c>
      <c r="CJ32" s="137">
        <f>[1]!w_info_strikeprice(CH32,"")</f>
        <v>3.2</v>
      </c>
      <c r="CK32" s="138" t="str">
        <f>[1]!w_info_lasttradingdate(CH32)</f>
        <v>2020-06-24</v>
      </c>
      <c r="CL32" s="128" t="str">
        <f t="shared" si="30"/>
        <v>10002414.SH</v>
      </c>
      <c r="CM32" s="17"/>
      <c r="CN32" s="17"/>
    </row>
    <row r="33" spans="1:92" ht="16.2" customHeight="1">
      <c r="A33" s="35">
        <f t="shared" si="2"/>
        <v>1</v>
      </c>
      <c r="B33" s="17" t="s">
        <v>219</v>
      </c>
      <c r="C33" s="29" t="str">
        <f>IF([1]!w_info_callput(B33)="认购","C","P")</f>
        <v>C</v>
      </c>
      <c r="D33" s="96">
        <f>[1]!w_info_strikeprice(B33,"")</f>
        <v>3.3</v>
      </c>
      <c r="E33" s="18" t="str">
        <f>[1]!w_info_lasttradingdate(B33)</f>
        <v>2020-06-24</v>
      </c>
      <c r="F33" s="15">
        <f>IF(G33&gt;0,RTD("wdf.rtq",,$B33,F$5),0)</f>
        <v>0.5</v>
      </c>
      <c r="G33" s="53">
        <f>RTD("wdf.rtq",,$B33,G$5)</f>
        <v>152</v>
      </c>
      <c r="H33" s="15">
        <f>RTD("wdf.rtq",,$B33,H$5)</f>
        <v>0.49200000000000005</v>
      </c>
      <c r="I33" s="53">
        <f>RTD("wdf.rtq",,$B33,I$5)</f>
        <v>3</v>
      </c>
      <c r="J33" s="15">
        <f>RTD("wdf.rtq",,$B33,J$5)</f>
        <v>0.50050000000000006</v>
      </c>
      <c r="K33" s="54">
        <f>RTD("wdf.rtq",,$B33,K$5)</f>
        <v>2</v>
      </c>
      <c r="L33" s="15">
        <f>[1]!s_dq_presettle(B33,"")</f>
        <v>0.4456</v>
      </c>
      <c r="M33" s="15">
        <f t="shared" si="3"/>
        <v>0</v>
      </c>
      <c r="N33" s="3">
        <f t="shared" si="40"/>
        <v>6950.0000000000009</v>
      </c>
      <c r="O33" s="15">
        <f t="shared" si="4"/>
        <v>0.45035999999999998</v>
      </c>
      <c r="P33" s="14">
        <f t="shared" si="5"/>
        <v>3.5000000000000003E-2</v>
      </c>
      <c r="Q33" s="8">
        <f t="shared" si="6"/>
        <v>114043.20999999999</v>
      </c>
      <c r="R33" s="55">
        <f ca="1">IF(NOW()-TODAY()&gt;15/24, G33, [1]!s_dq_volume(B33,R$2,1))/$AI$2</f>
        <v>22.7</v>
      </c>
      <c r="S33" s="110"/>
      <c r="T33" s="110"/>
      <c r="U33" s="110"/>
      <c r="V33" s="110"/>
      <c r="W33" s="110"/>
      <c r="X33" s="110"/>
      <c r="Y33" s="110"/>
      <c r="Z33" s="110"/>
      <c r="AA33" s="110"/>
      <c r="AB33" s="61" t="s">
        <v>222</v>
      </c>
      <c r="AC33" s="29" t="str">
        <f>IF([1]!w_info_callput(AB33)="认购","C","P")</f>
        <v>P</v>
      </c>
      <c r="AD33" s="31">
        <f>[1]!w_info_strikeprice(AB33,"")</f>
        <v>3.3</v>
      </c>
      <c r="AE33" s="18" t="str">
        <f>[1]!w_info_lasttradingdate(AB33)</f>
        <v>2020-06-24</v>
      </c>
      <c r="AF33" s="15">
        <f>RTD("wdf.rtq",,$AB33,F$5)</f>
        <v>6.9500000000000006E-2</v>
      </c>
      <c r="AG33" s="53">
        <f>RTD("wdf.rtq",,$AB33,G$5)</f>
        <v>2200</v>
      </c>
      <c r="AH33" s="15">
        <f>RTD("wdf.rtq",,$AB33,H$5)</f>
        <v>6.8600000000000008E-2</v>
      </c>
      <c r="AI33" s="53">
        <f>RTD("wdf.rtq",,$AB33,I$5)</f>
        <v>2</v>
      </c>
      <c r="AJ33" s="15">
        <f>RTD("wdf.rtq",,$AB33,J$5)</f>
        <v>6.9500000000000006E-2</v>
      </c>
      <c r="AK33" s="54">
        <f>RTD("wdf.rtq",,$AB33,K$5)</f>
        <v>5</v>
      </c>
      <c r="AL33" s="15">
        <f>[1]!s_dq_presettle(AB33,"")</f>
        <v>8.9099999999999999E-2</v>
      </c>
      <c r="AM33" s="15">
        <f t="shared" si="41"/>
        <v>0.45300000000000029</v>
      </c>
      <c r="AN33" s="3">
        <f t="shared" si="42"/>
        <v>6950.0000000000009</v>
      </c>
      <c r="AO33" s="15">
        <f t="shared" si="43"/>
        <v>-2.6400000000003088E-3</v>
      </c>
      <c r="AP33" s="14">
        <f t="shared" si="44"/>
        <v>0.23100000000000001</v>
      </c>
      <c r="AQ33" s="8">
        <f t="shared" si="45"/>
        <v>36060.01</v>
      </c>
      <c r="AR33" s="55">
        <f ca="1">IF(NOW()-TODAY()&gt;15/24, AG33, [1]!s_dq_volume(AB33,AR$2,1))/AI$2</f>
        <v>400.5</v>
      </c>
      <c r="AS33" s="110"/>
      <c r="AT33" s="110"/>
      <c r="AU33" s="110"/>
      <c r="AV33" s="110"/>
      <c r="AY33" s="10"/>
      <c r="AZ33" s="10"/>
      <c r="BA33" s="6">
        <f t="shared" ca="1" si="32"/>
        <v>3093.9361149794859</v>
      </c>
      <c r="BB33" s="6">
        <f t="shared" ca="1" si="33"/>
        <v>2293.9361149794909</v>
      </c>
      <c r="BC33" s="6">
        <f t="shared" ca="1" si="34"/>
        <v>3213.9161149794927</v>
      </c>
      <c r="BD33" s="12">
        <f t="shared" ca="1" si="35"/>
        <v>3233.9361149794927</v>
      </c>
      <c r="BE33" s="2">
        <f t="shared" ca="1" si="12"/>
        <v>1.8634890300203717E-2</v>
      </c>
      <c r="BF33" s="2">
        <f t="shared" ca="1" si="13"/>
        <v>1.3816461061155992E-2</v>
      </c>
      <c r="BG33" s="2">
        <f t="shared" ca="1" si="14"/>
        <v>1.9365699047250783E-2</v>
      </c>
      <c r="BH33" s="13">
        <f t="shared" ca="1" si="15"/>
        <v>1.9488679709753307E-2</v>
      </c>
      <c r="BI33" s="2">
        <f t="shared" ca="1" si="16"/>
        <v>7.5574832884159518E-2</v>
      </c>
      <c r="BJ33" s="2">
        <f t="shared" ca="1" si="17"/>
        <v>5.6033425414688191E-2</v>
      </c>
      <c r="BK33" s="2">
        <f t="shared" ca="1" si="18"/>
        <v>7.8538668358294844E-2</v>
      </c>
      <c r="BL33" s="40">
        <f t="shared" ca="1" si="19"/>
        <v>7.9037423267332846E-2</v>
      </c>
      <c r="BN33" s="6">
        <f t="shared" ca="1" si="36"/>
        <v>-3465.3821879098141</v>
      </c>
      <c r="BO33" s="6">
        <f t="shared" ca="1" si="37"/>
        <v>-3605.3821879098205</v>
      </c>
      <c r="BP33" s="6">
        <f t="shared" ca="1" si="38"/>
        <v>-2705.3821879098186</v>
      </c>
      <c r="BQ33" s="12">
        <f t="shared" ca="1" si="39"/>
        <v>-2665.3821879098186</v>
      </c>
      <c r="BR33" s="2">
        <f t="shared" ca="1" si="20"/>
        <v>-2.6443798048537876E-2</v>
      </c>
      <c r="BS33" s="2">
        <f t="shared" ca="1" si="21"/>
        <v>-9.9720024763778947E-2</v>
      </c>
      <c r="BT33" s="2">
        <f t="shared" ca="1" si="22"/>
        <v>-7.4828952418106817E-2</v>
      </c>
      <c r="BU33" s="13">
        <f t="shared" ca="1" si="23"/>
        <v>-7.3722621571999672E-2</v>
      </c>
      <c r="BV33" s="2">
        <f t="shared" ca="1" si="24"/>
        <v>-0.10724429208573694</v>
      </c>
      <c r="BW33" s="2">
        <f t="shared" ca="1" si="25"/>
        <v>-0.40442010043088128</v>
      </c>
      <c r="BX33" s="2">
        <f t="shared" ca="1" si="26"/>
        <v>-0.30347297369565546</v>
      </c>
      <c r="BY33" s="13">
        <f t="shared" ca="1" si="27"/>
        <v>-0.29898618748644312</v>
      </c>
      <c r="CB33" s="17"/>
      <c r="CC33" s="94"/>
      <c r="CD33" s="94"/>
      <c r="CE33" s="94"/>
      <c r="CF33" s="39" t="str">
        <f t="shared" si="28"/>
        <v>C2020-06-3300.CFE</v>
      </c>
      <c r="CG33" s="39" t="str">
        <f t="shared" si="29"/>
        <v>P2020-06-3300.CFE</v>
      </c>
      <c r="CH33" s="95" t="s">
        <v>219</v>
      </c>
      <c r="CI33" s="100" t="str">
        <f>IF([1]!w_info_callput(CH33)="认购","C","P")</f>
        <v>C</v>
      </c>
      <c r="CJ33" s="101">
        <f>[1]!w_info_strikeprice(CH33,"")</f>
        <v>3.3</v>
      </c>
      <c r="CK33" s="102" t="str">
        <f>[1]!w_info_lasttradingdate(CH33)</f>
        <v>2020-06-24</v>
      </c>
      <c r="CL33" s="39" t="str">
        <f t="shared" si="30"/>
        <v>10002324.SH</v>
      </c>
      <c r="CM33" s="17"/>
      <c r="CN33" s="17"/>
    </row>
    <row r="34" spans="1:92" ht="16.2" customHeight="1">
      <c r="A34" s="35">
        <f t="shared" si="2"/>
        <v>1</v>
      </c>
      <c r="B34" s="17" t="s">
        <v>220</v>
      </c>
      <c r="C34" s="29" t="str">
        <f>IF([1]!w_info_callput(B34)="认购","C","P")</f>
        <v>C</v>
      </c>
      <c r="D34" s="96">
        <f>[1]!w_info_strikeprice(B34,"")</f>
        <v>3.4</v>
      </c>
      <c r="E34" s="18" t="str">
        <f>[1]!w_info_lasttradingdate(B34)</f>
        <v>2020-06-24</v>
      </c>
      <c r="F34" s="15">
        <f>IF(G34&gt;0,RTD("wdf.rtq",,$B34,F$5),0)</f>
        <v>0.42500000000000004</v>
      </c>
      <c r="G34" s="53">
        <f>RTD("wdf.rtq",,$B34,G$5)</f>
        <v>270</v>
      </c>
      <c r="H34" s="15">
        <f>RTD("wdf.rtq",,$B34,H$5)</f>
        <v>0.38</v>
      </c>
      <c r="I34" s="53">
        <f>RTD("wdf.rtq",,$B34,I$5)</f>
        <v>3</v>
      </c>
      <c r="J34" s="15">
        <f>RTD("wdf.rtq",,$B34,J$5)</f>
        <v>0.42510000000000003</v>
      </c>
      <c r="K34" s="54">
        <f>RTD("wdf.rtq",,$B34,K$5)</f>
        <v>4</v>
      </c>
      <c r="L34" s="15">
        <f>[1]!s_dq_presettle(B34,"")</f>
        <v>0.37409999999999999</v>
      </c>
      <c r="M34" s="15">
        <f t="shared" si="3"/>
        <v>0</v>
      </c>
      <c r="N34" s="3">
        <f t="shared" si="40"/>
        <v>9100</v>
      </c>
      <c r="O34" s="15">
        <f t="shared" si="4"/>
        <v>0.45035999999999998</v>
      </c>
      <c r="P34" s="14">
        <f t="shared" si="5"/>
        <v>2.9750000000000006E-2</v>
      </c>
      <c r="Q34" s="8">
        <f t="shared" si="6"/>
        <v>105043.20999999999</v>
      </c>
      <c r="R34" s="55">
        <f ca="1">IF(NOW()-TODAY()&gt;15/24, G34, [1]!s_dq_volume(B34,R$2,1))/$AI$2</f>
        <v>23.1</v>
      </c>
      <c r="S34" s="110"/>
      <c r="T34" s="110"/>
      <c r="U34" s="110"/>
      <c r="V34" s="110"/>
      <c r="W34" s="110"/>
      <c r="X34" s="110"/>
      <c r="Y34" s="110"/>
      <c r="Z34" s="110"/>
      <c r="AA34" s="110"/>
      <c r="AB34" s="61" t="s">
        <v>223</v>
      </c>
      <c r="AC34" s="29" t="str">
        <f>IF([1]!w_info_callput(AB34)="认购","C","P")</f>
        <v>P</v>
      </c>
      <c r="AD34" s="31">
        <f>[1]!w_info_strikeprice(AB34,"")</f>
        <v>3.4</v>
      </c>
      <c r="AE34" s="18" t="str">
        <f>[1]!w_info_lasttradingdate(AB34)</f>
        <v>2020-06-24</v>
      </c>
      <c r="AF34" s="15">
        <f>RTD("wdf.rtq",,$AB34,F$5)</f>
        <v>9.0999999999999998E-2</v>
      </c>
      <c r="AG34" s="53">
        <f>RTD("wdf.rtq",,$AB34,G$5)</f>
        <v>2175</v>
      </c>
      <c r="AH34" s="15">
        <f>RTD("wdf.rtq",,$AB34,H$5)</f>
        <v>9.0999999999999998E-2</v>
      </c>
      <c r="AI34" s="53">
        <f>RTD("wdf.rtq",,$AB34,I$5)</f>
        <v>4</v>
      </c>
      <c r="AJ34" s="15">
        <f>RTD("wdf.rtq",,$AB34,J$5)</f>
        <v>0.10550000000000001</v>
      </c>
      <c r="AK34" s="54">
        <f>RTD("wdf.rtq",,$AB34,K$5)</f>
        <v>12</v>
      </c>
      <c r="AL34" s="15">
        <f>[1]!s_dq_presettle(AB34,"")</f>
        <v>0.11700000000000001</v>
      </c>
      <c r="AM34" s="15">
        <f t="shared" si="41"/>
        <v>0.3530000000000002</v>
      </c>
      <c r="AN34" s="3">
        <f t="shared" si="42"/>
        <v>9100</v>
      </c>
      <c r="AO34" s="15">
        <f t="shared" si="43"/>
        <v>9.735999999999978E-2</v>
      </c>
      <c r="AP34" s="14">
        <f t="shared" si="44"/>
        <v>0.23800000000000002</v>
      </c>
      <c r="AQ34" s="8">
        <f t="shared" si="45"/>
        <v>39480.01</v>
      </c>
      <c r="AR34" s="55">
        <f ca="1">IF(NOW()-TODAY()&gt;15/24, AG34, [1]!s_dq_volume(AB34,AR$2,1))/AI$2</f>
        <v>308.60000000000002</v>
      </c>
      <c r="AS34" s="110"/>
      <c r="AT34" s="110"/>
      <c r="AU34" s="110"/>
      <c r="AV34" s="110"/>
      <c r="AY34" s="10"/>
      <c r="AZ34" s="10"/>
      <c r="BA34" s="6">
        <f t="shared" ca="1" si="32"/>
        <v>3443.9361149795031</v>
      </c>
      <c r="BB34" s="6">
        <f t="shared" ca="1" si="33"/>
        <v>-2506.0638850205078</v>
      </c>
      <c r="BC34" s="6">
        <f t="shared" ca="1" si="34"/>
        <v>3433.9161149795018</v>
      </c>
      <c r="BD34" s="12">
        <f t="shared" ca="1" si="35"/>
        <v>3453.9361149795018</v>
      </c>
      <c r="BE34" s="2">
        <f t="shared" ca="1" si="12"/>
        <v>2.1635589942804109E-2</v>
      </c>
      <c r="BF34" s="2">
        <f t="shared" ca="1" si="13"/>
        <v>-1.5601545229665937E-2</v>
      </c>
      <c r="BG34" s="2">
        <f t="shared" ca="1" si="14"/>
        <v>2.1569931879558333E-2</v>
      </c>
      <c r="BH34" s="13">
        <f t="shared" ca="1" si="15"/>
        <v>2.1698412217145076E-2</v>
      </c>
      <c r="BI34" s="2">
        <f t="shared" ca="1" si="16"/>
        <v>8.7744336990261101E-2</v>
      </c>
      <c r="BJ34" s="2">
        <f t="shared" ca="1" si="17"/>
        <v>-6.327293343142297E-2</v>
      </c>
      <c r="BK34" s="2">
        <f t="shared" ca="1" si="18"/>
        <v>8.7478057067097686E-2</v>
      </c>
      <c r="BL34" s="40">
        <f t="shared" ca="1" si="19"/>
        <v>8.7999116213977255E-2</v>
      </c>
      <c r="BN34" s="6">
        <f t="shared" ca="1" si="36"/>
        <v>-3815.3821879098309</v>
      </c>
      <c r="BO34" s="6">
        <f t="shared" ca="1" si="37"/>
        <v>-3825.3821879098296</v>
      </c>
      <c r="BP34" s="6">
        <f t="shared" ca="1" si="38"/>
        <v>2094.61781209018</v>
      </c>
      <c r="BQ34" s="12">
        <f t="shared" ca="1" si="39"/>
        <v>2134.61781209018</v>
      </c>
      <c r="BR34" s="2">
        <f t="shared" ca="1" si="20"/>
        <v>-3.0050171772387384E-2</v>
      </c>
      <c r="BS34" s="2">
        <f t="shared" ca="1" si="21"/>
        <v>-9.6679888938932104E-2</v>
      </c>
      <c r="BT34" s="2">
        <f t="shared" ca="1" si="22"/>
        <v>5.2943834112695091E-2</v>
      </c>
      <c r="BU34" s="13">
        <f t="shared" ca="1" si="23"/>
        <v>5.3954906626199124E-2</v>
      </c>
      <c r="BV34" s="2">
        <f t="shared" ca="1" si="24"/>
        <v>-0.12187014107690439</v>
      </c>
      <c r="BW34" s="2">
        <f t="shared" ca="1" si="25"/>
        <v>-0.39209066069678022</v>
      </c>
      <c r="BX34" s="2">
        <f t="shared" ca="1" si="26"/>
        <v>0.21471666056815231</v>
      </c>
      <c r="BY34" s="13">
        <f t="shared" ca="1" si="27"/>
        <v>0.21881712131736311</v>
      </c>
      <c r="CB34" s="17"/>
      <c r="CC34" s="94"/>
      <c r="CD34" s="94"/>
      <c r="CE34" s="94"/>
      <c r="CF34" s="39" t="str">
        <f t="shared" si="28"/>
        <v>C2020-06-3400.CFE</v>
      </c>
      <c r="CG34" s="39" t="str">
        <f t="shared" si="29"/>
        <v>P2020-06-3400.CFE</v>
      </c>
      <c r="CH34" s="95" t="s">
        <v>220</v>
      </c>
      <c r="CI34" s="100" t="str">
        <f>IF([1]!w_info_callput(CH34)="认购","C","P")</f>
        <v>C</v>
      </c>
      <c r="CJ34" s="101">
        <f>[1]!w_info_strikeprice(CH34,"")</f>
        <v>3.4</v>
      </c>
      <c r="CK34" s="102" t="str">
        <f>[1]!w_info_lasttradingdate(CH34)</f>
        <v>2020-06-24</v>
      </c>
      <c r="CL34" s="39" t="str">
        <f t="shared" si="30"/>
        <v>10002325.SH</v>
      </c>
      <c r="CM34" s="17"/>
      <c r="CN34" s="17"/>
    </row>
    <row r="35" spans="1:92" ht="16.2" customHeight="1">
      <c r="A35" s="35">
        <f t="shared" si="2"/>
        <v>1</v>
      </c>
      <c r="B35" s="17" t="s">
        <v>221</v>
      </c>
      <c r="C35" s="29" t="str">
        <f>IF([1]!w_info_callput(B35)="认购","C","P")</f>
        <v>C</v>
      </c>
      <c r="D35" s="96">
        <f>[1]!w_info_strikeprice(B35,"")</f>
        <v>3.5</v>
      </c>
      <c r="E35" s="18" t="str">
        <f>[1]!w_info_lasttradingdate(B35)</f>
        <v>2020-06-24</v>
      </c>
      <c r="F35" s="15">
        <f>IF(G35&gt;0,RTD("wdf.rtq",,$B35,F$5),0)</f>
        <v>0.35370000000000001</v>
      </c>
      <c r="G35" s="53">
        <f>RTD("wdf.rtq",,$B35,G$5)</f>
        <v>1185</v>
      </c>
      <c r="H35" s="15">
        <f>RTD("wdf.rtq",,$B35,H$5)</f>
        <v>0.33</v>
      </c>
      <c r="I35" s="53">
        <f>RTD("wdf.rtq",,$B35,I$5)</f>
        <v>13</v>
      </c>
      <c r="J35" s="15">
        <f>RTD("wdf.rtq",,$B35,J$5)</f>
        <v>0.35500000000000004</v>
      </c>
      <c r="K35" s="54">
        <f>RTD("wdf.rtq",,$B35,K$5)</f>
        <v>1</v>
      </c>
      <c r="L35" s="15">
        <f>[1]!s_dq_presettle(B35,"")</f>
        <v>0.30919999999999997</v>
      </c>
      <c r="M35" s="15">
        <f t="shared" si="3"/>
        <v>0</v>
      </c>
      <c r="N35" s="3">
        <f t="shared" si="40"/>
        <v>12000.000000000002</v>
      </c>
      <c r="O35" s="15">
        <f t="shared" si="4"/>
        <v>0.45035999999999998</v>
      </c>
      <c r="P35" s="14">
        <f t="shared" si="5"/>
        <v>2.4759000000000003E-2</v>
      </c>
      <c r="Q35" s="8">
        <f t="shared" si="6"/>
        <v>96487.209999999992</v>
      </c>
      <c r="R35" s="55">
        <f ca="1">IF(NOW()-TODAY()&gt;15/24, G35, [1]!s_dq_volume(B35,R$2,1))/$AI$2</f>
        <v>115.9</v>
      </c>
      <c r="S35" s="110"/>
      <c r="T35" s="110"/>
      <c r="U35" s="110"/>
      <c r="V35" s="110"/>
      <c r="W35" s="110"/>
      <c r="X35" s="110"/>
      <c r="Y35" s="110"/>
      <c r="Z35" s="110"/>
      <c r="AA35" s="110"/>
      <c r="AB35" s="61" t="s">
        <v>224</v>
      </c>
      <c r="AC35" s="29" t="str">
        <f>IF([1]!w_info_callput(AB35)="认购","C","P")</f>
        <v>P</v>
      </c>
      <c r="AD35" s="31">
        <f>[1]!w_info_strikeprice(AB35,"")</f>
        <v>3.5</v>
      </c>
      <c r="AE35" s="18" t="str">
        <f>[1]!w_info_lasttradingdate(AB35)</f>
        <v>2020-06-24</v>
      </c>
      <c r="AF35" s="15">
        <f>RTD("wdf.rtq",,$AB35,F$5)</f>
        <v>0.12000000000000001</v>
      </c>
      <c r="AG35" s="53">
        <f>RTD("wdf.rtq",,$AB35,G$5)</f>
        <v>1484</v>
      </c>
      <c r="AH35" s="15">
        <f>RTD("wdf.rtq",,$AB35,H$5)</f>
        <v>0.1163</v>
      </c>
      <c r="AI35" s="53">
        <f>RTD("wdf.rtq",,$AB35,I$5)</f>
        <v>3</v>
      </c>
      <c r="AJ35" s="15">
        <f>RTD("wdf.rtq",,$AB35,J$5)</f>
        <v>0.12440000000000001</v>
      </c>
      <c r="AK35" s="54">
        <f>RTD("wdf.rtq",,$AB35,K$5)</f>
        <v>4</v>
      </c>
      <c r="AL35" s="15">
        <f>[1]!s_dq_presettle(AB35,"")</f>
        <v>0.15010000000000001</v>
      </c>
      <c r="AM35" s="15">
        <f t="shared" si="41"/>
        <v>0.25300000000000011</v>
      </c>
      <c r="AN35" s="3">
        <f t="shared" si="42"/>
        <v>12000.000000000002</v>
      </c>
      <c r="AO35" s="15">
        <f t="shared" si="43"/>
        <v>0.19735999999999987</v>
      </c>
      <c r="AP35" s="14">
        <f t="shared" si="44"/>
        <v>0.24500000000000002</v>
      </c>
      <c r="AQ35" s="8">
        <f t="shared" si="45"/>
        <v>43800.010000000009</v>
      </c>
      <c r="AR35" s="55">
        <f ca="1">IF(NOW()-TODAY()&gt;15/24, AG35, [1]!s_dq_volume(AB35,AR$2,1))/AI$2</f>
        <v>186.1</v>
      </c>
      <c r="AS35" s="110"/>
      <c r="AT35" s="110"/>
      <c r="AU35" s="110"/>
      <c r="AV35" s="110"/>
      <c r="AY35" s="10"/>
      <c r="AZ35" s="10"/>
      <c r="BA35" s="6">
        <f t="shared" ca="1" si="32"/>
        <v>3413.9361149795063</v>
      </c>
      <c r="BB35" s="6">
        <f t="shared" ca="1" si="33"/>
        <v>603.93611497950485</v>
      </c>
      <c r="BC35" s="6">
        <f t="shared" ca="1" si="34"/>
        <v>3893.9161149795068</v>
      </c>
      <c r="BD35" s="12">
        <f t="shared" ca="1" si="35"/>
        <v>3913.9361149795068</v>
      </c>
      <c r="BE35" s="2">
        <f t="shared" ca="1" si="12"/>
        <v>2.2237263766042323E-2</v>
      </c>
      <c r="BF35" s="2">
        <f t="shared" ca="1" si="13"/>
        <v>3.9226001781822095E-3</v>
      </c>
      <c r="BG35" s="2">
        <f t="shared" ca="1" si="14"/>
        <v>2.5421652487269197E-2</v>
      </c>
      <c r="BH35" s="13">
        <f t="shared" ca="1" si="15"/>
        <v>2.5555691029783226E-2</v>
      </c>
      <c r="BI35" s="2">
        <f t="shared" ca="1" si="16"/>
        <v>9.0184458606727205E-2</v>
      </c>
      <c r="BJ35" s="2">
        <f t="shared" ca="1" si="17"/>
        <v>1.5908322944850072E-2</v>
      </c>
      <c r="BK35" s="2">
        <f t="shared" ca="1" si="18"/>
        <v>0.1030989239761473</v>
      </c>
      <c r="BL35" s="40">
        <f t="shared" ca="1" si="19"/>
        <v>0.10364252473189862</v>
      </c>
      <c r="BN35" s="6">
        <f t="shared" ca="1" si="36"/>
        <v>-3785.3821879098341</v>
      </c>
      <c r="BO35" s="6">
        <f t="shared" ca="1" si="37"/>
        <v>-4285.382187909835</v>
      </c>
      <c r="BP35" s="6">
        <f t="shared" ca="1" si="38"/>
        <v>-1015.3821879098327</v>
      </c>
      <c r="BQ35" s="12">
        <f t="shared" ca="1" si="39"/>
        <v>-975.38218790983274</v>
      </c>
      <c r="BR35" s="2">
        <f t="shared" ca="1" si="20"/>
        <v>-3.0488656538298711E-2</v>
      </c>
      <c r="BS35" s="2">
        <f t="shared" ca="1" si="21"/>
        <v>-9.7660292733102991E-2</v>
      </c>
      <c r="BT35" s="2">
        <f t="shared" ca="1" si="22"/>
        <v>-2.3141022680654592E-2</v>
      </c>
      <c r="BU35" s="13">
        <f t="shared" ca="1" si="23"/>
        <v>-2.2229414588627833E-2</v>
      </c>
      <c r="BV35" s="2">
        <f t="shared" ca="1" si="24"/>
        <v>-0.12364844040532255</v>
      </c>
      <c r="BW35" s="2">
        <f t="shared" ca="1" si="25"/>
        <v>-0.39606674275091769</v>
      </c>
      <c r="BX35" s="2">
        <f t="shared" ca="1" si="26"/>
        <v>-9.3849703093765849E-2</v>
      </c>
      <c r="BY35" s="13">
        <f t="shared" ca="1" si="27"/>
        <v>-9.0152625831657313E-2</v>
      </c>
      <c r="CB35" s="17"/>
      <c r="CC35" s="94"/>
      <c r="CD35" s="94"/>
      <c r="CE35" s="94"/>
      <c r="CF35" s="39" t="str">
        <f t="shared" si="28"/>
        <v>C2020-06-3500.CFE</v>
      </c>
      <c r="CG35" s="39" t="str">
        <f t="shared" si="29"/>
        <v>P2020-06-3500.CFE</v>
      </c>
      <c r="CH35" s="17" t="s">
        <v>221</v>
      </c>
      <c r="CI35" s="100" t="str">
        <f>IF([1]!w_info_callput(CH35)="认购","C","P")</f>
        <v>C</v>
      </c>
      <c r="CJ35" s="101">
        <f>[1]!w_info_strikeprice(CH35,"")</f>
        <v>3.5</v>
      </c>
      <c r="CK35" s="102" t="str">
        <f>[1]!w_info_lasttradingdate(CH35)</f>
        <v>2020-06-24</v>
      </c>
      <c r="CL35" s="39" t="str">
        <f t="shared" si="30"/>
        <v>10002326.SH</v>
      </c>
      <c r="CM35" s="17"/>
      <c r="CN35" s="17"/>
    </row>
    <row r="36" spans="1:92" ht="16.2" customHeight="1">
      <c r="A36" s="35">
        <f t="shared" si="2"/>
        <v>1</v>
      </c>
      <c r="B36" s="17" t="s">
        <v>176</v>
      </c>
      <c r="C36" s="29" t="str">
        <f>IF([1]!w_info_callput(B36)="认购","C","P")</f>
        <v>C</v>
      </c>
      <c r="D36" s="96">
        <f>[1]!w_info_strikeprice(B36,"")</f>
        <v>3.6</v>
      </c>
      <c r="E36" s="18" t="str">
        <f>[1]!w_info_lasttradingdate(B36)</f>
        <v>2020-06-24</v>
      </c>
      <c r="F36" s="15">
        <f>IF(G36&gt;0,RTD("wdf.rtq",,$B36,F$5),0)</f>
        <v>0.28760000000000002</v>
      </c>
      <c r="G36" s="53">
        <f>RTD("wdf.rtq",,$B36,G$5)</f>
        <v>1015</v>
      </c>
      <c r="H36" s="15">
        <f>RTD("wdf.rtq",,$B36,H$5)</f>
        <v>0.26019999999999999</v>
      </c>
      <c r="I36" s="53">
        <f>RTD("wdf.rtq",,$B36,I$5)</f>
        <v>7</v>
      </c>
      <c r="J36" s="15">
        <f>RTD("wdf.rtq",,$B36,J$5)</f>
        <v>0.29320000000000002</v>
      </c>
      <c r="K36" s="54">
        <f>RTD("wdf.rtq",,$B36,K$5)</f>
        <v>4</v>
      </c>
      <c r="L36" s="15">
        <f>[1]!s_dq_presettle(B36,"")</f>
        <v>0.25030000000000002</v>
      </c>
      <c r="M36" s="15">
        <f t="shared" si="3"/>
        <v>0</v>
      </c>
      <c r="N36" s="3">
        <f t="shared" si="40"/>
        <v>15780</v>
      </c>
      <c r="O36" s="15">
        <f t="shared" si="4"/>
        <v>0.45035999999999998</v>
      </c>
      <c r="P36" s="14">
        <f t="shared" si="5"/>
        <v>2.0132000000000004E-2</v>
      </c>
      <c r="Q36" s="8">
        <f t="shared" si="6"/>
        <v>88555.209999999992</v>
      </c>
      <c r="R36" s="55">
        <f ca="1">IF(NOW()-TODAY()&gt;15/24, G36, [1]!s_dq_volume(B36,R$2,1))/$AI$2</f>
        <v>258.89999999999998</v>
      </c>
      <c r="S36" s="110"/>
      <c r="T36" s="110"/>
      <c r="U36" s="110"/>
      <c r="V36" s="110"/>
      <c r="W36" s="110"/>
      <c r="X36" s="110"/>
      <c r="Y36" s="110"/>
      <c r="Z36" s="110"/>
      <c r="AA36" s="110"/>
      <c r="AB36" s="61" t="s">
        <v>185</v>
      </c>
      <c r="AC36" s="29" t="str">
        <f>IF([1]!w_info_callput(AB36)="认购","C","P")</f>
        <v>P</v>
      </c>
      <c r="AD36" s="31">
        <f>[1]!w_info_strikeprice(AB36,"")</f>
        <v>3.6</v>
      </c>
      <c r="AE36" s="18" t="str">
        <f>[1]!w_info_lasttradingdate(AB36)</f>
        <v>2020-06-24</v>
      </c>
      <c r="AF36" s="15">
        <f>RTD("wdf.rtq",,$AB36,F$5)</f>
        <v>0.1578</v>
      </c>
      <c r="AG36" s="53">
        <f>RTD("wdf.rtq",,$AB36,G$5)</f>
        <v>3406</v>
      </c>
      <c r="AH36" s="15">
        <f>RTD("wdf.rtq",,$AB36,H$5)</f>
        <v>0.15770000000000001</v>
      </c>
      <c r="AI36" s="53">
        <f>RTD("wdf.rtq",,$AB36,I$5)</f>
        <v>1</v>
      </c>
      <c r="AJ36" s="15">
        <f>RTD("wdf.rtq",,$AB36,J$5)</f>
        <v>0.1613</v>
      </c>
      <c r="AK36" s="54">
        <f>RTD("wdf.rtq",,$AB36,K$5)</f>
        <v>2</v>
      </c>
      <c r="AL36" s="15">
        <f>[1]!s_dq_presettle(AB36,"")</f>
        <v>0.19719999999999999</v>
      </c>
      <c r="AM36" s="15">
        <f t="shared" si="41"/>
        <v>0.15300000000000002</v>
      </c>
      <c r="AN36" s="3">
        <f t="shared" si="42"/>
        <v>15780</v>
      </c>
      <c r="AO36" s="15">
        <f t="shared" si="43"/>
        <v>0.29735999999999996</v>
      </c>
      <c r="AP36" s="14">
        <f t="shared" si="44"/>
        <v>0.25200000000000006</v>
      </c>
      <c r="AQ36" s="8">
        <f t="shared" si="45"/>
        <v>54619.209999999992</v>
      </c>
      <c r="AR36" s="55">
        <f ca="1">IF(NOW()-TODAY()&gt;15/24, AG36, [1]!s_dq_volume(AB36,AR$2,1))/AI$2</f>
        <v>539.6</v>
      </c>
      <c r="AS36" s="110"/>
      <c r="AT36" s="110"/>
      <c r="AU36" s="110"/>
      <c r="AV36" s="110"/>
      <c r="AY36" s="10"/>
      <c r="AZ36" s="10"/>
      <c r="BA36" s="6">
        <f t="shared" ca="1" si="32"/>
        <v>3023.9361149795159</v>
      </c>
      <c r="BB36" s="6">
        <f t="shared" ca="1" si="33"/>
        <v>-66.063885020487959</v>
      </c>
      <c r="BC36" s="6">
        <f t="shared" ca="1" si="34"/>
        <v>3573.9161149795141</v>
      </c>
      <c r="BD36" s="12">
        <f t="shared" ca="1" si="35"/>
        <v>3593.9361149795141</v>
      </c>
      <c r="BE36" s="2">
        <f t="shared" ca="1" si="12"/>
        <v>2.0244437431949008E-2</v>
      </c>
      <c r="BF36" s="2">
        <f t="shared" ca="1" si="13"/>
        <v>-4.4124599995209741E-4</v>
      </c>
      <c r="BG36" s="2">
        <f t="shared" ca="1" si="14"/>
        <v>2.392480362811035E-2</v>
      </c>
      <c r="BH36" s="13">
        <f t="shared" ca="1" si="15"/>
        <v>2.4062044723523024E-2</v>
      </c>
      <c r="BI36" s="2">
        <f t="shared" ca="1" si="16"/>
        <v>8.2102440696237636E-2</v>
      </c>
      <c r="BJ36" s="2">
        <f t="shared" ca="1" si="17"/>
        <v>-1.789497666472395E-3</v>
      </c>
      <c r="BK36" s="2">
        <f t="shared" ca="1" si="18"/>
        <v>9.7028370269558656E-2</v>
      </c>
      <c r="BL36" s="40">
        <f t="shared" ca="1" si="19"/>
        <v>9.7584959156510054E-2</v>
      </c>
      <c r="BN36" s="6">
        <f t="shared" ca="1" si="36"/>
        <v>-3395.3821879098437</v>
      </c>
      <c r="BO36" s="6">
        <f t="shared" ca="1" si="37"/>
        <v>-3965.3821879098423</v>
      </c>
      <c r="BP36" s="6">
        <f t="shared" ca="1" si="38"/>
        <v>-345.3821879098399</v>
      </c>
      <c r="BQ36" s="12">
        <f t="shared" ca="1" si="39"/>
        <v>-305.3821879098399</v>
      </c>
      <c r="BR36" s="2">
        <f t="shared" ca="1" si="20"/>
        <v>-2.6450735492664523E-2</v>
      </c>
      <c r="BS36" s="2">
        <f t="shared" ca="1" si="21"/>
        <v>-7.2501868617093096E-2</v>
      </c>
      <c r="BT36" s="2">
        <f t="shared" ca="1" si="22"/>
        <v>-6.3152439355253246E-3</v>
      </c>
      <c r="BU36" s="13">
        <f t="shared" ca="1" si="23"/>
        <v>-5.5838540115638966E-3</v>
      </c>
      <c r="BV36" s="2">
        <f t="shared" ca="1" si="24"/>
        <v>-0.10727242727580612</v>
      </c>
      <c r="BW36" s="2">
        <f t="shared" ca="1" si="25"/>
        <v>-0.29403535605821091</v>
      </c>
      <c r="BX36" s="2">
        <f t="shared" ca="1" si="26"/>
        <v>-2.5611822627408264E-2</v>
      </c>
      <c r="BY36" s="13">
        <f t="shared" ca="1" si="27"/>
        <v>-2.2645630158009137E-2</v>
      </c>
      <c r="CB36" s="17"/>
      <c r="CC36" s="94"/>
      <c r="CD36" s="94"/>
      <c r="CE36" s="94"/>
      <c r="CF36" s="39" t="str">
        <f t="shared" si="28"/>
        <v>C2020-06-3600.CFE</v>
      </c>
      <c r="CG36" s="39" t="str">
        <f t="shared" si="29"/>
        <v>P2020-06-3600.CFE</v>
      </c>
      <c r="CH36" s="17" t="s">
        <v>176</v>
      </c>
      <c r="CI36" s="100" t="str">
        <f>IF([1]!w_info_callput(CH36)="认购","C","P")</f>
        <v>C</v>
      </c>
      <c r="CJ36" s="101">
        <f>[1]!w_info_strikeprice(CH36,"")</f>
        <v>3.6</v>
      </c>
      <c r="CK36" s="102" t="str">
        <f>[1]!w_info_lasttradingdate(CH36)</f>
        <v>2020-06-24</v>
      </c>
      <c r="CL36" s="39" t="str">
        <f t="shared" si="30"/>
        <v>10002180.SH</v>
      </c>
      <c r="CM36" s="17"/>
      <c r="CN36" s="17"/>
    </row>
    <row r="37" spans="1:92" ht="16.2" customHeight="1">
      <c r="A37" s="35">
        <f t="shared" si="2"/>
        <v>1</v>
      </c>
      <c r="B37" s="17" t="s">
        <v>177</v>
      </c>
      <c r="C37" s="29" t="str">
        <f>IF([1]!w_info_callput(B37)="认购","C","P")</f>
        <v>C</v>
      </c>
      <c r="D37" s="96">
        <f>[1]!w_info_strikeprice(B37,"")</f>
        <v>3.7</v>
      </c>
      <c r="E37" s="18" t="str">
        <f>[1]!w_info_lasttradingdate(B37)</f>
        <v>2020-06-24</v>
      </c>
      <c r="F37" s="15">
        <f>IF(G37&gt;0,RTD("wdf.rtq",,$B37,F$5),0)</f>
        <v>0.23570000000000002</v>
      </c>
      <c r="G37" s="53">
        <f>RTD("wdf.rtq",,$B37,G$5)</f>
        <v>2193</v>
      </c>
      <c r="H37" s="15">
        <f>RTD("wdf.rtq",,$B37,H$5)</f>
        <v>0.22950000000000001</v>
      </c>
      <c r="I37" s="53">
        <f>RTD("wdf.rtq",,$B37,I$5)</f>
        <v>3</v>
      </c>
      <c r="J37" s="15">
        <f>RTD("wdf.rtq",,$B37,J$5)</f>
        <v>0.23800000000000002</v>
      </c>
      <c r="K37" s="54">
        <f>RTD("wdf.rtq",,$B37,K$5)</f>
        <v>1</v>
      </c>
      <c r="L37" s="15">
        <f>[1]!s_dq_presettle(B37,"")</f>
        <v>0.20150000000000001</v>
      </c>
      <c r="M37" s="15">
        <f t="shared" si="3"/>
        <v>0</v>
      </c>
      <c r="N37" s="3">
        <f t="shared" si="40"/>
        <v>20390</v>
      </c>
      <c r="O37" s="15">
        <f t="shared" si="4"/>
        <v>0.45035999999999998</v>
      </c>
      <c r="P37" s="14">
        <f t="shared" si="5"/>
        <v>1.6499000000000003E-2</v>
      </c>
      <c r="Q37" s="8">
        <f t="shared" si="6"/>
        <v>82327.209999999992</v>
      </c>
      <c r="R37" s="55">
        <f ca="1">IF(NOW()-TODAY()&gt;15/24, G37, [1]!s_dq_volume(B37,R$2,1))/$AI$2</f>
        <v>550.29999999999995</v>
      </c>
      <c r="S37" s="110"/>
      <c r="T37" s="110"/>
      <c r="U37" s="110"/>
      <c r="V37" s="110"/>
      <c r="W37" s="110"/>
      <c r="X37" s="110"/>
      <c r="Y37" s="110"/>
      <c r="Z37" s="110"/>
      <c r="AA37" s="110"/>
      <c r="AB37" s="61" t="s">
        <v>186</v>
      </c>
      <c r="AC37" s="29" t="str">
        <f>IF([1]!w_info_callput(AB37)="认购","C","P")</f>
        <v>P</v>
      </c>
      <c r="AD37" s="31">
        <f>[1]!w_info_strikeprice(AB37,"")</f>
        <v>3.7</v>
      </c>
      <c r="AE37" s="18" t="str">
        <f>[1]!w_info_lasttradingdate(AB37)</f>
        <v>2020-06-24</v>
      </c>
      <c r="AF37" s="15">
        <f>RTD("wdf.rtq",,$AB37,F$5)</f>
        <v>0.2039</v>
      </c>
      <c r="AG37" s="53">
        <f>RTD("wdf.rtq",,$AB37,G$5)</f>
        <v>3404</v>
      </c>
      <c r="AH37" s="15">
        <f>RTD("wdf.rtq",,$AB37,H$5)</f>
        <v>0.2</v>
      </c>
      <c r="AI37" s="53">
        <f>RTD("wdf.rtq",,$AB37,I$5)</f>
        <v>4</v>
      </c>
      <c r="AJ37" s="15">
        <f>RTD("wdf.rtq",,$AB37,J$5)</f>
        <v>0.2064</v>
      </c>
      <c r="AK37" s="54">
        <f>RTD("wdf.rtq",,$AB37,K$5)</f>
        <v>6</v>
      </c>
      <c r="AL37" s="15">
        <f>[1]!s_dq_presettle(AB37,"")</f>
        <v>0.2455</v>
      </c>
      <c r="AM37" s="15">
        <f t="shared" si="41"/>
        <v>5.2999999999999936E-2</v>
      </c>
      <c r="AN37" s="3">
        <f t="shared" si="42"/>
        <v>20390</v>
      </c>
      <c r="AO37" s="15">
        <f t="shared" si="43"/>
        <v>0.39736000000000005</v>
      </c>
      <c r="AP37" s="14">
        <f t="shared" si="44"/>
        <v>0.25900000000000006</v>
      </c>
      <c r="AQ37" s="8">
        <f t="shared" si="45"/>
        <v>72151.209999999992</v>
      </c>
      <c r="AR37" s="55">
        <f ca="1">IF(NOW()-TODAY()&gt;15/24, AG37, [1]!s_dq_volume(AB37,AR$2,1))/AI$2</f>
        <v>498.8</v>
      </c>
      <c r="AS37" s="110"/>
      <c r="AT37" s="110"/>
      <c r="AU37" s="110"/>
      <c r="AV37" s="110"/>
      <c r="AY37" s="10"/>
      <c r="AZ37" s="10"/>
      <c r="BA37" s="6">
        <f t="shared" ca="1" si="32"/>
        <v>3223.9361149795245</v>
      </c>
      <c r="BB37" s="6">
        <f t="shared" ca="1" si="33"/>
        <v>2353.9361149795232</v>
      </c>
      <c r="BC37" s="6">
        <f t="shared" ca="1" si="34"/>
        <v>3823.9161149795227</v>
      </c>
      <c r="BD37" s="12">
        <f t="shared" ca="1" si="35"/>
        <v>3843.9361149795227</v>
      </c>
      <c r="BE37" s="2">
        <f t="shared" ca="1" si="12"/>
        <v>2.181973653891868E-2</v>
      </c>
      <c r="BF37" s="2">
        <f t="shared" ca="1" si="13"/>
        <v>1.5904628791358805E-2</v>
      </c>
      <c r="BG37" s="2">
        <f t="shared" ca="1" si="14"/>
        <v>2.5945398495388471E-2</v>
      </c>
      <c r="BH37" s="13">
        <f t="shared" ca="1" si="15"/>
        <v>2.6084774585050929E-2</v>
      </c>
      <c r="BI37" s="2">
        <f t="shared" ca="1" si="16"/>
        <v>8.8491153741170198E-2</v>
      </c>
      <c r="BJ37" s="2">
        <f t="shared" ca="1" si="17"/>
        <v>6.4502105653844038E-2</v>
      </c>
      <c r="BK37" s="2">
        <f t="shared" ca="1" si="18"/>
        <v>0.10522300500907546</v>
      </c>
      <c r="BL37" s="40">
        <f t="shared" ca="1" si="19"/>
        <v>0.10578825248381765</v>
      </c>
      <c r="BN37" s="6">
        <f t="shared" ca="1" si="36"/>
        <v>-3595.3821879098523</v>
      </c>
      <c r="BO37" s="6">
        <f t="shared" ca="1" si="37"/>
        <v>-4215.3821879098505</v>
      </c>
      <c r="BP37" s="6">
        <f t="shared" ca="1" si="38"/>
        <v>-2765.3821879098509</v>
      </c>
      <c r="BQ37" s="12">
        <f t="shared" ca="1" si="39"/>
        <v>-2725.3821879098509</v>
      </c>
      <c r="BR37" s="2">
        <f t="shared" ca="1" si="20"/>
        <v>-2.5552032241645459E-2</v>
      </c>
      <c r="BS37" s="2">
        <f t="shared" ca="1" si="21"/>
        <v>-5.8368628630010383E-2</v>
      </c>
      <c r="BT37" s="2">
        <f t="shared" ca="1" si="22"/>
        <v>-3.8291527036139347E-2</v>
      </c>
      <c r="BU37" s="13">
        <f t="shared" ca="1" si="23"/>
        <v>-3.7737667903219786E-2</v>
      </c>
      <c r="BV37" s="2">
        <f t="shared" ca="1" si="24"/>
        <v>-0.10362768631333991</v>
      </c>
      <c r="BW37" s="2">
        <f t="shared" ca="1" si="25"/>
        <v>-0.23671721611059765</v>
      </c>
      <c r="BX37" s="2">
        <f t="shared" ca="1" si="26"/>
        <v>-0.15529341520212067</v>
      </c>
      <c r="BY37" s="13">
        <f t="shared" ca="1" si="27"/>
        <v>-0.15304720871861358</v>
      </c>
      <c r="CB37" s="17"/>
      <c r="CC37" s="94"/>
      <c r="CD37" s="94"/>
      <c r="CE37" s="94"/>
      <c r="CF37" s="39" t="str">
        <f t="shared" si="28"/>
        <v>C2020-06-3700.CFE</v>
      </c>
      <c r="CG37" s="39" t="str">
        <f t="shared" si="29"/>
        <v>P2020-06-3700.CFE</v>
      </c>
      <c r="CH37" s="17" t="s">
        <v>177</v>
      </c>
      <c r="CI37" s="100" t="str">
        <f>IF([1]!w_info_callput(CH37)="认购","C","P")</f>
        <v>C</v>
      </c>
      <c r="CJ37" s="101">
        <f>[1]!w_info_strikeprice(CH37,"")</f>
        <v>3.7</v>
      </c>
      <c r="CK37" s="102" t="str">
        <f>[1]!w_info_lasttradingdate(CH37)</f>
        <v>2020-06-24</v>
      </c>
      <c r="CL37" s="39" t="str">
        <f t="shared" si="30"/>
        <v>10002181.SH</v>
      </c>
      <c r="CM37" s="17"/>
      <c r="CN37" s="17"/>
    </row>
    <row r="38" spans="1:92" ht="16.2" customHeight="1">
      <c r="A38" s="35">
        <f t="shared" ref="A38:A62" si="46">AND(D38=AD38,E38=AE38,C38&lt;&gt;AC38)+0</f>
        <v>1</v>
      </c>
      <c r="B38" s="17" t="s">
        <v>178</v>
      </c>
      <c r="C38" s="29" t="str">
        <f>IF([1]!w_info_callput(B38)="认购","C","P")</f>
        <v>C</v>
      </c>
      <c r="D38" s="96">
        <f>[1]!w_info_strikeprice(B38,"")</f>
        <v>3.8</v>
      </c>
      <c r="E38" s="18" t="str">
        <f>[1]!w_info_lasttradingdate(B38)</f>
        <v>2020-06-24</v>
      </c>
      <c r="F38" s="15">
        <f>IF(G38&gt;0,RTD("wdf.rtq",,$B38,F$5),0)</f>
        <v>0.183</v>
      </c>
      <c r="G38" s="53">
        <f>RTD("wdf.rtq",,$B38,G$5)</f>
        <v>1862</v>
      </c>
      <c r="H38" s="15">
        <f>RTD("wdf.rtq",,$B38,H$5)</f>
        <v>0.183</v>
      </c>
      <c r="I38" s="53">
        <f>RTD("wdf.rtq",,$B38,I$5)</f>
        <v>10</v>
      </c>
      <c r="J38" s="15">
        <f>RTD("wdf.rtq",,$B38,J$5)</f>
        <v>0.19</v>
      </c>
      <c r="K38" s="54">
        <f>RTD("wdf.rtq",,$B38,K$5)</f>
        <v>10</v>
      </c>
      <c r="L38" s="15">
        <f>[1]!s_dq_presettle(B38,"")</f>
        <v>0.1613</v>
      </c>
      <c r="M38" s="15">
        <f t="shared" ref="M38:M62" si="47">IF(C38="P",MAX($AF$2-D38,0),MAX(0,D38-$AF$2))</f>
        <v>4.6999999999999709E-2</v>
      </c>
      <c r="N38" s="3">
        <f t="shared" si="40"/>
        <v>25700</v>
      </c>
      <c r="O38" s="15">
        <f t="shared" ref="O38:O62" si="48">$AO$2*$AF$2-M38</f>
        <v>0.40336000000000027</v>
      </c>
      <c r="P38" s="14">
        <f t="shared" ref="P38:P62" si="49">IF(C38="C",$AP$2*F38,$AP$2*D38)</f>
        <v>1.281E-2</v>
      </c>
      <c r="Q38" s="8">
        <f t="shared" ref="Q38:Q62" si="50">AH$2*AI$2*IF(C38="C", MAX(O38,P38)+F38, MIN(F38+MAX(O38,P38),D38) )*$AQ$2+0.01</f>
        <v>70363.210000000021</v>
      </c>
      <c r="R38" s="55">
        <f ca="1">IF(NOW()-TODAY()&gt;15/24, G38, [1]!s_dq_volume(B38,R$2,1))/$AI$2</f>
        <v>395.6</v>
      </c>
      <c r="S38" s="110"/>
      <c r="T38" s="110"/>
      <c r="U38" s="110"/>
      <c r="V38" s="110"/>
      <c r="W38" s="110"/>
      <c r="X38" s="110"/>
      <c r="Y38" s="110"/>
      <c r="Z38" s="110"/>
      <c r="AA38" s="110"/>
      <c r="AB38" s="61" t="s">
        <v>187</v>
      </c>
      <c r="AC38" s="29" t="str">
        <f>IF([1]!w_info_callput(AB38)="认购","C","P")</f>
        <v>P</v>
      </c>
      <c r="AD38" s="31">
        <f>[1]!w_info_strikeprice(AB38,"")</f>
        <v>3.8</v>
      </c>
      <c r="AE38" s="18" t="str">
        <f>[1]!w_info_lasttradingdate(AB38)</f>
        <v>2020-06-24</v>
      </c>
      <c r="AF38" s="15">
        <f>RTD("wdf.rtq",,$AB38,F$5)</f>
        <v>0.25700000000000001</v>
      </c>
      <c r="AG38" s="53">
        <f>RTD("wdf.rtq",,$AB38,G$5)</f>
        <v>1331</v>
      </c>
      <c r="AH38" s="15">
        <f>RTD("wdf.rtq",,$AB38,H$5)</f>
        <v>0.20370000000000002</v>
      </c>
      <c r="AI38" s="53">
        <f>RTD("wdf.rtq",,$AB38,I$5)</f>
        <v>6</v>
      </c>
      <c r="AJ38" s="15">
        <f>RTD("wdf.rtq",,$AB38,J$5)</f>
        <v>0.2611</v>
      </c>
      <c r="AK38" s="54">
        <f>RTD("wdf.rtq",,$AB38,K$5)</f>
        <v>15</v>
      </c>
      <c r="AL38" s="15">
        <f>[1]!s_dq_presettle(AB38,"")</f>
        <v>0.30370000000000003</v>
      </c>
      <c r="AM38" s="15">
        <f t="shared" si="41"/>
        <v>0</v>
      </c>
      <c r="AN38" s="3">
        <f t="shared" si="42"/>
        <v>25700</v>
      </c>
      <c r="AO38" s="15">
        <f t="shared" si="43"/>
        <v>0.45035999999999998</v>
      </c>
      <c r="AP38" s="14">
        <f t="shared" si="44"/>
        <v>0.26600000000000001</v>
      </c>
      <c r="AQ38" s="8">
        <f t="shared" si="45"/>
        <v>84883.209999999992</v>
      </c>
      <c r="AR38" s="55">
        <f ca="1">IF(NOW()-TODAY()&gt;15/24, AG38, [1]!s_dq_volume(AB38,AR$2,1))/AI$2</f>
        <v>208.3</v>
      </c>
      <c r="AS38" s="110"/>
      <c r="AT38" s="110"/>
      <c r="AU38" s="110"/>
      <c r="AV38" s="110"/>
      <c r="AY38" s="10"/>
      <c r="AZ38" s="10"/>
      <c r="BA38" s="6">
        <f t="shared" ca="1" si="32"/>
        <v>2643.9361149794854</v>
      </c>
      <c r="BB38" s="6">
        <f t="shared" ca="1" si="33"/>
        <v>2233.9361149794863</v>
      </c>
      <c r="BC38" s="6">
        <f t="shared" ca="1" si="34"/>
        <v>8653.9161149794836</v>
      </c>
      <c r="BD38" s="12">
        <f t="shared" ca="1" si="35"/>
        <v>8673.936114979484</v>
      </c>
      <c r="BE38" s="2">
        <f t="shared" ref="BE38:BE62" ca="1" si="51">BA38/(Q38+AH$2*AI$2*($BG$2*$AF$2+AF38))</f>
        <v>1.8738135493313428E-2</v>
      </c>
      <c r="BF38" s="2">
        <f t="shared" ref="BF38:BF62" ca="1" si="52">BB38/(Q38+AH$2*AI$2*($BG$2*$AF$2+AJ38))</f>
        <v>1.5786506863966564E-2</v>
      </c>
      <c r="BG38" s="2">
        <f t="shared" ref="BG38:BG62" ca="1" si="53">BC38/(Q38+AH$2*AI$2*($BG$2*$AF$2+AH38+$BC$3))</f>
        <v>6.3730513749800016E-2</v>
      </c>
      <c r="BH38" s="13">
        <f t="shared" ref="BH38:BH62" ca="1" si="54">BD38/(Q38+AH$2*AI$2*($BG$2*$AF$2+AH38))</f>
        <v>6.3887357928793159E-2</v>
      </c>
      <c r="BI38" s="2">
        <f t="shared" ref="BI38:BI62" ca="1" si="55">BE38*365/(AE38+1-TODAY())</f>
        <v>7.5993549500660007E-2</v>
      </c>
      <c r="BJ38" s="2">
        <f t="shared" ref="BJ38:BJ62" ca="1" si="56">BF38*365/(AE38+1-TODAY())</f>
        <v>6.402305561497551E-2</v>
      </c>
      <c r="BK38" s="2">
        <f t="shared" ref="BK38:BK62" ca="1" si="57">BG38*365/(AE38+1-TODAY())</f>
        <v>0.25846263909641115</v>
      </c>
      <c r="BL38" s="40">
        <f t="shared" ref="BL38:BL62" ca="1" si="58">BH38*365/(AE38+1-TODAY())</f>
        <v>0.25909872937788336</v>
      </c>
      <c r="BN38" s="6">
        <f t="shared" ca="1" si="36"/>
        <v>-3015.3821879098136</v>
      </c>
      <c r="BO38" s="6">
        <f t="shared" ca="1" si="37"/>
        <v>-9045.3821879098123</v>
      </c>
      <c r="BP38" s="6">
        <f t="shared" ca="1" si="38"/>
        <v>-2645.3821879098141</v>
      </c>
      <c r="BQ38" s="12">
        <f t="shared" ca="1" si="39"/>
        <v>-2605.3821879098141</v>
      </c>
      <c r="BR38" s="2">
        <f t="shared" ref="BR38:BR62" ca="1" si="59">BN38/(AQ38+AH$2*AI$2*(F38+0.12*$AF$3))</f>
        <v>-2.0350791280329496E-2</v>
      </c>
      <c r="BS38" s="2">
        <f t="shared" ref="BS38:BS62" ca="1" si="60">BO38/(AQ38+H$2*I$2*(J38+0.12*$AF$3))</f>
        <v>-0.10648240908745611</v>
      </c>
      <c r="BT38" s="2">
        <f t="shared" ref="BT38:BT62" ca="1" si="61">BP38/(AQ38+H$2*I$2*(H38+$BP$3+0.12*$AF$3))</f>
        <v>-3.1141738114101397E-2</v>
      </c>
      <c r="BU38" s="13">
        <f t="shared" ref="BU38:BU62" ca="1" si="62">BQ38/(AQ38+H$2*I$2*(H38+0.12*$AF$3))</f>
        <v>-3.0670860814262176E-2</v>
      </c>
      <c r="BV38" s="2">
        <f t="shared" ref="BV38:BV62" ca="1" si="63">BR38*365/(AE38+1-TODAY())</f>
        <v>-8.253376463689184E-2</v>
      </c>
      <c r="BW38" s="2">
        <f t="shared" ref="BW38:BW62" ca="1" si="64">BS38*365/(AE38+1-TODAY())</f>
        <v>-0.43184532574357198</v>
      </c>
      <c r="BX38" s="2">
        <f t="shared" ref="BX38:BX62" ca="1" si="65">BT38*365/(AE38+1-TODAY())</f>
        <v>-0.12629704901830013</v>
      </c>
      <c r="BY38" s="13">
        <f t="shared" ref="BY38:BY62" ca="1" si="66">BU38*365/(AE38+1-TODAY())</f>
        <v>-0.12438737996895216</v>
      </c>
      <c r="CB38" s="17"/>
      <c r="CC38" s="94"/>
      <c r="CD38" s="94"/>
      <c r="CE38" s="94"/>
      <c r="CF38" s="39" t="str">
        <f t="shared" ref="CF38:CF69" si="67">CI38&amp;LEFT(CK38,8)&amp;CJ38*1000&amp;".CFE"</f>
        <v>C2020-06-3800.CFE</v>
      </c>
      <c r="CG38" s="39" t="str">
        <f t="shared" ref="CG38:CG69" si="68">IF(CI38="C","P","C")&amp;MID(CF38,2,99)</f>
        <v>P2020-06-3800.CFE</v>
      </c>
      <c r="CH38" s="95" t="s">
        <v>178</v>
      </c>
      <c r="CI38" s="100" t="str">
        <f>IF([1]!w_info_callput(CH38)="认购","C","P")</f>
        <v>C</v>
      </c>
      <c r="CJ38" s="101">
        <f>[1]!w_info_strikeprice(CH38,"")</f>
        <v>3.8</v>
      </c>
      <c r="CK38" s="102" t="str">
        <f>[1]!w_info_lasttradingdate(CH38)</f>
        <v>2020-06-24</v>
      </c>
      <c r="CL38" s="39" t="str">
        <f t="shared" ref="CL38:CL69" si="69">VLOOKUP(CG38,CF:CH,3,0)</f>
        <v>10002182.SH</v>
      </c>
      <c r="CM38" s="17"/>
      <c r="CN38" s="17"/>
    </row>
    <row r="39" spans="1:92" ht="16.2" customHeight="1">
      <c r="A39" s="35">
        <f t="shared" si="46"/>
        <v>1</v>
      </c>
      <c r="B39" s="17" t="s">
        <v>179</v>
      </c>
      <c r="C39" s="29" t="str">
        <f>IF([1]!w_info_callput(B39)="认购","C","P")</f>
        <v>C</v>
      </c>
      <c r="D39" s="96">
        <f>[1]!w_info_strikeprice(B39,"")</f>
        <v>3.9</v>
      </c>
      <c r="E39" s="18" t="str">
        <f>[1]!w_info_lasttradingdate(B39)</f>
        <v>2020-06-24</v>
      </c>
      <c r="F39" s="15">
        <f>IF(G39&gt;0,RTD("wdf.rtq",,$B39,F$5),0)</f>
        <v>0.14990000000000001</v>
      </c>
      <c r="G39" s="53">
        <f>RTD("wdf.rtq",,$B39,G$5)</f>
        <v>2765</v>
      </c>
      <c r="H39" s="15">
        <f>RTD("wdf.rtq",,$B39,H$5)</f>
        <v>0.14860000000000001</v>
      </c>
      <c r="I39" s="53">
        <f>RTD("wdf.rtq",,$B39,I$5)</f>
        <v>5</v>
      </c>
      <c r="J39" s="15">
        <f>RTD("wdf.rtq",,$B39,J$5)</f>
        <v>0.15</v>
      </c>
      <c r="K39" s="54">
        <f>RTD("wdf.rtq",,$B39,K$5)</f>
        <v>5</v>
      </c>
      <c r="L39" s="15">
        <f>[1]!s_dq_presettle(B39,"")</f>
        <v>0.12559999999999999</v>
      </c>
      <c r="M39" s="15">
        <f t="shared" si="47"/>
        <v>0.1469999999999998</v>
      </c>
      <c r="N39" s="3">
        <f t="shared" si="40"/>
        <v>31540</v>
      </c>
      <c r="O39" s="15">
        <f t="shared" si="48"/>
        <v>0.30336000000000019</v>
      </c>
      <c r="P39" s="14">
        <f t="shared" si="49"/>
        <v>1.0493000000000001E-2</v>
      </c>
      <c r="Q39" s="8">
        <f t="shared" si="50"/>
        <v>54391.210000000028</v>
      </c>
      <c r="R39" s="55">
        <f ca="1">IF(NOW()-TODAY()&gt;15/24, G39, [1]!s_dq_volume(B39,R$2,1))/$AI$2</f>
        <v>386.7</v>
      </c>
      <c r="S39" s="110"/>
      <c r="T39" s="110"/>
      <c r="U39" s="110"/>
      <c r="V39" s="110"/>
      <c r="W39" s="110"/>
      <c r="X39" s="110"/>
      <c r="Y39" s="110"/>
      <c r="Z39" s="110"/>
      <c r="AA39" s="110"/>
      <c r="AB39" s="61" t="s">
        <v>188</v>
      </c>
      <c r="AC39" s="29" t="str">
        <f>IF([1]!w_info_callput(AB39)="认购","C","P")</f>
        <v>P</v>
      </c>
      <c r="AD39" s="31">
        <f>[1]!w_info_strikeprice(AB39,"")</f>
        <v>3.9</v>
      </c>
      <c r="AE39" s="18" t="str">
        <f>[1]!w_info_lasttradingdate(AB39)</f>
        <v>2020-06-24</v>
      </c>
      <c r="AF39" s="15">
        <f>RTD("wdf.rtq",,$AB39,F$5)</f>
        <v>0.31540000000000001</v>
      </c>
      <c r="AG39" s="53">
        <f>RTD("wdf.rtq",,$AB39,G$5)</f>
        <v>625</v>
      </c>
      <c r="AH39" s="15">
        <f>RTD("wdf.rtq",,$AB39,H$5)</f>
        <v>0.31520000000000004</v>
      </c>
      <c r="AI39" s="53">
        <f>RTD("wdf.rtq",,$AB39,I$5)</f>
        <v>1</v>
      </c>
      <c r="AJ39" s="15">
        <f>RTD("wdf.rtq",,$AB39,J$5)</f>
        <v>0.32030000000000003</v>
      </c>
      <c r="AK39" s="54">
        <f>RTD("wdf.rtq",,$AB39,K$5)</f>
        <v>6</v>
      </c>
      <c r="AL39" s="15">
        <f>[1]!s_dq_presettle(AB39,"")</f>
        <v>0.3705</v>
      </c>
      <c r="AM39" s="15">
        <f t="shared" si="41"/>
        <v>0</v>
      </c>
      <c r="AN39" s="3">
        <f t="shared" si="42"/>
        <v>31540</v>
      </c>
      <c r="AO39" s="15">
        <f t="shared" si="43"/>
        <v>0.45035999999999998</v>
      </c>
      <c r="AP39" s="14">
        <f t="shared" si="44"/>
        <v>0.27300000000000002</v>
      </c>
      <c r="AQ39" s="8">
        <f t="shared" si="45"/>
        <v>91891.209999999992</v>
      </c>
      <c r="AR39" s="55">
        <f ca="1">IF(NOW()-TODAY()&gt;15/24, AG39, [1]!s_dq_volume(AB39,AR$2,1))/AI$2</f>
        <v>167.2</v>
      </c>
      <c r="AS39" s="110"/>
      <c r="AT39" s="110"/>
      <c r="AU39" s="110"/>
      <c r="AV39" s="110"/>
      <c r="AY39" s="10"/>
      <c r="AZ39" s="10"/>
      <c r="BA39" s="6">
        <f t="shared" ca="1" si="32"/>
        <v>3493.9361149794945</v>
      </c>
      <c r="BB39" s="6">
        <f t="shared" ca="1" si="33"/>
        <v>2873.9361149794936</v>
      </c>
      <c r="BC39" s="6">
        <f t="shared" ca="1" si="34"/>
        <v>3503.9161149794913</v>
      </c>
      <c r="BD39" s="12">
        <f t="shared" ca="1" si="35"/>
        <v>3523.9361149794913</v>
      </c>
      <c r="BE39" s="2">
        <f t="shared" ca="1" si="51"/>
        <v>2.6677945685637604E-2</v>
      </c>
      <c r="BF39" s="2">
        <f t="shared" ca="1" si="52"/>
        <v>2.1862141414529437E-2</v>
      </c>
      <c r="BG39" s="2">
        <f t="shared" ca="1" si="53"/>
        <v>2.6754147965582308E-2</v>
      </c>
      <c r="BH39" s="13">
        <f t="shared" ca="1" si="54"/>
        <v>2.6911120252042717E-2</v>
      </c>
      <c r="BI39" s="2">
        <f t="shared" ca="1" si="55"/>
        <v>0.10819389083619695</v>
      </c>
      <c r="BJ39" s="2">
        <f t="shared" ca="1" si="56"/>
        <v>8.8663129070036054E-2</v>
      </c>
      <c r="BK39" s="2">
        <f t="shared" ca="1" si="57"/>
        <v>0.1085029334159727</v>
      </c>
      <c r="BL39" s="40">
        <f t="shared" ca="1" si="58"/>
        <v>0.10913954324439545</v>
      </c>
      <c r="BN39" s="6">
        <f t="shared" ca="1" si="36"/>
        <v>-3865.3821879098227</v>
      </c>
      <c r="BO39" s="6">
        <f t="shared" ca="1" si="37"/>
        <v>-3895.3821879098191</v>
      </c>
      <c r="BP39" s="6">
        <f t="shared" ca="1" si="38"/>
        <v>-3285.3821879098214</v>
      </c>
      <c r="BQ39" s="12">
        <f t="shared" ca="1" si="39"/>
        <v>-3245.3821879098214</v>
      </c>
      <c r="BR39" s="2">
        <f t="shared" ca="1" si="59"/>
        <v>-2.5452204410156793E-2</v>
      </c>
      <c r="BS39" s="2">
        <f t="shared" ca="1" si="60"/>
        <v>-4.2363583211143779E-2</v>
      </c>
      <c r="BT39" s="2">
        <f t="shared" ca="1" si="61"/>
        <v>-3.5729675965135765E-2</v>
      </c>
      <c r="BU39" s="13">
        <f t="shared" ca="1" si="62"/>
        <v>-3.5294669705431034E-2</v>
      </c>
      <c r="BV39" s="2">
        <f t="shared" ca="1" si="63"/>
        <v>-0.10322282899674701</v>
      </c>
      <c r="BW39" s="2">
        <f t="shared" ca="1" si="64"/>
        <v>-0.17180786524519423</v>
      </c>
      <c r="BX39" s="2">
        <f t="shared" ca="1" si="65"/>
        <v>-0.14490368585860616</v>
      </c>
      <c r="BY39" s="13">
        <f t="shared" ca="1" si="66"/>
        <v>-0.1431394938053592</v>
      </c>
      <c r="CB39" s="17"/>
      <c r="CC39" s="94"/>
      <c r="CD39" s="94"/>
      <c r="CE39" s="94"/>
      <c r="CF39" s="39" t="str">
        <f t="shared" si="67"/>
        <v>C2020-06-3900.CFE</v>
      </c>
      <c r="CG39" s="39" t="str">
        <f t="shared" si="68"/>
        <v>P2020-06-3900.CFE</v>
      </c>
      <c r="CH39" s="95" t="s">
        <v>179</v>
      </c>
      <c r="CI39" s="100" t="str">
        <f>IF([1]!w_info_callput(CH39)="认购","C","P")</f>
        <v>C</v>
      </c>
      <c r="CJ39" s="101">
        <f>[1]!w_info_strikeprice(CH39,"")</f>
        <v>3.9</v>
      </c>
      <c r="CK39" s="102" t="str">
        <f>[1]!w_info_lasttradingdate(CH39)</f>
        <v>2020-06-24</v>
      </c>
      <c r="CL39" s="39" t="str">
        <f t="shared" si="69"/>
        <v>10002183.SH</v>
      </c>
      <c r="CM39" s="17"/>
      <c r="CN39" s="17"/>
    </row>
    <row r="40" spans="1:92" ht="16.2" customHeight="1">
      <c r="A40" s="35">
        <f t="shared" si="46"/>
        <v>1</v>
      </c>
      <c r="B40" s="17" t="s">
        <v>180</v>
      </c>
      <c r="C40" s="29" t="str">
        <f>IF([1]!w_info_callput(B40)="认购","C","P")</f>
        <v>C</v>
      </c>
      <c r="D40" s="96">
        <f>[1]!w_info_strikeprice(B40,"")</f>
        <v>4</v>
      </c>
      <c r="E40" s="18" t="str">
        <f>[1]!w_info_lasttradingdate(B40)</f>
        <v>2020-06-24</v>
      </c>
      <c r="F40" s="15">
        <f>IF(G40&gt;0,RTD("wdf.rtq",,$B40,F$5),0)</f>
        <v>0.11700000000000001</v>
      </c>
      <c r="G40" s="53">
        <f>RTD("wdf.rtq",,$B40,G$5)</f>
        <v>2389</v>
      </c>
      <c r="H40" s="15">
        <f>RTD("wdf.rtq",,$B40,H$5)</f>
        <v>0.109</v>
      </c>
      <c r="I40" s="53">
        <f>RTD("wdf.rtq",,$B40,I$5)</f>
        <v>9</v>
      </c>
      <c r="J40" s="15">
        <f>RTD("wdf.rtq",,$B40,J$5)</f>
        <v>0.11850000000000001</v>
      </c>
      <c r="K40" s="54">
        <f>RTD("wdf.rtq",,$B40,K$5)</f>
        <v>1</v>
      </c>
      <c r="L40" s="15">
        <f>[1]!s_dq_presettle(B40,"")</f>
        <v>9.9400000000000002E-2</v>
      </c>
      <c r="M40" s="15">
        <f t="shared" si="47"/>
        <v>0.24699999999999989</v>
      </c>
      <c r="N40" s="3">
        <f t="shared" si="40"/>
        <v>38520.000000000007</v>
      </c>
      <c r="O40" s="15">
        <f t="shared" si="48"/>
        <v>0.2033600000000001</v>
      </c>
      <c r="P40" s="14">
        <f t="shared" si="49"/>
        <v>8.1900000000000011E-3</v>
      </c>
      <c r="Q40" s="8">
        <f t="shared" si="50"/>
        <v>38443.210000000006</v>
      </c>
      <c r="R40" s="55">
        <f ca="1">IF(NOW()-TODAY()&gt;15/24, G40, [1]!s_dq_volume(B40,R$2,1))/$AI$2</f>
        <v>275.60000000000002</v>
      </c>
      <c r="S40" s="110"/>
      <c r="T40" s="110"/>
      <c r="U40" s="110"/>
      <c r="V40" s="110"/>
      <c r="W40" s="110"/>
      <c r="X40" s="110"/>
      <c r="Y40" s="110"/>
      <c r="Z40" s="110"/>
      <c r="AA40" s="110"/>
      <c r="AB40" s="61" t="s">
        <v>189</v>
      </c>
      <c r="AC40" s="29" t="str">
        <f>IF([1]!w_info_callput(AB40)="认购","C","P")</f>
        <v>P</v>
      </c>
      <c r="AD40" s="31">
        <f>[1]!w_info_strikeprice(AB40,"")</f>
        <v>4</v>
      </c>
      <c r="AE40" s="18" t="str">
        <f>[1]!w_info_lasttradingdate(AB40)</f>
        <v>2020-06-24</v>
      </c>
      <c r="AF40" s="15">
        <f>RTD("wdf.rtq",,$AB40,F$5)</f>
        <v>0.38520000000000004</v>
      </c>
      <c r="AG40" s="53">
        <f>RTD("wdf.rtq",,$AB40,G$5)</f>
        <v>594</v>
      </c>
      <c r="AH40" s="15">
        <f>RTD("wdf.rtq",,$AB40,H$5)</f>
        <v>0.33069999999999999</v>
      </c>
      <c r="AI40" s="53">
        <f>RTD("wdf.rtq",,$AB40,I$5)</f>
        <v>6</v>
      </c>
      <c r="AJ40" s="15">
        <f>RTD("wdf.rtq",,$AB40,J$5)</f>
        <v>0.38870000000000005</v>
      </c>
      <c r="AK40" s="54">
        <f>RTD("wdf.rtq",,$AB40,K$5)</f>
        <v>6</v>
      </c>
      <c r="AL40" s="15">
        <f>[1]!s_dq_presettle(AB40,"")</f>
        <v>0.44180000000000003</v>
      </c>
      <c r="AM40" s="15">
        <f t="shared" si="41"/>
        <v>0</v>
      </c>
      <c r="AN40" s="3">
        <f t="shared" si="42"/>
        <v>38520.000000000007</v>
      </c>
      <c r="AO40" s="15">
        <f t="shared" si="43"/>
        <v>0.45035999999999998</v>
      </c>
      <c r="AP40" s="14">
        <f t="shared" si="44"/>
        <v>0.28000000000000003</v>
      </c>
      <c r="AQ40" s="8">
        <f t="shared" si="45"/>
        <v>100267.21</v>
      </c>
      <c r="AR40" s="55">
        <f ca="1">IF(NOW()-TODAY()&gt;15/24, AG40, [1]!s_dq_volume(AB40,AR$2,1))/AI$2</f>
        <v>76.8</v>
      </c>
      <c r="AS40" s="110"/>
      <c r="AT40" s="110"/>
      <c r="AU40" s="110"/>
      <c r="AV40" s="110"/>
      <c r="AY40" s="10"/>
      <c r="AZ40" s="10"/>
      <c r="BA40" s="6">
        <f t="shared" ca="1" si="32"/>
        <v>3223.9361149794995</v>
      </c>
      <c r="BB40" s="6">
        <f t="shared" ca="1" si="33"/>
        <v>2073.9361149794986</v>
      </c>
      <c r="BC40" s="6">
        <f t="shared" ca="1" si="34"/>
        <v>8803.9161149795036</v>
      </c>
      <c r="BD40" s="12">
        <f t="shared" ca="1" si="35"/>
        <v>8823.9361149795041</v>
      </c>
      <c r="BE40" s="2">
        <f t="shared" ca="1" si="51"/>
        <v>2.6425876978871412E-2</v>
      </c>
      <c r="BF40" s="2">
        <f t="shared" ca="1" si="52"/>
        <v>1.6950956323947646E-2</v>
      </c>
      <c r="BG40" s="2">
        <f t="shared" ca="1" si="53"/>
        <v>7.5525227587795299E-2</v>
      </c>
      <c r="BH40" s="13">
        <f t="shared" ca="1" si="54"/>
        <v>7.5709960753740882E-2</v>
      </c>
      <c r="BI40" s="2">
        <f t="shared" ca="1" si="55"/>
        <v>0.10717161219208962</v>
      </c>
      <c r="BJ40" s="2">
        <f t="shared" ca="1" si="56"/>
        <v>6.8745545091565455E-2</v>
      </c>
      <c r="BK40" s="2">
        <f t="shared" ca="1" si="57"/>
        <v>0.30629675632828096</v>
      </c>
      <c r="BL40" s="40">
        <f t="shared" ca="1" si="58"/>
        <v>0.30704595194572692</v>
      </c>
      <c r="BN40" s="6">
        <f t="shared" ca="1" si="36"/>
        <v>-3595.3821879098273</v>
      </c>
      <c r="BO40" s="6">
        <f t="shared" ca="1" si="37"/>
        <v>-9195.3821879098323</v>
      </c>
      <c r="BP40" s="6">
        <f t="shared" ca="1" si="38"/>
        <v>-2485.3821879098264</v>
      </c>
      <c r="BQ40" s="12">
        <f t="shared" ca="1" si="39"/>
        <v>-2445.3821879098264</v>
      </c>
      <c r="BR40" s="2">
        <f t="shared" ca="1" si="59"/>
        <v>-2.2907196122174383E-2</v>
      </c>
      <c r="BS40" s="2">
        <f t="shared" ca="1" si="60"/>
        <v>-9.1656810681084916E-2</v>
      </c>
      <c r="BT40" s="2">
        <f t="shared" ca="1" si="61"/>
        <v>-2.4773773590839019E-2</v>
      </c>
      <c r="BU40" s="13">
        <f t="shared" ca="1" si="62"/>
        <v>-2.437506675564631E-2</v>
      </c>
      <c r="BV40" s="2">
        <f t="shared" ca="1" si="63"/>
        <v>-9.2901406495485006E-2</v>
      </c>
      <c r="BW40" s="2">
        <f t="shared" ca="1" si="64"/>
        <v>-0.37171928776217766</v>
      </c>
      <c r="BX40" s="2">
        <f t="shared" ca="1" si="65"/>
        <v>-0.1004714151184027</v>
      </c>
      <c r="BY40" s="13">
        <f t="shared" ca="1" si="66"/>
        <v>-9.8854437397898925E-2</v>
      </c>
      <c r="CB40" s="17"/>
      <c r="CC40" s="94"/>
      <c r="CD40" s="94"/>
      <c r="CE40" s="94"/>
      <c r="CF40" s="39" t="str">
        <f t="shared" si="67"/>
        <v>C2020-06-4000.CFE</v>
      </c>
      <c r="CG40" s="39" t="str">
        <f t="shared" si="68"/>
        <v>P2020-06-4000.CFE</v>
      </c>
      <c r="CH40" s="17" t="s">
        <v>180</v>
      </c>
      <c r="CI40" s="100" t="str">
        <f>IF([1]!w_info_callput(CH40)="认购","C","P")</f>
        <v>C</v>
      </c>
      <c r="CJ40" s="101">
        <f>[1]!w_info_strikeprice(CH40,"")</f>
        <v>4</v>
      </c>
      <c r="CK40" s="102" t="str">
        <f>[1]!w_info_lasttradingdate(CH40)</f>
        <v>2020-06-24</v>
      </c>
      <c r="CL40" s="39" t="str">
        <f t="shared" si="69"/>
        <v>10002184.SH</v>
      </c>
      <c r="CM40" s="17"/>
      <c r="CN40" s="17"/>
    </row>
    <row r="41" spans="1:92" ht="16.2" customHeight="1">
      <c r="A41" s="35">
        <f t="shared" si="46"/>
        <v>1</v>
      </c>
      <c r="B41" s="17" t="s">
        <v>181</v>
      </c>
      <c r="C41" s="29" t="str">
        <f>IF([1]!w_info_callput(B41)="认购","C","P")</f>
        <v>C</v>
      </c>
      <c r="D41" s="96">
        <f>[1]!w_info_strikeprice(B41,"")</f>
        <v>4.0999999999999996</v>
      </c>
      <c r="E41" s="18" t="str">
        <f>[1]!w_info_lasttradingdate(B41)</f>
        <v>2020-06-24</v>
      </c>
      <c r="F41" s="15">
        <f>IF(G41&gt;0,RTD("wdf.rtq",,$B41,F$5),0)</f>
        <v>9.0900000000000009E-2</v>
      </c>
      <c r="G41" s="53">
        <f>RTD("wdf.rtq",,$B41,G$5)</f>
        <v>1516</v>
      </c>
      <c r="H41" s="15">
        <f>RTD("wdf.rtq",,$B41,H$5)</f>
        <v>8.1200000000000008E-2</v>
      </c>
      <c r="I41" s="53">
        <f>RTD("wdf.rtq",,$B41,I$5)</f>
        <v>12</v>
      </c>
      <c r="J41" s="15">
        <f>RTD("wdf.rtq",,$B41,J$5)</f>
        <v>9.2499999999999999E-2</v>
      </c>
      <c r="K41" s="54">
        <f>RTD("wdf.rtq",,$B41,K$5)</f>
        <v>1</v>
      </c>
      <c r="L41" s="15">
        <f>[1]!s_dq_presettle(B41,"")</f>
        <v>7.7600000000000002E-2</v>
      </c>
      <c r="M41" s="15">
        <f t="shared" si="47"/>
        <v>0.34699999999999953</v>
      </c>
      <c r="N41" s="3">
        <f t="shared" si="40"/>
        <v>45700</v>
      </c>
      <c r="O41" s="15">
        <f t="shared" si="48"/>
        <v>0.10336000000000045</v>
      </c>
      <c r="P41" s="14">
        <f t="shared" si="49"/>
        <v>6.3630000000000015E-3</v>
      </c>
      <c r="Q41" s="8">
        <f t="shared" si="50"/>
        <v>23311.210000000054</v>
      </c>
      <c r="R41" s="55">
        <f ca="1">IF(NOW()-TODAY()&gt;15/24, G41, [1]!s_dq_volume(B41,R$2,1))/$AI$2</f>
        <v>303.8</v>
      </c>
      <c r="S41" s="110"/>
      <c r="T41" s="110"/>
      <c r="U41" s="110"/>
      <c r="V41" s="110"/>
      <c r="W41" s="110"/>
      <c r="X41" s="110"/>
      <c r="Y41" s="110"/>
      <c r="Z41" s="110"/>
      <c r="AA41" s="110"/>
      <c r="AB41" s="61" t="s">
        <v>190</v>
      </c>
      <c r="AC41" s="29" t="str">
        <f>IF([1]!w_info_callput(AB41)="认购","C","P")</f>
        <v>P</v>
      </c>
      <c r="AD41" s="31">
        <f>[1]!w_info_strikeprice(AB41,"")</f>
        <v>4.0999999999999996</v>
      </c>
      <c r="AE41" s="18" t="str">
        <f>[1]!w_info_lasttradingdate(AB41)</f>
        <v>2020-06-24</v>
      </c>
      <c r="AF41" s="15">
        <f>RTD("wdf.rtq",,$AB41,F$5)</f>
        <v>0.45700000000000002</v>
      </c>
      <c r="AG41" s="53">
        <f>RTD("wdf.rtq",,$AB41,G$5)</f>
        <v>95</v>
      </c>
      <c r="AH41" s="15">
        <f>RTD("wdf.rtq",,$AB41,H$5)</f>
        <v>0.4501</v>
      </c>
      <c r="AI41" s="53">
        <f>RTD("wdf.rtq",,$AB41,I$5)</f>
        <v>1</v>
      </c>
      <c r="AJ41" s="15">
        <f>RTD("wdf.rtq",,$AB41,J$5)</f>
        <v>0.4637</v>
      </c>
      <c r="AK41" s="54">
        <f>RTD("wdf.rtq",,$AB41,K$5)</f>
        <v>6</v>
      </c>
      <c r="AL41" s="15">
        <f>[1]!s_dq_presettle(AB41,"")</f>
        <v>0.51559999999999995</v>
      </c>
      <c r="AM41" s="15">
        <f t="shared" si="41"/>
        <v>0</v>
      </c>
      <c r="AN41" s="3">
        <f t="shared" si="42"/>
        <v>45700</v>
      </c>
      <c r="AO41" s="15">
        <f t="shared" si="43"/>
        <v>0.45035999999999998</v>
      </c>
      <c r="AP41" s="14">
        <f t="shared" si="44"/>
        <v>0.28699999999999998</v>
      </c>
      <c r="AQ41" s="8">
        <f t="shared" si="45"/>
        <v>108883.20999999999</v>
      </c>
      <c r="AR41" s="55">
        <f ca="1">IF(NOW()-TODAY()&gt;15/24, AG41, [1]!s_dq_volume(AB41,AR$2,1))/AI$2</f>
        <v>66.7</v>
      </c>
      <c r="AS41" s="110"/>
      <c r="AT41" s="110"/>
      <c r="AU41" s="110"/>
      <c r="AV41" s="110"/>
      <c r="AY41" s="10"/>
      <c r="AZ41" s="10"/>
      <c r="BA41" s="6">
        <f t="shared" ca="1" si="32"/>
        <v>3433.9361149794709</v>
      </c>
      <c r="BB41" s="6">
        <f t="shared" ca="1" si="33"/>
        <v>1793.9361149794681</v>
      </c>
      <c r="BC41" s="6">
        <f t="shared" ca="1" si="34"/>
        <v>4263.9161149794654</v>
      </c>
      <c r="BD41" s="12">
        <f t="shared" ca="1" si="35"/>
        <v>4283.9361149794659</v>
      </c>
      <c r="BE41" s="2">
        <f t="shared" ca="1" si="51"/>
        <v>3.0109777477059452E-2</v>
      </c>
      <c r="BF41" s="2">
        <f t="shared" ca="1" si="52"/>
        <v>1.5637898751019723E-2</v>
      </c>
      <c r="BG41" s="2">
        <f t="shared" ca="1" si="53"/>
        <v>3.7608229334444403E-2</v>
      </c>
      <c r="BH41" s="13">
        <f t="shared" ca="1" si="54"/>
        <v>3.7791474534169145E-2</v>
      </c>
      <c r="BI41" s="2">
        <f t="shared" ca="1" si="55"/>
        <v>0.12211187532363001</v>
      </c>
      <c r="BJ41" s="2">
        <f t="shared" ca="1" si="56"/>
        <v>6.3420367156913321E-2</v>
      </c>
      <c r="BK41" s="2">
        <f t="shared" ca="1" si="57"/>
        <v>0.15252226341191341</v>
      </c>
      <c r="BL41" s="40">
        <f t="shared" ca="1" si="58"/>
        <v>0.15326542449968597</v>
      </c>
      <c r="BN41" s="6">
        <f t="shared" ca="1" si="36"/>
        <v>-3805.3821879097986</v>
      </c>
      <c r="BO41" s="6">
        <f t="shared" ca="1" si="37"/>
        <v>-4655.3821879097941</v>
      </c>
      <c r="BP41" s="6">
        <f t="shared" ca="1" si="38"/>
        <v>-2205.3821879097959</v>
      </c>
      <c r="BQ41" s="12">
        <f t="shared" ca="1" si="39"/>
        <v>-2165.3821879097959</v>
      </c>
      <c r="BR41" s="2">
        <f t="shared" ca="1" si="59"/>
        <v>-2.335159512322987E-2</v>
      </c>
      <c r="BS41" s="2">
        <f t="shared" ca="1" si="60"/>
        <v>-4.2734452786032551E-2</v>
      </c>
      <c r="BT41" s="2">
        <f t="shared" ca="1" si="61"/>
        <v>-2.0244688296666886E-2</v>
      </c>
      <c r="BU41" s="13">
        <f t="shared" ca="1" si="62"/>
        <v>-1.9877505008424091E-2</v>
      </c>
      <c r="BV41" s="2">
        <f t="shared" ca="1" si="63"/>
        <v>-9.4703691333098916E-2</v>
      </c>
      <c r="BW41" s="2">
        <f t="shared" ca="1" si="64"/>
        <v>-0.1733119474100209</v>
      </c>
      <c r="BX41" s="2">
        <f t="shared" ca="1" si="65"/>
        <v>-8.2103458092037923E-2</v>
      </c>
      <c r="BY41" s="13">
        <f t="shared" ca="1" si="66"/>
        <v>-8.0614325867497699E-2</v>
      </c>
      <c r="CB41" s="17"/>
      <c r="CC41" s="94"/>
      <c r="CD41" s="94"/>
      <c r="CE41" s="94"/>
      <c r="CF41" s="39" t="str">
        <f t="shared" si="67"/>
        <v>C2020-06-4100.CFE</v>
      </c>
      <c r="CG41" s="39" t="str">
        <f t="shared" si="68"/>
        <v>P2020-06-4100.CFE</v>
      </c>
      <c r="CH41" s="17" t="s">
        <v>181</v>
      </c>
      <c r="CI41" s="100" t="str">
        <f>IF([1]!w_info_callput(CH41)="认购","C","P")</f>
        <v>C</v>
      </c>
      <c r="CJ41" s="101">
        <f>[1]!w_info_strikeprice(CH41,"")</f>
        <v>4.0999999999999996</v>
      </c>
      <c r="CK41" s="102" t="str">
        <f>[1]!w_info_lasttradingdate(CH41)</f>
        <v>2020-06-24</v>
      </c>
      <c r="CL41" s="39" t="str">
        <f t="shared" si="69"/>
        <v>10002185.SH</v>
      </c>
      <c r="CM41" s="17"/>
      <c r="CN41" s="17"/>
    </row>
    <row r="42" spans="1:92" ht="16.2" customHeight="1">
      <c r="A42" s="35">
        <f t="shared" si="46"/>
        <v>1</v>
      </c>
      <c r="B42" s="17" t="s">
        <v>182</v>
      </c>
      <c r="C42" s="29" t="str">
        <f>IF([1]!w_info_callput(B42)="认购","C","P")</f>
        <v>C</v>
      </c>
      <c r="D42" s="96">
        <f>[1]!w_info_strikeprice(B42,"")</f>
        <v>4.2</v>
      </c>
      <c r="E42" s="18" t="str">
        <f>[1]!w_info_lasttradingdate(B42)</f>
        <v>2020-06-24</v>
      </c>
      <c r="F42" s="15">
        <f>IF(G42&gt;0,RTD("wdf.rtq",,$B42,F$5),0)</f>
        <v>7.2000000000000008E-2</v>
      </c>
      <c r="G42" s="53">
        <f>RTD("wdf.rtq",,$B42,G$5)</f>
        <v>2538</v>
      </c>
      <c r="H42" s="15">
        <f>RTD("wdf.rtq",,$B42,H$5)</f>
        <v>6.6000000000000003E-2</v>
      </c>
      <c r="I42" s="53">
        <f>RTD("wdf.rtq",,$B42,I$5)</f>
        <v>1</v>
      </c>
      <c r="J42" s="15">
        <f>RTD("wdf.rtq",,$B42,J$5)</f>
        <v>7.2500000000000009E-2</v>
      </c>
      <c r="K42" s="54">
        <f>RTD("wdf.rtq",,$B42,K$5)</f>
        <v>1</v>
      </c>
      <c r="L42" s="15">
        <f>[1]!s_dq_presettle(B42,"")</f>
        <v>6.1499999999999999E-2</v>
      </c>
      <c r="M42" s="15">
        <f t="shared" si="47"/>
        <v>0.44700000000000006</v>
      </c>
      <c r="N42" s="3">
        <f t="shared" si="40"/>
        <v>54200.000000000007</v>
      </c>
      <c r="O42" s="15">
        <f t="shared" si="48"/>
        <v>3.3599999999999186E-3</v>
      </c>
      <c r="P42" s="14">
        <f t="shared" si="49"/>
        <v>5.0400000000000011E-3</v>
      </c>
      <c r="Q42" s="8">
        <f t="shared" si="50"/>
        <v>9244.8100000000013</v>
      </c>
      <c r="R42" s="55">
        <f ca="1">IF(NOW()-TODAY()&gt;15/24, G42, [1]!s_dq_volume(B42,R$2,1))/$AI$2</f>
        <v>339.6</v>
      </c>
      <c r="S42" s="110"/>
      <c r="T42" s="110"/>
      <c r="U42" s="110"/>
      <c r="V42" s="110"/>
      <c r="W42" s="110"/>
      <c r="X42" s="110"/>
      <c r="Y42" s="110"/>
      <c r="Z42" s="110"/>
      <c r="AA42" s="110"/>
      <c r="AB42" s="61" t="s">
        <v>191</v>
      </c>
      <c r="AC42" s="29" t="str">
        <f>IF([1]!w_info_callput(AB42)="认购","C","P")</f>
        <v>P</v>
      </c>
      <c r="AD42" s="31">
        <f>[1]!w_info_strikeprice(AB42,"")</f>
        <v>4.2</v>
      </c>
      <c r="AE42" s="18" t="str">
        <f>[1]!w_info_lasttradingdate(AB42)</f>
        <v>2020-06-24</v>
      </c>
      <c r="AF42" s="15">
        <f>RTD("wdf.rtq",,$AB42,F$5)</f>
        <v>0.54200000000000004</v>
      </c>
      <c r="AG42" s="53">
        <f>RTD("wdf.rtq",,$AB42,G$5)</f>
        <v>228</v>
      </c>
      <c r="AH42" s="15">
        <f>RTD("wdf.rtq",,$AB42,H$5)</f>
        <v>0.50009999999999999</v>
      </c>
      <c r="AI42" s="53">
        <f>RTD("wdf.rtq",,$AB42,I$5)</f>
        <v>11</v>
      </c>
      <c r="AJ42" s="15">
        <f>RTD("wdf.rtq",,$AB42,J$5)</f>
        <v>0.60010000000000008</v>
      </c>
      <c r="AK42" s="54">
        <f>RTD("wdf.rtq",,$AB42,K$5)</f>
        <v>1</v>
      </c>
      <c r="AL42" s="15">
        <f>[1]!s_dq_presettle(AB42,"")</f>
        <v>0.59840000000000004</v>
      </c>
      <c r="AM42" s="15">
        <f t="shared" si="41"/>
        <v>0</v>
      </c>
      <c r="AN42" s="3">
        <f t="shared" si="42"/>
        <v>54200.000000000007</v>
      </c>
      <c r="AO42" s="15">
        <f t="shared" si="43"/>
        <v>0.45035999999999998</v>
      </c>
      <c r="AP42" s="14">
        <f t="shared" si="44"/>
        <v>0.29400000000000004</v>
      </c>
      <c r="AQ42" s="8">
        <f t="shared" si="45"/>
        <v>119083.20999999999</v>
      </c>
      <c r="AR42" s="55">
        <f ca="1">IF(NOW()-TODAY()&gt;15/24, AG42, [1]!s_dq_volume(AB42,AR$2,1))/AI$2</f>
        <v>33.4</v>
      </c>
      <c r="AS42" s="110"/>
      <c r="AT42" s="110"/>
      <c r="AU42" s="110"/>
      <c r="AV42" s="110"/>
      <c r="AY42" s="10"/>
      <c r="AZ42" s="10"/>
      <c r="BA42" s="6">
        <f t="shared" ca="1" si="32"/>
        <v>3043.9361149795191</v>
      </c>
      <c r="BB42" s="6">
        <f t="shared" ca="1" si="33"/>
        <v>-3366.0638850204796</v>
      </c>
      <c r="BC42" s="6">
        <f t="shared" ca="1" si="34"/>
        <v>7263.9161149795236</v>
      </c>
      <c r="BD42" s="12">
        <f t="shared" ca="1" si="35"/>
        <v>7283.9361149795241</v>
      </c>
      <c r="BE42" s="2">
        <f t="shared" ca="1" si="51"/>
        <v>2.8059673549446388E-2</v>
      </c>
      <c r="BF42" s="2">
        <f t="shared" ca="1" si="52"/>
        <v>-2.9451745814212702E-2</v>
      </c>
      <c r="BG42" s="2">
        <f t="shared" ca="1" si="53"/>
        <v>6.9637232372939326E-2</v>
      </c>
      <c r="BH42" s="13">
        <f t="shared" ca="1" si="54"/>
        <v>6.9842550028900191E-2</v>
      </c>
      <c r="BI42" s="2">
        <f t="shared" ca="1" si="55"/>
        <v>0.11379756495053259</v>
      </c>
      <c r="BJ42" s="2">
        <f t="shared" ca="1" si="56"/>
        <v>-0.11944319135764041</v>
      </c>
      <c r="BK42" s="2">
        <f t="shared" ca="1" si="57"/>
        <v>0.28241766462358725</v>
      </c>
      <c r="BL42" s="40">
        <f t="shared" ca="1" si="58"/>
        <v>0.28325034178387298</v>
      </c>
      <c r="BN42" s="6">
        <f t="shared" ca="1" si="36"/>
        <v>-3415.3821879098473</v>
      </c>
      <c r="BO42" s="6">
        <f t="shared" ca="1" si="37"/>
        <v>-7655.3821879098523</v>
      </c>
      <c r="BP42" s="6">
        <f t="shared" ca="1" si="38"/>
        <v>2954.6178120901518</v>
      </c>
      <c r="BQ42" s="12">
        <f t="shared" ca="1" si="39"/>
        <v>2994.6178120901518</v>
      </c>
      <c r="BR42" s="2">
        <f t="shared" ca="1" si="59"/>
        <v>-1.9941477512110877E-2</v>
      </c>
      <c r="BS42" s="2">
        <f t="shared" ca="1" si="60"/>
        <v>-6.4257803844180963E-2</v>
      </c>
      <c r="BT42" s="2">
        <f t="shared" ca="1" si="61"/>
        <v>2.4800624075026152E-2</v>
      </c>
      <c r="BU42" s="13">
        <f t="shared" ca="1" si="62"/>
        <v>2.5136382367317314E-2</v>
      </c>
      <c r="BV42" s="2">
        <f t="shared" ca="1" si="63"/>
        <v>-8.0873769910227447E-2</v>
      </c>
      <c r="BW42" s="2">
        <f t="shared" ca="1" si="64"/>
        <v>-0.26060109336806725</v>
      </c>
      <c r="BX42" s="2">
        <f t="shared" ca="1" si="65"/>
        <v>0.10058030874871716</v>
      </c>
      <c r="BY42" s="13">
        <f t="shared" ca="1" si="66"/>
        <v>0.10194199515634243</v>
      </c>
      <c r="CB42" s="17"/>
      <c r="CC42" s="94"/>
      <c r="CD42" s="94"/>
      <c r="CE42" s="94"/>
      <c r="CF42" s="39" t="str">
        <f t="shared" si="67"/>
        <v>C2020-06-4200.CFE</v>
      </c>
      <c r="CG42" s="39" t="str">
        <f t="shared" si="68"/>
        <v>P2020-06-4200.CFE</v>
      </c>
      <c r="CH42" s="17" t="s">
        <v>182</v>
      </c>
      <c r="CI42" s="100" t="str">
        <f>IF([1]!w_info_callput(CH42)="认购","C","P")</f>
        <v>C</v>
      </c>
      <c r="CJ42" s="101">
        <f>[1]!w_info_strikeprice(CH42,"")</f>
        <v>4.2</v>
      </c>
      <c r="CK42" s="102" t="str">
        <f>[1]!w_info_lasttradingdate(CH42)</f>
        <v>2020-06-24</v>
      </c>
      <c r="CL42" s="39" t="str">
        <f t="shared" si="69"/>
        <v>10002186.SH</v>
      </c>
      <c r="CM42" s="17"/>
      <c r="CN42" s="17"/>
    </row>
    <row r="43" spans="1:92" ht="16.2" customHeight="1">
      <c r="A43" s="35">
        <f t="shared" si="46"/>
        <v>1</v>
      </c>
      <c r="B43" s="17" t="s">
        <v>183</v>
      </c>
      <c r="C43" s="29" t="str">
        <f>IF([1]!w_info_callput(B43)="认购","C","P")</f>
        <v>C</v>
      </c>
      <c r="D43" s="96">
        <f>[1]!w_info_strikeprice(B43,"")</f>
        <v>4.3</v>
      </c>
      <c r="E43" s="18" t="str">
        <f>[1]!w_info_lasttradingdate(B43)</f>
        <v>2020-06-24</v>
      </c>
      <c r="F43" s="15">
        <f>IF(G43&gt;0,RTD("wdf.rtq",,$B43,F$5),0)</f>
        <v>5.5300000000000002E-2</v>
      </c>
      <c r="G43" s="53">
        <f>RTD("wdf.rtq",,$B43,G$5)</f>
        <v>1624</v>
      </c>
      <c r="H43" s="15">
        <f>RTD("wdf.rtq",,$B43,H$5)</f>
        <v>5.5E-2</v>
      </c>
      <c r="I43" s="53">
        <f>RTD("wdf.rtq",,$B43,I$5)</f>
        <v>50</v>
      </c>
      <c r="J43" s="15">
        <f>RTD("wdf.rtq",,$B43,J$5)</f>
        <v>5.9500000000000004E-2</v>
      </c>
      <c r="K43" s="54">
        <f>RTD("wdf.rtq",,$B43,K$5)</f>
        <v>3</v>
      </c>
      <c r="L43" s="15">
        <f>[1]!s_dq_presettle(B43,"")</f>
        <v>4.87E-2</v>
      </c>
      <c r="M43" s="15">
        <f t="shared" si="47"/>
        <v>0.54699999999999971</v>
      </c>
      <c r="N43" s="3">
        <f t="shared" si="40"/>
        <v>63680</v>
      </c>
      <c r="O43" s="15">
        <f t="shared" si="48"/>
        <v>-9.6639999999999726E-2</v>
      </c>
      <c r="P43" s="14">
        <f t="shared" si="49"/>
        <v>3.8710000000000003E-3</v>
      </c>
      <c r="Q43" s="8">
        <f t="shared" si="50"/>
        <v>7100.5300000000007</v>
      </c>
      <c r="R43" s="55">
        <f ca="1">IF(NOW()-TODAY()&gt;15/24, G43, [1]!s_dq_volume(B43,R$2,1))/$AI$2</f>
        <v>299.60000000000002</v>
      </c>
      <c r="S43" s="110"/>
      <c r="T43" s="110"/>
      <c r="U43" s="110"/>
      <c r="V43" s="110"/>
      <c r="W43" s="110"/>
      <c r="X43" s="110"/>
      <c r="Y43" s="110"/>
      <c r="Z43" s="110"/>
      <c r="AA43" s="110"/>
      <c r="AB43" s="61" t="s">
        <v>192</v>
      </c>
      <c r="AC43" s="29" t="str">
        <f>IF([1]!w_info_callput(AB43)="认购","C","P")</f>
        <v>P</v>
      </c>
      <c r="AD43" s="31">
        <f>[1]!w_info_strikeprice(AB43,"")</f>
        <v>4.3</v>
      </c>
      <c r="AE43" s="18" t="str">
        <f>[1]!w_info_lasttradingdate(AB43)</f>
        <v>2020-06-24</v>
      </c>
      <c r="AF43" s="15">
        <f>RTD("wdf.rtq",,$AB43,F$5)</f>
        <v>0.63680000000000003</v>
      </c>
      <c r="AG43" s="53">
        <f>RTD("wdf.rtq",,$AB43,G$5)</f>
        <v>102</v>
      </c>
      <c r="AH43" s="15">
        <f>RTD("wdf.rtq",,$AB43,H$5)</f>
        <v>0.58000000000000007</v>
      </c>
      <c r="AI43" s="53">
        <f>RTD("wdf.rtq",,$AB43,I$5)</f>
        <v>6</v>
      </c>
      <c r="AJ43" s="15">
        <f>RTD("wdf.rtq",,$AB43,J$5)</f>
        <v>0</v>
      </c>
      <c r="AK43" s="54">
        <f>RTD("wdf.rtq",,$AB43,K$5)</f>
        <v>0</v>
      </c>
      <c r="AL43" s="15">
        <f>[1]!s_dq_presettle(AB43,"")</f>
        <v>0.68740000000000001</v>
      </c>
      <c r="AM43" s="15">
        <f t="shared" si="41"/>
        <v>0</v>
      </c>
      <c r="AN43" s="3">
        <f t="shared" si="42"/>
        <v>63680</v>
      </c>
      <c r="AO43" s="15">
        <f t="shared" si="43"/>
        <v>0.45035999999999998</v>
      </c>
      <c r="AP43" s="14">
        <f t="shared" si="44"/>
        <v>0.30099999999999999</v>
      </c>
      <c r="AQ43" s="8">
        <f t="shared" si="45"/>
        <v>130459.20999999998</v>
      </c>
      <c r="AR43" s="55">
        <f ca="1">IF(NOW()-TODAY()&gt;15/24, AG43, [1]!s_dq_volume(AB43,AR$2,1))/AI$2</f>
        <v>1.1000000000000001</v>
      </c>
      <c r="AS43" s="110"/>
      <c r="AT43" s="110"/>
      <c r="AU43" s="110"/>
      <c r="AV43" s="110"/>
      <c r="AY43" s="10"/>
      <c r="AZ43" s="10"/>
      <c r="BA43" s="6">
        <f t="shared" ca="1" si="32"/>
        <v>1893.936114979485</v>
      </c>
      <c r="BB43" s="6">
        <f t="shared" ca="1" si="33"/>
        <v>0</v>
      </c>
      <c r="BC43" s="6">
        <f t="shared" ca="1" si="34"/>
        <v>7973.9161149794791</v>
      </c>
      <c r="BD43" s="12">
        <f t="shared" ca="1" si="35"/>
        <v>7993.9361149794795</v>
      </c>
      <c r="BE43" s="2">
        <f t="shared" ca="1" si="51"/>
        <v>1.635289984063143E-2</v>
      </c>
      <c r="BF43" s="2">
        <f t="shared" ca="1" si="52"/>
        <v>0</v>
      </c>
      <c r="BG43" s="2">
        <f t="shared" ca="1" si="53"/>
        <v>7.2387139600162423E-2</v>
      </c>
      <c r="BH43" s="13">
        <f t="shared" ca="1" si="54"/>
        <v>7.2582058967896296E-2</v>
      </c>
      <c r="BI43" s="2">
        <f t="shared" ca="1" si="55"/>
        <v>6.6320093798116347E-2</v>
      </c>
      <c r="BJ43" s="2">
        <f t="shared" ca="1" si="56"/>
        <v>0</v>
      </c>
      <c r="BK43" s="2">
        <f t="shared" ca="1" si="57"/>
        <v>0.29357006615621428</v>
      </c>
      <c r="BL43" s="40">
        <f t="shared" ca="1" si="58"/>
        <v>0.29436057248091274</v>
      </c>
      <c r="BN43" s="6">
        <f t="shared" ca="1" si="36"/>
        <v>-2265.3821879098127</v>
      </c>
      <c r="BO43" s="6">
        <f t="shared" ca="1" si="37"/>
        <v>-8365.3821879098068</v>
      </c>
      <c r="BP43" s="6">
        <f t="shared" ca="1" si="38"/>
        <v>0</v>
      </c>
      <c r="BQ43" s="12">
        <f t="shared" ca="1" si="39"/>
        <v>0</v>
      </c>
      <c r="BR43" s="2">
        <f t="shared" ca="1" si="59"/>
        <v>-1.251756497778788E-2</v>
      </c>
      <c r="BS43" s="2">
        <f t="shared" ca="1" si="60"/>
        <v>-6.4097561580587201E-2</v>
      </c>
      <c r="BT43" s="2">
        <f t="shared" ca="1" si="61"/>
        <v>0</v>
      </c>
      <c r="BU43" s="13">
        <f t="shared" ca="1" si="62"/>
        <v>0</v>
      </c>
      <c r="BV43" s="2">
        <f t="shared" ca="1" si="63"/>
        <v>-5.0765680187695297E-2</v>
      </c>
      <c r="BW43" s="2">
        <f t="shared" ca="1" si="64"/>
        <v>-0.2599512219657148</v>
      </c>
      <c r="BX43" s="2">
        <f t="shared" ca="1" si="65"/>
        <v>0</v>
      </c>
      <c r="BY43" s="13">
        <f t="shared" ca="1" si="66"/>
        <v>0</v>
      </c>
      <c r="CB43" s="17"/>
      <c r="CC43" s="94"/>
      <c r="CD43" s="94"/>
      <c r="CE43" s="94"/>
      <c r="CF43" s="39" t="str">
        <f t="shared" si="67"/>
        <v>C2020-06-4300.CFE</v>
      </c>
      <c r="CG43" s="39" t="str">
        <f t="shared" si="68"/>
        <v>P2020-06-4300.CFE</v>
      </c>
      <c r="CH43" s="17" t="s">
        <v>183</v>
      </c>
      <c r="CI43" s="100" t="str">
        <f>IF([1]!w_info_callput(CH43)="认购","C","P")</f>
        <v>C</v>
      </c>
      <c r="CJ43" s="101">
        <f>[1]!w_info_strikeprice(CH43,"")</f>
        <v>4.3</v>
      </c>
      <c r="CK43" s="102" t="str">
        <f>[1]!w_info_lasttradingdate(CH43)</f>
        <v>2020-06-24</v>
      </c>
      <c r="CL43" s="39" t="str">
        <f t="shared" si="69"/>
        <v>10002187.SH</v>
      </c>
      <c r="CM43" s="17"/>
      <c r="CN43" s="17"/>
    </row>
    <row r="44" spans="1:92" ht="16.2" customHeight="1">
      <c r="A44" s="35">
        <f t="shared" si="46"/>
        <v>1</v>
      </c>
      <c r="B44" s="17" t="s">
        <v>184</v>
      </c>
      <c r="C44" s="29" t="str">
        <f>IF([1]!w_info_callput(B44)="认购","C","P")</f>
        <v>C</v>
      </c>
      <c r="D44" s="96">
        <f>[1]!w_info_strikeprice(B44,"")</f>
        <v>4.4000000000000004</v>
      </c>
      <c r="E44" s="18" t="str">
        <f>[1]!w_info_lasttradingdate(B44)</f>
        <v>2020-06-24</v>
      </c>
      <c r="F44" s="15">
        <f>IF(G44&gt;0,RTD("wdf.rtq",,$B44,F$5),0)</f>
        <v>4.4000000000000004E-2</v>
      </c>
      <c r="G44" s="53">
        <f>RTD("wdf.rtq",,$B44,G$5)</f>
        <v>1306</v>
      </c>
      <c r="H44" s="15">
        <f>RTD("wdf.rtq",,$B44,H$5)</f>
        <v>3.9800000000000002E-2</v>
      </c>
      <c r="I44" s="53">
        <f>RTD("wdf.rtq",,$B44,I$5)</f>
        <v>1</v>
      </c>
      <c r="J44" s="15">
        <f>RTD("wdf.rtq",,$B44,J$5)</f>
        <v>4.4400000000000002E-2</v>
      </c>
      <c r="K44" s="54">
        <f>RTD("wdf.rtq",,$B44,K$5)</f>
        <v>1</v>
      </c>
      <c r="L44" s="15">
        <f>[1]!s_dq_presettle(B44,"")</f>
        <v>3.8300000000000001E-2</v>
      </c>
      <c r="M44" s="15">
        <f t="shared" si="47"/>
        <v>0.64700000000000024</v>
      </c>
      <c r="N44" s="3">
        <f t="shared" si="40"/>
        <v>71300.000000000015</v>
      </c>
      <c r="O44" s="15">
        <f t="shared" si="48"/>
        <v>-0.19664000000000026</v>
      </c>
      <c r="P44" s="14">
        <f t="shared" si="49"/>
        <v>3.0800000000000007E-3</v>
      </c>
      <c r="Q44" s="8">
        <f t="shared" si="50"/>
        <v>5649.61</v>
      </c>
      <c r="R44" s="55">
        <f ca="1">IF(NOW()-TODAY()&gt;15/24, G44, [1]!s_dq_volume(B44,R$2,1))/$AI$2</f>
        <v>315.7</v>
      </c>
      <c r="S44" s="110"/>
      <c r="T44" s="110"/>
      <c r="U44" s="110"/>
      <c r="V44" s="110"/>
      <c r="W44" s="110"/>
      <c r="X44" s="110"/>
      <c r="Y44" s="110"/>
      <c r="Z44" s="110"/>
      <c r="AA44" s="110"/>
      <c r="AB44" s="61" t="s">
        <v>193</v>
      </c>
      <c r="AC44" s="29" t="str">
        <f>IF([1]!w_info_callput(AB44)="认购","C","P")</f>
        <v>P</v>
      </c>
      <c r="AD44" s="31">
        <f>[1]!w_info_strikeprice(AB44,"")</f>
        <v>4.4000000000000004</v>
      </c>
      <c r="AE44" s="18" t="str">
        <f>[1]!w_info_lasttradingdate(AB44)</f>
        <v>2020-06-24</v>
      </c>
      <c r="AF44" s="15">
        <f>RTD("wdf.rtq",,$AB44,F$5)</f>
        <v>0.71300000000000008</v>
      </c>
      <c r="AG44" s="53">
        <f>RTD("wdf.rtq",,$AB44,G$5)</f>
        <v>126</v>
      </c>
      <c r="AH44" s="15">
        <f>RTD("wdf.rtq",,$AB44,H$5)</f>
        <v>0</v>
      </c>
      <c r="AI44" s="53">
        <f>RTD("wdf.rtq",,$AB44,I$5)</f>
        <v>0</v>
      </c>
      <c r="AJ44" s="15">
        <f>RTD("wdf.rtq",,$AB44,J$5)</f>
        <v>0</v>
      </c>
      <c r="AK44" s="54">
        <f>RTD("wdf.rtq",,$AB44,K$5)</f>
        <v>0</v>
      </c>
      <c r="AL44" s="15">
        <f>[1]!s_dq_presettle(AB44,"")</f>
        <v>0.77649999999999997</v>
      </c>
      <c r="AM44" s="15">
        <f t="shared" si="41"/>
        <v>0</v>
      </c>
      <c r="AN44" s="3">
        <f t="shared" si="42"/>
        <v>71300.000000000015</v>
      </c>
      <c r="AO44" s="15">
        <f t="shared" si="43"/>
        <v>0.45035999999999998</v>
      </c>
      <c r="AP44" s="14">
        <f t="shared" si="44"/>
        <v>0.30800000000000005</v>
      </c>
      <c r="AQ44" s="8">
        <f t="shared" si="45"/>
        <v>139603.21</v>
      </c>
      <c r="AR44" s="55">
        <f ca="1">IF(NOW()-TODAY()&gt;15/24, AG44, [1]!s_dq_volume(AB44,AR$2,1))/AI$2</f>
        <v>16.399999999999999</v>
      </c>
      <c r="AS44" s="110"/>
      <c r="AT44" s="110"/>
      <c r="AU44" s="110"/>
      <c r="AV44" s="110"/>
      <c r="AY44" s="10"/>
      <c r="AZ44" s="10"/>
      <c r="BA44" s="6">
        <f t="shared" ca="1" si="32"/>
        <v>3143.9361149795359</v>
      </c>
      <c r="BB44" s="6">
        <f t="shared" ca="1" si="33"/>
        <v>0</v>
      </c>
      <c r="BC44" s="6">
        <f t="shared" ca="1" si="34"/>
        <v>0</v>
      </c>
      <c r="BD44" s="12">
        <f t="shared" ca="1" si="35"/>
        <v>0</v>
      </c>
      <c r="BE44" s="2">
        <f t="shared" ca="1" si="51"/>
        <v>2.5773008103001132E-2</v>
      </c>
      <c r="BF44" s="2">
        <f t="shared" ca="1" si="52"/>
        <v>0</v>
      </c>
      <c r="BG44" s="2">
        <f t="shared" ca="1" si="53"/>
        <v>0</v>
      </c>
      <c r="BH44" s="13">
        <f t="shared" ca="1" si="54"/>
        <v>0</v>
      </c>
      <c r="BI44" s="2">
        <f t="shared" ca="1" si="55"/>
        <v>0.10452386619550459</v>
      </c>
      <c r="BJ44" s="2">
        <f t="shared" ca="1" si="56"/>
        <v>0</v>
      </c>
      <c r="BK44" s="2">
        <f t="shared" ca="1" si="57"/>
        <v>0</v>
      </c>
      <c r="BL44" s="40">
        <f t="shared" ca="1" si="58"/>
        <v>0</v>
      </c>
      <c r="BN44" s="6">
        <f t="shared" ca="1" si="36"/>
        <v>-3515.3821879098637</v>
      </c>
      <c r="BO44" s="6">
        <f t="shared" ca="1" si="37"/>
        <v>0</v>
      </c>
      <c r="BP44" s="6">
        <f t="shared" ca="1" si="38"/>
        <v>0</v>
      </c>
      <c r="BQ44" s="12">
        <f t="shared" ca="1" si="39"/>
        <v>0</v>
      </c>
      <c r="BR44" s="2">
        <f t="shared" ca="1" si="59"/>
        <v>-1.8600863601872387E-2</v>
      </c>
      <c r="BS44" s="2">
        <f t="shared" ca="1" si="60"/>
        <v>0</v>
      </c>
      <c r="BT44" s="2">
        <f t="shared" ca="1" si="61"/>
        <v>0</v>
      </c>
      <c r="BU44" s="13">
        <f t="shared" ca="1" si="62"/>
        <v>0</v>
      </c>
      <c r="BV44" s="2">
        <f t="shared" ca="1" si="63"/>
        <v>-7.5436835718704687E-2</v>
      </c>
      <c r="BW44" s="2">
        <f t="shared" ca="1" si="64"/>
        <v>0</v>
      </c>
      <c r="BX44" s="2">
        <f t="shared" ca="1" si="65"/>
        <v>0</v>
      </c>
      <c r="BY44" s="13">
        <f t="shared" ca="1" si="66"/>
        <v>0</v>
      </c>
      <c r="CB44" s="17"/>
      <c r="CC44" s="94"/>
      <c r="CD44" s="94"/>
      <c r="CE44" s="94"/>
      <c r="CF44" s="39" t="str">
        <f t="shared" si="67"/>
        <v>C2020-06-4400.CFE</v>
      </c>
      <c r="CG44" s="39" t="str">
        <f t="shared" si="68"/>
        <v>P2020-06-4400.CFE</v>
      </c>
      <c r="CH44" s="17" t="s">
        <v>184</v>
      </c>
      <c r="CI44" s="100" t="str">
        <f>IF([1]!w_info_callput(CH44)="认购","C","P")</f>
        <v>C</v>
      </c>
      <c r="CJ44" s="101">
        <f>[1]!w_info_strikeprice(CH44,"")</f>
        <v>4.4000000000000004</v>
      </c>
      <c r="CK44" s="102" t="str">
        <f>[1]!w_info_lasttradingdate(CH44)</f>
        <v>2020-06-24</v>
      </c>
      <c r="CL44" s="39" t="str">
        <f t="shared" si="69"/>
        <v>10002188.SH</v>
      </c>
      <c r="CM44" s="17"/>
      <c r="CN44" s="17"/>
    </row>
    <row r="45" spans="1:92" ht="16.2" customHeight="1">
      <c r="A45" s="35">
        <f t="shared" si="46"/>
        <v>1</v>
      </c>
      <c r="B45" s="17" t="s">
        <v>194</v>
      </c>
      <c r="C45" s="29" t="str">
        <f>IF([1]!w_info_callput(B45)="认购","C","P")</f>
        <v>C</v>
      </c>
      <c r="D45" s="96">
        <f>[1]!w_info_strikeprice(B45,"")</f>
        <v>4.5</v>
      </c>
      <c r="E45" s="18" t="str">
        <f>[1]!w_info_lasttradingdate(B45)</f>
        <v>2020-06-24</v>
      </c>
      <c r="F45" s="15">
        <f>IF(G45&gt;0,RTD("wdf.rtq",,$B45,F$5),0)</f>
        <v>3.4500000000000003E-2</v>
      </c>
      <c r="G45" s="53">
        <f>RTD("wdf.rtq",,$B45,G$5)</f>
        <v>1036</v>
      </c>
      <c r="H45" s="15">
        <f>RTD("wdf.rtq",,$B45,H$5)</f>
        <v>3.0700000000000002E-2</v>
      </c>
      <c r="I45" s="53">
        <f>RTD("wdf.rtq",,$B45,I$5)</f>
        <v>30</v>
      </c>
      <c r="J45" s="15">
        <f>RTD("wdf.rtq",,$B45,J$5)</f>
        <v>3.5000000000000003E-2</v>
      </c>
      <c r="K45" s="54">
        <f>RTD("wdf.rtq",,$B45,K$5)</f>
        <v>1</v>
      </c>
      <c r="L45" s="15">
        <f>[1]!s_dq_presettle(B45,"")</f>
        <v>3.0499999999999999E-2</v>
      </c>
      <c r="M45" s="15">
        <f t="shared" si="47"/>
        <v>0.74699999999999989</v>
      </c>
      <c r="N45" s="3">
        <f t="shared" si="40"/>
        <v>79750</v>
      </c>
      <c r="O45" s="15">
        <f t="shared" si="48"/>
        <v>-0.2966399999999999</v>
      </c>
      <c r="P45" s="14">
        <f t="shared" si="49"/>
        <v>2.4150000000000005E-3</v>
      </c>
      <c r="Q45" s="8">
        <f t="shared" si="50"/>
        <v>4429.8100000000004</v>
      </c>
      <c r="R45" s="55">
        <f ca="1">IF(NOW()-TODAY()&gt;15/24, G45, [1]!s_dq_volume(B45,R$2,1))/$AI$2</f>
        <v>369.1</v>
      </c>
      <c r="S45" s="110"/>
      <c r="T45" s="110"/>
      <c r="U45" s="110"/>
      <c r="V45" s="110"/>
      <c r="W45" s="110"/>
      <c r="X45" s="110"/>
      <c r="Y45" s="110"/>
      <c r="Z45" s="110"/>
      <c r="AA45" s="110"/>
      <c r="AB45" s="61" t="s">
        <v>195</v>
      </c>
      <c r="AC45" s="29" t="str">
        <f>IF([1]!w_info_callput(AB45)="认购","C","P")</f>
        <v>P</v>
      </c>
      <c r="AD45" s="31">
        <f>[1]!w_info_strikeprice(AB45,"")</f>
        <v>4.5</v>
      </c>
      <c r="AE45" s="18" t="str">
        <f>[1]!w_info_lasttradingdate(AB45)</f>
        <v>2020-06-24</v>
      </c>
      <c r="AF45" s="15">
        <f>RTD("wdf.rtq",,$AB45,F$5)</f>
        <v>0.79749999999999999</v>
      </c>
      <c r="AG45" s="53">
        <f>RTD("wdf.rtq",,$AB45,G$5)</f>
        <v>115</v>
      </c>
      <c r="AH45" s="15">
        <f>RTD("wdf.rtq",,$AB45,H$5)</f>
        <v>0.74330000000000007</v>
      </c>
      <c r="AI45" s="53">
        <f>RTD("wdf.rtq",,$AB45,I$5)</f>
        <v>1</v>
      </c>
      <c r="AJ45" s="15">
        <f>RTD("wdf.rtq",,$AB45,J$5)</f>
        <v>0</v>
      </c>
      <c r="AK45" s="54">
        <f>RTD("wdf.rtq",,$AB45,K$5)</f>
        <v>0</v>
      </c>
      <c r="AL45" s="15">
        <f>[1]!s_dq_presettle(AB45,"")</f>
        <v>0.86780000000000002</v>
      </c>
      <c r="AM45" s="15">
        <f t="shared" si="41"/>
        <v>0</v>
      </c>
      <c r="AN45" s="3">
        <f t="shared" si="42"/>
        <v>79750</v>
      </c>
      <c r="AO45" s="15">
        <f t="shared" si="43"/>
        <v>0.45035999999999998</v>
      </c>
      <c r="AP45" s="14">
        <f t="shared" si="44"/>
        <v>0.31500000000000006</v>
      </c>
      <c r="AQ45" s="8">
        <f t="shared" si="45"/>
        <v>149743.21</v>
      </c>
      <c r="AR45" s="55">
        <f ca="1">IF(NOW()-TODAY()&gt;15/24, AG45, [1]!s_dq_volume(AB45,AR$2,1))/AI$2</f>
        <v>15.5</v>
      </c>
      <c r="AS45" s="110"/>
      <c r="AT45" s="110"/>
      <c r="AU45" s="110"/>
      <c r="AV45" s="110"/>
      <c r="AY45" s="10"/>
      <c r="AZ45" s="10"/>
      <c r="BA45" s="6">
        <f t="shared" ca="1" si="32"/>
        <v>3743.9361149795031</v>
      </c>
      <c r="BB45" s="6">
        <f t="shared" ca="1" si="33"/>
        <v>0</v>
      </c>
      <c r="BC45" s="6">
        <f t="shared" ca="1" si="34"/>
        <v>9193.9161149795</v>
      </c>
      <c r="BD45" s="12">
        <f t="shared" ca="1" si="35"/>
        <v>9213.9361149795004</v>
      </c>
      <c r="BE45" s="2">
        <f t="shared" ca="1" si="51"/>
        <v>2.8974288169377287E-2</v>
      </c>
      <c r="BF45" s="2">
        <f t="shared" ca="1" si="52"/>
        <v>0</v>
      </c>
      <c r="BG45" s="2">
        <f t="shared" ca="1" si="53"/>
        <v>7.4254783092559035E-2</v>
      </c>
      <c r="BH45" s="13">
        <f t="shared" ca="1" si="54"/>
        <v>7.4428497337506824E-2</v>
      </c>
      <c r="BI45" s="2">
        <f t="shared" ca="1" si="55"/>
        <v>0.11750683535358568</v>
      </c>
      <c r="BJ45" s="2">
        <f t="shared" ca="1" si="56"/>
        <v>0</v>
      </c>
      <c r="BK45" s="2">
        <f t="shared" ca="1" si="57"/>
        <v>0.30114439809760057</v>
      </c>
      <c r="BL45" s="40">
        <f t="shared" ca="1" si="58"/>
        <v>0.30184890586877766</v>
      </c>
      <c r="BN45" s="6">
        <f t="shared" ca="1" si="36"/>
        <v>-4115.3821879098305</v>
      </c>
      <c r="BO45" s="6">
        <f t="shared" ca="1" si="37"/>
        <v>-9585.3821879098286</v>
      </c>
      <c r="BP45" s="6">
        <f t="shared" ca="1" si="38"/>
        <v>0</v>
      </c>
      <c r="BQ45" s="12">
        <f t="shared" ca="1" si="39"/>
        <v>0</v>
      </c>
      <c r="BR45" s="2">
        <f t="shared" ca="1" si="59"/>
        <v>-2.0765852421920587E-2</v>
      </c>
      <c r="BS45" s="2">
        <f t="shared" ca="1" si="60"/>
        <v>-6.3991411915375482E-2</v>
      </c>
      <c r="BT45" s="2">
        <f t="shared" ca="1" si="61"/>
        <v>0</v>
      </c>
      <c r="BU45" s="13">
        <f t="shared" ca="1" si="62"/>
        <v>0</v>
      </c>
      <c r="BV45" s="2">
        <f t="shared" ca="1" si="63"/>
        <v>-8.4217068155566815E-2</v>
      </c>
      <c r="BW45" s="2">
        <f t="shared" ca="1" si="64"/>
        <v>-0.25952072610124505</v>
      </c>
      <c r="BX45" s="2">
        <f t="shared" ca="1" si="65"/>
        <v>0</v>
      </c>
      <c r="BY45" s="13">
        <f t="shared" ca="1" si="66"/>
        <v>0</v>
      </c>
      <c r="CB45" s="17"/>
      <c r="CC45" s="94"/>
      <c r="CD45" s="94"/>
      <c r="CE45" s="94"/>
      <c r="CF45" s="39" t="str">
        <f t="shared" si="67"/>
        <v>C2020-06-4500.CFE</v>
      </c>
      <c r="CG45" s="39" t="str">
        <f t="shared" si="68"/>
        <v>P2020-06-4500.CFE</v>
      </c>
      <c r="CH45" s="17" t="s">
        <v>194</v>
      </c>
      <c r="CI45" s="100" t="str">
        <f>IF([1]!w_info_callput(CH45)="认购","C","P")</f>
        <v>C</v>
      </c>
      <c r="CJ45" s="101">
        <f>[1]!w_info_strikeprice(CH45,"")</f>
        <v>4.5</v>
      </c>
      <c r="CK45" s="102" t="str">
        <f>[1]!w_info_lasttradingdate(CH45)</f>
        <v>2020-06-24</v>
      </c>
      <c r="CL45" s="39" t="str">
        <f t="shared" si="69"/>
        <v>10002222.SH</v>
      </c>
      <c r="CM45" s="17"/>
      <c r="CN45" s="17"/>
    </row>
    <row r="46" spans="1:92" s="128" customFormat="1" ht="16.2" customHeight="1">
      <c r="A46" s="115">
        <f t="shared" si="46"/>
        <v>1</v>
      </c>
      <c r="B46" s="135" t="s">
        <v>196</v>
      </c>
      <c r="C46" s="117" t="str">
        <f>IF([1]!w_info_callput(B46)="认购","C","P")</f>
        <v>C</v>
      </c>
      <c r="D46" s="118">
        <f>[1]!w_info_strikeprice(B46,"")</f>
        <v>4.5999999999999996</v>
      </c>
      <c r="E46" s="119" t="str">
        <f>[1]!w_info_lasttradingdate(B46)</f>
        <v>2020-06-24</v>
      </c>
      <c r="F46" s="120">
        <f>IF(G46&gt;0,RTD("wdf.rtq",,$B46,F$5),0)</f>
        <v>2.75E-2</v>
      </c>
      <c r="G46" s="121">
        <f>RTD("wdf.rtq",,$B46,G$5)</f>
        <v>2254</v>
      </c>
      <c r="H46" s="120">
        <f>RTD("wdf.rtq",,$B46,H$5)</f>
        <v>2.4200000000000003E-2</v>
      </c>
      <c r="I46" s="121">
        <f>RTD("wdf.rtq",,$B46,I$5)</f>
        <v>4</v>
      </c>
      <c r="J46" s="120">
        <f>RTD("wdf.rtq",,$B46,J$5)</f>
        <v>2.8000000000000001E-2</v>
      </c>
      <c r="K46" s="121">
        <f>RTD("wdf.rtq",,$B46,K$5)</f>
        <v>1</v>
      </c>
      <c r="L46" s="120">
        <f>[1]!s_dq_presettle(B46,"")</f>
        <v>2.4799999999999999E-2</v>
      </c>
      <c r="M46" s="120">
        <f t="shared" si="47"/>
        <v>0.84699999999999953</v>
      </c>
      <c r="N46" s="122">
        <f t="shared" si="40"/>
        <v>89690</v>
      </c>
      <c r="O46" s="120">
        <f t="shared" si="48"/>
        <v>-0.39663999999999955</v>
      </c>
      <c r="P46" s="123">
        <f t="shared" si="49"/>
        <v>1.9250000000000003E-3</v>
      </c>
      <c r="Q46" s="124">
        <f t="shared" si="50"/>
        <v>3531.01</v>
      </c>
      <c r="R46" s="125">
        <f ca="1">IF(NOW()-TODAY()&gt;15/24, G46, [1]!s_dq_volume(B46,R$2,1))/$AI$2</f>
        <v>392.6</v>
      </c>
      <c r="S46" s="127"/>
      <c r="T46" s="127"/>
      <c r="U46" s="127"/>
      <c r="V46" s="127"/>
      <c r="W46" s="127"/>
      <c r="X46" s="127"/>
      <c r="Y46" s="127"/>
      <c r="Z46" s="127"/>
      <c r="AA46" s="127"/>
      <c r="AB46" s="116" t="s">
        <v>197</v>
      </c>
      <c r="AC46" s="117" t="str">
        <f>IF([1]!w_info_callput(AB46)="认购","C","P")</f>
        <v>P</v>
      </c>
      <c r="AD46" s="126">
        <f>[1]!w_info_strikeprice(AB46,"")</f>
        <v>4.5999999999999996</v>
      </c>
      <c r="AE46" s="119" t="str">
        <f>[1]!w_info_lasttradingdate(AB46)</f>
        <v>2020-06-24</v>
      </c>
      <c r="AF46" s="120">
        <f>RTD("wdf.rtq",,$AB46,F$5)</f>
        <v>0.89690000000000003</v>
      </c>
      <c r="AG46" s="121">
        <f>RTD("wdf.rtq",,$AB46,G$5)</f>
        <v>78</v>
      </c>
      <c r="AH46" s="120">
        <f>RTD("wdf.rtq",,$AB46,H$5)</f>
        <v>0.87780000000000002</v>
      </c>
      <c r="AI46" s="121">
        <f>RTD("wdf.rtq",,$AB46,I$5)</f>
        <v>3</v>
      </c>
      <c r="AJ46" s="120">
        <f>RTD("wdf.rtq",,$AB46,J$5)</f>
        <v>0.8911</v>
      </c>
      <c r="AK46" s="121">
        <f>RTD("wdf.rtq",,$AB46,K$5)</f>
        <v>5</v>
      </c>
      <c r="AL46" s="120">
        <f>[1]!s_dq_presettle(AB46,"")</f>
        <v>0.96040000000000003</v>
      </c>
      <c r="AM46" s="120">
        <f t="shared" si="41"/>
        <v>0</v>
      </c>
      <c r="AN46" s="122">
        <f t="shared" si="42"/>
        <v>89690</v>
      </c>
      <c r="AO46" s="120">
        <f t="shared" si="43"/>
        <v>0.45035999999999998</v>
      </c>
      <c r="AP46" s="123">
        <f t="shared" si="44"/>
        <v>0.32200000000000001</v>
      </c>
      <c r="AQ46" s="124">
        <f t="shared" si="45"/>
        <v>161671.21</v>
      </c>
      <c r="AR46" s="125">
        <f ca="1">IF(NOW()-TODAY()&gt;15/24, AG46, [1]!s_dq_volume(AB46,AR$2,1))/AI$2</f>
        <v>14.2</v>
      </c>
      <c r="AS46" s="127"/>
      <c r="AT46" s="127"/>
      <c r="AU46" s="127"/>
      <c r="AV46" s="127"/>
      <c r="AX46" s="129"/>
      <c r="AY46" s="130"/>
      <c r="AZ46" s="130"/>
      <c r="BA46" s="131">
        <f t="shared" ca="1" si="32"/>
        <v>3103.9361149794627</v>
      </c>
      <c r="BB46" s="131">
        <f t="shared" ca="1" si="33"/>
        <v>3353.9361149794686</v>
      </c>
      <c r="BC46" s="131">
        <f t="shared" ca="1" si="34"/>
        <v>5043.9161149794681</v>
      </c>
      <c r="BD46" s="141">
        <f t="shared" ca="1" si="35"/>
        <v>5063.9361149794686</v>
      </c>
      <c r="BE46" s="132">
        <f t="shared" ca="1" si="51"/>
        <v>2.2450479111181868E-2</v>
      </c>
      <c r="BF46" s="132">
        <f t="shared" ca="1" si="52"/>
        <v>2.4360901758249023E-2</v>
      </c>
      <c r="BG46" s="132">
        <f t="shared" ca="1" si="53"/>
        <v>3.6987803098267449E-2</v>
      </c>
      <c r="BH46" s="133">
        <f t="shared" ca="1" si="54"/>
        <v>3.7140059873549618E-2</v>
      </c>
      <c r="BI46" s="132">
        <f t="shared" ca="1" si="55"/>
        <v>9.1049165284237565E-2</v>
      </c>
      <c r="BJ46" s="132">
        <f t="shared" ca="1" si="56"/>
        <v>9.8796990464009943E-2</v>
      </c>
      <c r="BK46" s="132">
        <f t="shared" ca="1" si="57"/>
        <v>0.15000609034297355</v>
      </c>
      <c r="BL46" s="132">
        <f t="shared" ca="1" si="58"/>
        <v>0.15062357615384012</v>
      </c>
      <c r="BM46" s="134"/>
      <c r="BN46" s="131">
        <f t="shared" ca="1" si="36"/>
        <v>-3475.3821879097904</v>
      </c>
      <c r="BO46" s="131">
        <f t="shared" ca="1" si="37"/>
        <v>-5435.3821879097968</v>
      </c>
      <c r="BP46" s="131">
        <f t="shared" ca="1" si="38"/>
        <v>-3765.3821879097964</v>
      </c>
      <c r="BQ46" s="141">
        <f t="shared" ca="1" si="39"/>
        <v>-3725.3821879097964</v>
      </c>
      <c r="BR46" s="132">
        <f t="shared" ca="1" si="59"/>
        <v>-1.6596203336887719E-2</v>
      </c>
      <c r="BS46" s="132">
        <f t="shared" ca="1" si="60"/>
        <v>-3.3610041410144967E-2</v>
      </c>
      <c r="BT46" s="132">
        <f t="shared" ca="1" si="61"/>
        <v>-2.3283538968801205E-2</v>
      </c>
      <c r="BU46" s="133">
        <f t="shared" ca="1" si="62"/>
        <v>-2.3036198649813707E-2</v>
      </c>
      <c r="BV46" s="132">
        <f t="shared" ca="1" si="63"/>
        <v>-6.7306824644044638E-2</v>
      </c>
      <c r="BW46" s="132">
        <f t="shared" ca="1" si="64"/>
        <v>-0.13630739016336571</v>
      </c>
      <c r="BX46" s="132">
        <f t="shared" ca="1" si="65"/>
        <v>-9.442768581791601E-2</v>
      </c>
      <c r="BY46" s="133">
        <f t="shared" ca="1" si="66"/>
        <v>-9.342458341313338E-2</v>
      </c>
      <c r="CB46" s="135"/>
      <c r="CC46" s="136"/>
      <c r="CD46" s="136"/>
      <c r="CE46" s="136"/>
      <c r="CF46" s="39" t="str">
        <f t="shared" si="67"/>
        <v>C2020-06-4600.CFE</v>
      </c>
      <c r="CG46" s="39" t="str">
        <f t="shared" si="68"/>
        <v>P2020-06-4600.CFE</v>
      </c>
      <c r="CH46" s="17" t="s">
        <v>196</v>
      </c>
      <c r="CI46" s="100" t="str">
        <f>IF([1]!w_info_callput(CH46)="认购","C","P")</f>
        <v>C</v>
      </c>
      <c r="CJ46" s="101">
        <f>[1]!w_info_strikeprice(CH46,"")</f>
        <v>4.5999999999999996</v>
      </c>
      <c r="CK46" s="102" t="str">
        <f>[1]!w_info_lasttradingdate(CH46)</f>
        <v>2020-06-24</v>
      </c>
      <c r="CL46" s="39" t="str">
        <f t="shared" si="69"/>
        <v>10002230.SH</v>
      </c>
      <c r="CM46" s="135"/>
      <c r="CN46" s="135"/>
    </row>
    <row r="47" spans="1:92" ht="16.2" customHeight="1">
      <c r="A47" s="35">
        <f t="shared" si="46"/>
        <v>1</v>
      </c>
      <c r="B47" s="17" t="s">
        <v>402</v>
      </c>
      <c r="C47" s="29" t="str">
        <f>IF([1]!w_info_callput(B47)="认购","C","P")</f>
        <v>C</v>
      </c>
      <c r="D47" s="96">
        <f>[1]!w_info_strikeprice(B47,"")</f>
        <v>3.1</v>
      </c>
      <c r="E47" s="18" t="str">
        <f>[1]!w_info_lasttradingdate(B47)</f>
        <v>2020-09-23</v>
      </c>
      <c r="F47" s="15">
        <f>IF(G47&gt;0,RTD("wdf.rtq",,$B47,F$5),0)</f>
        <v>0.70000000000000007</v>
      </c>
      <c r="G47" s="53">
        <f>RTD("wdf.rtq",,$B47,G$5)</f>
        <v>175</v>
      </c>
      <c r="H47" s="15">
        <f>RTD("wdf.rtq",,$B47,H$5)</f>
        <v>0.64900000000000002</v>
      </c>
      <c r="I47" s="53">
        <f>RTD("wdf.rtq",,$B47,I$5)</f>
        <v>1</v>
      </c>
      <c r="J47" s="15">
        <f>RTD("wdf.rtq",,$B47,J$5)</f>
        <v>0.72000000000000008</v>
      </c>
      <c r="K47" s="54">
        <f>RTD("wdf.rtq",,$B47,K$5)</f>
        <v>1</v>
      </c>
      <c r="L47" s="15">
        <f>[1]!s_dq_presettle(B47,"")</f>
        <v>0.64900000000000002</v>
      </c>
      <c r="M47" s="15">
        <f t="shared" si="47"/>
        <v>0</v>
      </c>
      <c r="N47" s="3">
        <f t="shared" si="40"/>
        <v>7770.0000000000009</v>
      </c>
      <c r="O47" s="15">
        <f t="shared" si="48"/>
        <v>0.45035999999999998</v>
      </c>
      <c r="P47" s="14">
        <f t="shared" si="49"/>
        <v>4.9000000000000009E-2</v>
      </c>
      <c r="Q47" s="8">
        <f t="shared" si="50"/>
        <v>138043.21</v>
      </c>
      <c r="R47" s="55">
        <f ca="1">IF(NOW()-TODAY()&gt;15/24, G47, [1]!s_dq_volume(B47,R$2,1))/$AI$2</f>
        <v>25.6</v>
      </c>
      <c r="S47" s="110"/>
      <c r="T47" s="110"/>
      <c r="U47" s="110"/>
      <c r="V47" s="110"/>
      <c r="W47" s="110"/>
      <c r="X47" s="110"/>
      <c r="Y47" s="110"/>
      <c r="Z47" s="110"/>
      <c r="AA47" s="110"/>
      <c r="AB47" s="61" t="s">
        <v>403</v>
      </c>
      <c r="AC47" s="29" t="str">
        <f>IF([1]!w_info_callput(AB47)="认购","C","P")</f>
        <v>P</v>
      </c>
      <c r="AD47" s="31">
        <f>[1]!w_info_strikeprice(AB47,"")</f>
        <v>3.1</v>
      </c>
      <c r="AE47" s="18" t="str">
        <f>[1]!w_info_lasttradingdate(AB47)</f>
        <v>2020-09-23</v>
      </c>
      <c r="AF47" s="15">
        <f>RTD("wdf.rtq",,$AB47,F$5)</f>
        <v>7.7700000000000005E-2</v>
      </c>
      <c r="AG47" s="53">
        <f>RTD("wdf.rtq",,$AB47,G$5)</f>
        <v>1217</v>
      </c>
      <c r="AH47" s="15">
        <f>RTD("wdf.rtq",,$AB47,H$5)</f>
        <v>7.0000000000000007E-2</v>
      </c>
      <c r="AI47" s="53">
        <f>RTD("wdf.rtq",,$AB47,I$5)</f>
        <v>2</v>
      </c>
      <c r="AJ47" s="15">
        <f>RTD("wdf.rtq",,$AB47,J$5)</f>
        <v>8.3000000000000004E-2</v>
      </c>
      <c r="AK47" s="54">
        <f>RTD("wdf.rtq",,$AB47,K$5)</f>
        <v>1</v>
      </c>
      <c r="AL47" s="15">
        <f>[1]!s_dq_presettle(AB47,"")</f>
        <v>9.2700000000000005E-2</v>
      </c>
      <c r="AM47" s="15">
        <f t="shared" si="41"/>
        <v>0.65300000000000002</v>
      </c>
      <c r="AN47" s="3">
        <f t="shared" si="42"/>
        <v>7770.0000000000009</v>
      </c>
      <c r="AO47" s="15">
        <f t="shared" si="43"/>
        <v>-0.20264000000000004</v>
      </c>
      <c r="AP47" s="14">
        <f t="shared" si="44"/>
        <v>0.21700000000000003</v>
      </c>
      <c r="AQ47" s="8">
        <f t="shared" si="45"/>
        <v>35364.01</v>
      </c>
      <c r="AR47" s="55">
        <f ca="1">IF(NOW()-TODAY()&gt;15/24, AG47, [1]!s_dq_volume(AB47,AR$2,1))/AI$2</f>
        <v>138.30000000000001</v>
      </c>
      <c r="AS47" s="110"/>
      <c r="AT47" s="110"/>
      <c r="AU47" s="110"/>
      <c r="AV47" s="110"/>
      <c r="AY47" s="10"/>
      <c r="AZ47" s="10"/>
      <c r="BA47" s="6">
        <f t="shared" ca="1" si="32"/>
        <v>7959.8003271994739</v>
      </c>
      <c r="BB47" s="6">
        <f t="shared" ca="1" si="33"/>
        <v>2329.8003271994721</v>
      </c>
      <c r="BC47" s="6">
        <f t="shared" ca="1" si="34"/>
        <v>10709.78032719948</v>
      </c>
      <c r="BD47" s="12">
        <f t="shared" ca="1" si="35"/>
        <v>10729.80032719948</v>
      </c>
      <c r="BE47" s="2">
        <f t="shared" ca="1" si="51"/>
        <v>4.1707274173152065E-2</v>
      </c>
      <c r="BF47" s="2">
        <f t="shared" ca="1" si="52"/>
        <v>1.2173737822407524E-2</v>
      </c>
      <c r="BG47" s="2">
        <f t="shared" ca="1" si="53"/>
        <v>5.6337847628085781E-2</v>
      </c>
      <c r="BH47" s="13">
        <f t="shared" ca="1" si="54"/>
        <v>5.6449099968373613E-2</v>
      </c>
      <c r="BI47" s="2">
        <f t="shared" ca="1" si="55"/>
        <v>8.4105829133704443E-2</v>
      </c>
      <c r="BJ47" s="2">
        <f t="shared" ca="1" si="56"/>
        <v>2.4549250304854952E-2</v>
      </c>
      <c r="BK47" s="2">
        <f t="shared" ca="1" si="57"/>
        <v>0.11360947173619508</v>
      </c>
      <c r="BL47" s="40">
        <f t="shared" ca="1" si="58"/>
        <v>0.11383382037821198</v>
      </c>
      <c r="BN47" s="6">
        <f t="shared" ca="1" si="36"/>
        <v>-8331.2464001298031</v>
      </c>
      <c r="BO47" s="6">
        <f t="shared" ca="1" si="37"/>
        <v>-11101.246400129809</v>
      </c>
      <c r="BP47" s="6">
        <f t="shared" ca="1" si="38"/>
        <v>-2741.2464001298013</v>
      </c>
      <c r="BQ47" s="12">
        <f t="shared" ca="1" si="39"/>
        <v>-2701.2464001298013</v>
      </c>
      <c r="BR47" s="2">
        <f t="shared" ca="1" si="59"/>
        <v>-5.5411953759145212E-2</v>
      </c>
      <c r="BS47" s="2">
        <f t="shared" ca="1" si="60"/>
        <v>-0.31287864831245471</v>
      </c>
      <c r="BT47" s="2">
        <f t="shared" ca="1" si="61"/>
        <v>-7.7274984763769844E-2</v>
      </c>
      <c r="BU47" s="13">
        <f t="shared" ca="1" si="62"/>
        <v>-7.6147438657531027E-2</v>
      </c>
      <c r="BV47" s="2">
        <f t="shared" ca="1" si="63"/>
        <v>-0.11174233769109393</v>
      </c>
      <c r="BW47" s="2">
        <f t="shared" ca="1" si="64"/>
        <v>-0.63094313057483964</v>
      </c>
      <c r="BX47" s="2">
        <f t="shared" ca="1" si="65"/>
        <v>-0.15583077037997786</v>
      </c>
      <c r="BY47" s="13">
        <f t="shared" ca="1" si="66"/>
        <v>-0.15355698955800456</v>
      </c>
      <c r="CB47" s="17"/>
      <c r="CC47" s="94"/>
      <c r="CD47" s="94"/>
      <c r="CE47" s="94"/>
      <c r="CF47" s="39" t="str">
        <f t="shared" si="67"/>
        <v>C2020-09-3100.CFE</v>
      </c>
      <c r="CG47" s="39" t="str">
        <f t="shared" si="68"/>
        <v>P2020-09-3100.CFE</v>
      </c>
      <c r="CH47" s="17" t="s">
        <v>402</v>
      </c>
      <c r="CI47" s="100" t="str">
        <f>IF([1]!w_info_callput(CH47)="认购","C","P")</f>
        <v>C</v>
      </c>
      <c r="CJ47" s="101">
        <f>[1]!w_info_strikeprice(CH47,"")</f>
        <v>3.1</v>
      </c>
      <c r="CK47" s="102" t="str">
        <f>[1]!w_info_lasttradingdate(CH47)</f>
        <v>2020-09-23</v>
      </c>
      <c r="CL47" s="39" t="str">
        <f t="shared" si="69"/>
        <v>10002432.SH</v>
      </c>
      <c r="CM47" s="17"/>
      <c r="CN47" s="17"/>
    </row>
    <row r="48" spans="1:92" ht="16.2" customHeight="1">
      <c r="A48" s="35">
        <f t="shared" si="46"/>
        <v>1</v>
      </c>
      <c r="B48" s="17" t="s">
        <v>387</v>
      </c>
      <c r="C48" s="29" t="str">
        <f>IF([1]!w_info_callput(B48)="认购","C","P")</f>
        <v>C</v>
      </c>
      <c r="D48" s="96">
        <f>[1]!w_info_strikeprice(B48,"")</f>
        <v>3.2</v>
      </c>
      <c r="E48" s="18" t="str">
        <f>[1]!w_info_lasttradingdate(B48)</f>
        <v>2020-09-23</v>
      </c>
      <c r="F48" s="15">
        <f>IF(G48&gt;0,RTD("wdf.rtq",,$B48,F$5),0)</f>
        <v>0.61780000000000002</v>
      </c>
      <c r="G48" s="53">
        <f>RTD("wdf.rtq",,$B48,G$5)</f>
        <v>138</v>
      </c>
      <c r="H48" s="15">
        <f>RTD("wdf.rtq",,$B48,H$5)</f>
        <v>0.57550000000000001</v>
      </c>
      <c r="I48" s="53">
        <f>RTD("wdf.rtq",,$B48,I$5)</f>
        <v>2</v>
      </c>
      <c r="J48" s="15">
        <f>RTD("wdf.rtq",,$B48,J$5)</f>
        <v>0</v>
      </c>
      <c r="K48" s="54">
        <f>RTD("wdf.rtq",,$B48,K$5)</f>
        <v>0</v>
      </c>
      <c r="L48" s="15">
        <f>[1]!s_dq_presettle(B48,"")</f>
        <v>0.57740000000000002</v>
      </c>
      <c r="M48" s="15">
        <f t="shared" si="47"/>
        <v>0</v>
      </c>
      <c r="N48" s="3">
        <f t="shared" si="40"/>
        <v>9900</v>
      </c>
      <c r="O48" s="15">
        <f t="shared" si="48"/>
        <v>0.45035999999999998</v>
      </c>
      <c r="P48" s="14">
        <f t="shared" si="49"/>
        <v>4.3246000000000007E-2</v>
      </c>
      <c r="Q48" s="8">
        <f t="shared" si="50"/>
        <v>128179.20999999999</v>
      </c>
      <c r="R48" s="55">
        <f ca="1">IF(NOW()-TODAY()&gt;15/24, G48, [1]!s_dq_volume(B48,R$2,1))/$AI$2</f>
        <v>20.5</v>
      </c>
      <c r="S48" s="110"/>
      <c r="T48" s="110"/>
      <c r="U48" s="110"/>
      <c r="V48" s="110"/>
      <c r="W48" s="110"/>
      <c r="X48" s="110"/>
      <c r="Y48" s="110"/>
      <c r="Z48" s="110"/>
      <c r="AA48" s="110"/>
      <c r="AB48" s="61" t="s">
        <v>388</v>
      </c>
      <c r="AC48" s="29" t="str">
        <f>IF([1]!w_info_callput(AB48)="认购","C","P")</f>
        <v>P</v>
      </c>
      <c r="AD48" s="31">
        <f>[1]!w_info_strikeprice(AB48,"")</f>
        <v>3.2</v>
      </c>
      <c r="AE48" s="18" t="str">
        <f>[1]!w_info_lasttradingdate(AB48)</f>
        <v>2020-09-23</v>
      </c>
      <c r="AF48" s="15">
        <f>RTD("wdf.rtq",,$AB48,F$5)</f>
        <v>9.9000000000000005E-2</v>
      </c>
      <c r="AG48" s="53">
        <f>RTD("wdf.rtq",,$AB48,G$5)</f>
        <v>1298</v>
      </c>
      <c r="AH48" s="15">
        <f>RTD("wdf.rtq",,$AB48,H$5)</f>
        <v>9.9000000000000005E-2</v>
      </c>
      <c r="AI48" s="53">
        <f>RTD("wdf.rtq",,$AB48,I$5)</f>
        <v>5</v>
      </c>
      <c r="AJ48" s="15">
        <f>RTD("wdf.rtq",,$AB48,J$5)</f>
        <v>0.1024</v>
      </c>
      <c r="AK48" s="54">
        <f>RTD("wdf.rtq",,$AB48,K$5)</f>
        <v>2</v>
      </c>
      <c r="AL48" s="15">
        <f>[1]!s_dq_presettle(AB48,"")</f>
        <v>0.12</v>
      </c>
      <c r="AM48" s="15">
        <f t="shared" si="41"/>
        <v>0.55299999999999994</v>
      </c>
      <c r="AN48" s="3">
        <f t="shared" si="42"/>
        <v>9900</v>
      </c>
      <c r="AO48" s="15">
        <f t="shared" si="43"/>
        <v>-0.10263999999999995</v>
      </c>
      <c r="AP48" s="14">
        <f t="shared" si="44"/>
        <v>0.22400000000000003</v>
      </c>
      <c r="AQ48" s="8">
        <f t="shared" si="45"/>
        <v>38760.010000000009</v>
      </c>
      <c r="AR48" s="55">
        <f ca="1">IF(NOW()-TODAY()&gt;15/24, AG48, [1]!s_dq_volume(AB48,AR$2,1))/AI$2</f>
        <v>319.5</v>
      </c>
      <c r="AS48" s="110"/>
      <c r="AT48" s="110"/>
      <c r="AU48" s="110"/>
      <c r="AV48" s="110"/>
      <c r="AY48" s="10"/>
      <c r="AZ48" s="10"/>
      <c r="BA48" s="6">
        <f t="shared" ca="1" si="32"/>
        <v>7609.8003271994785</v>
      </c>
      <c r="BB48" s="6">
        <f t="shared" ca="1" si="33"/>
        <v>3039.8003271994771</v>
      </c>
      <c r="BC48" s="6">
        <f t="shared" ca="1" si="34"/>
        <v>0</v>
      </c>
      <c r="BD48" s="12">
        <f t="shared" ca="1" si="35"/>
        <v>0</v>
      </c>
      <c r="BE48" s="2">
        <f t="shared" ca="1" si="51"/>
        <v>4.1557445321988705E-2</v>
      </c>
      <c r="BF48" s="2">
        <f t="shared" ca="1" si="52"/>
        <v>1.6569713812976353E-2</v>
      </c>
      <c r="BG48" s="2">
        <f t="shared" ca="1" si="53"/>
        <v>0</v>
      </c>
      <c r="BH48" s="13">
        <f t="shared" ca="1" si="54"/>
        <v>0</v>
      </c>
      <c r="BI48" s="2">
        <f t="shared" ca="1" si="55"/>
        <v>8.3803688080253472E-2</v>
      </c>
      <c r="BJ48" s="2">
        <f t="shared" ca="1" si="56"/>
        <v>3.3414063766499275E-2</v>
      </c>
      <c r="BK48" s="2">
        <f t="shared" ca="1" si="57"/>
        <v>0</v>
      </c>
      <c r="BL48" s="40">
        <f t="shared" ca="1" si="58"/>
        <v>0</v>
      </c>
      <c r="BN48" s="6">
        <f t="shared" ca="1" si="36"/>
        <v>-7981.2464001298085</v>
      </c>
      <c r="BO48" s="6">
        <f t="shared" ca="1" si="37"/>
        <v>0</v>
      </c>
      <c r="BP48" s="6">
        <f t="shared" ca="1" si="38"/>
        <v>-3451.2464001298063</v>
      </c>
      <c r="BQ48" s="12">
        <f t="shared" ca="1" si="39"/>
        <v>-3411.2464001298063</v>
      </c>
      <c r="BR48" s="2">
        <f t="shared" ca="1" si="59"/>
        <v>-5.4843724518464511E-2</v>
      </c>
      <c r="BS48" s="2">
        <f t="shared" ca="1" si="60"/>
        <v>0</v>
      </c>
      <c r="BT48" s="2">
        <f t="shared" ca="1" si="61"/>
        <v>-8.8806444387040717E-2</v>
      </c>
      <c r="BU48" s="13">
        <f t="shared" ca="1" si="62"/>
        <v>-8.7777221474504161E-2</v>
      </c>
      <c r="BV48" s="2">
        <f t="shared" ca="1" si="63"/>
        <v>-0.11059646104552237</v>
      </c>
      <c r="BW48" s="2">
        <f t="shared" ca="1" si="64"/>
        <v>0</v>
      </c>
      <c r="BX48" s="2">
        <f t="shared" ca="1" si="65"/>
        <v>-0.1790848187915462</v>
      </c>
      <c r="BY48" s="13">
        <f t="shared" ca="1" si="66"/>
        <v>-0.17700931402317138</v>
      </c>
      <c r="CB48" s="17"/>
      <c r="CC48" s="94"/>
      <c r="CD48" s="94"/>
      <c r="CE48" s="94"/>
      <c r="CF48" s="128" t="str">
        <f t="shared" si="67"/>
        <v>C2020-09-3200.CFE</v>
      </c>
      <c r="CG48" s="128" t="str">
        <f t="shared" si="68"/>
        <v>P2020-09-3200.CFE</v>
      </c>
      <c r="CH48" s="135" t="s">
        <v>387</v>
      </c>
      <c r="CI48" s="117" t="str">
        <f>IF([1]!w_info_callput(CH48)="认购","C","P")</f>
        <v>C</v>
      </c>
      <c r="CJ48" s="137">
        <f>[1]!w_info_strikeprice(CH48,"")</f>
        <v>3.2</v>
      </c>
      <c r="CK48" s="138" t="str">
        <f>[1]!w_info_lasttradingdate(CH48)</f>
        <v>2020-09-23</v>
      </c>
      <c r="CL48" s="128" t="str">
        <f t="shared" si="69"/>
        <v>10002416.SH</v>
      </c>
      <c r="CM48" s="17"/>
      <c r="CN48" s="17"/>
    </row>
    <row r="49" spans="1:92" ht="16.2" customHeight="1">
      <c r="A49" s="35">
        <f t="shared" si="46"/>
        <v>1</v>
      </c>
      <c r="B49" s="17" t="s">
        <v>225</v>
      </c>
      <c r="C49" s="29" t="str">
        <f>IF([1]!w_info_callput(B49)="认购","C","P")</f>
        <v>C</v>
      </c>
      <c r="D49" s="96">
        <f>[1]!w_info_strikeprice(B49,"")</f>
        <v>3.3</v>
      </c>
      <c r="E49" s="18" t="str">
        <f>[1]!w_info_lasttradingdate(B49)</f>
        <v>2020-09-23</v>
      </c>
      <c r="F49" s="15">
        <f>IF(G49&gt;0,RTD("wdf.rtq",,$B49,F$5),0)</f>
        <v>0.5514</v>
      </c>
      <c r="G49" s="53">
        <f>RTD("wdf.rtq",,$B49,G$5)</f>
        <v>114</v>
      </c>
      <c r="H49" s="15">
        <f>RTD("wdf.rtq",,$B49,H$5)</f>
        <v>0.53410000000000002</v>
      </c>
      <c r="I49" s="53">
        <f>RTD("wdf.rtq",,$B49,I$5)</f>
        <v>1</v>
      </c>
      <c r="J49" s="15">
        <f>RTD("wdf.rtq",,$B49,J$5)</f>
        <v>0.56520000000000004</v>
      </c>
      <c r="K49" s="54">
        <f>RTD("wdf.rtq",,$B49,K$5)</f>
        <v>5</v>
      </c>
      <c r="L49" s="15">
        <f>[1]!s_dq_presettle(B49,"")</f>
        <v>0.50560000000000005</v>
      </c>
      <c r="M49" s="15">
        <f t="shared" si="47"/>
        <v>0</v>
      </c>
      <c r="N49" s="3">
        <f t="shared" si="40"/>
        <v>12550</v>
      </c>
      <c r="O49" s="15">
        <f t="shared" si="48"/>
        <v>0.45035999999999998</v>
      </c>
      <c r="P49" s="14">
        <f t="shared" si="49"/>
        <v>3.8598E-2</v>
      </c>
      <c r="Q49" s="8">
        <f t="shared" si="50"/>
        <v>120211.20999999999</v>
      </c>
      <c r="R49" s="55">
        <f ca="1">IF(NOW()-TODAY()&gt;15/24, G49, [1]!s_dq_volume(B49,R$2,1))/$AI$2</f>
        <v>14.3</v>
      </c>
      <c r="S49" s="110"/>
      <c r="T49" s="110"/>
      <c r="U49" s="110"/>
      <c r="V49" s="110"/>
      <c r="W49" s="110"/>
      <c r="X49" s="110"/>
      <c r="Y49" s="110"/>
      <c r="Z49" s="110"/>
      <c r="AA49" s="110"/>
      <c r="AB49" s="61" t="s">
        <v>228</v>
      </c>
      <c r="AC49" s="29" t="str">
        <f>IF([1]!w_info_callput(AB49)="认购","C","P")</f>
        <v>P</v>
      </c>
      <c r="AD49" s="31">
        <f>[1]!w_info_strikeprice(AB49,"")</f>
        <v>3.3</v>
      </c>
      <c r="AE49" s="18" t="str">
        <f>[1]!w_info_lasttradingdate(AB49)</f>
        <v>2020-09-23</v>
      </c>
      <c r="AF49" s="15">
        <f>RTD("wdf.rtq",,$AB49,F$5)</f>
        <v>0.1255</v>
      </c>
      <c r="AG49" s="53">
        <f>RTD("wdf.rtq",,$AB49,G$5)</f>
        <v>801</v>
      </c>
      <c r="AH49" s="15">
        <f>RTD("wdf.rtq",,$AB49,H$5)</f>
        <v>0.1246</v>
      </c>
      <c r="AI49" s="53">
        <f>RTD("wdf.rtq",,$AB49,I$5)</f>
        <v>40</v>
      </c>
      <c r="AJ49" s="15">
        <f>RTD("wdf.rtq",,$AB49,J$5)</f>
        <v>0.1293</v>
      </c>
      <c r="AK49" s="54">
        <f>RTD("wdf.rtq",,$AB49,K$5)</f>
        <v>4</v>
      </c>
      <c r="AL49" s="15">
        <f>[1]!s_dq_presettle(AB49,"")</f>
        <v>0.14929999999999999</v>
      </c>
      <c r="AM49" s="15">
        <f t="shared" si="41"/>
        <v>0.45300000000000029</v>
      </c>
      <c r="AN49" s="3">
        <f t="shared" si="42"/>
        <v>12550</v>
      </c>
      <c r="AO49" s="15">
        <f t="shared" si="43"/>
        <v>-2.6400000000003088E-3</v>
      </c>
      <c r="AP49" s="14">
        <f t="shared" si="44"/>
        <v>0.23100000000000001</v>
      </c>
      <c r="AQ49" s="8">
        <f t="shared" si="45"/>
        <v>42780.010000000009</v>
      </c>
      <c r="AR49" s="55">
        <f ca="1">IF(NOW()-TODAY()&gt;15/24, AG49, [1]!s_dq_volume(AB49,AR$2,1))/AI$2</f>
        <v>177.9</v>
      </c>
      <c r="AS49" s="110"/>
      <c r="AT49" s="110"/>
      <c r="AU49" s="110"/>
      <c r="AV49" s="110"/>
      <c r="AY49" s="10"/>
      <c r="AZ49" s="10"/>
      <c r="BA49" s="6">
        <f t="shared" ca="1" si="32"/>
        <v>8319.8003271994403</v>
      </c>
      <c r="BB49" s="6">
        <f t="shared" ca="1" si="33"/>
        <v>6209.8003271994448</v>
      </c>
      <c r="BC49" s="6">
        <f t="shared" ca="1" si="34"/>
        <v>9769.7803271994435</v>
      </c>
      <c r="BD49" s="12">
        <f t="shared" ca="1" si="35"/>
        <v>9789.8003271994439</v>
      </c>
      <c r="BE49" s="2">
        <f t="shared" ca="1" si="51"/>
        <v>4.6793761989850351E-2</v>
      </c>
      <c r="BF49" s="2">
        <f t="shared" ca="1" si="52"/>
        <v>3.4851821550014421E-2</v>
      </c>
      <c r="BG49" s="2">
        <f t="shared" ca="1" si="53"/>
        <v>5.4970650398436141E-2</v>
      </c>
      <c r="BH49" s="13">
        <f t="shared" ca="1" si="54"/>
        <v>5.5089494270938386E-2</v>
      </c>
      <c r="BI49" s="2">
        <f t="shared" ca="1" si="55"/>
        <v>9.4363111195002083E-2</v>
      </c>
      <c r="BJ49" s="2">
        <f t="shared" ca="1" si="56"/>
        <v>7.0281297600857814E-2</v>
      </c>
      <c r="BK49" s="2">
        <f t="shared" ca="1" si="57"/>
        <v>0.11085241654933255</v>
      </c>
      <c r="BL49" s="40">
        <f t="shared" ca="1" si="58"/>
        <v>0.11109207408227907</v>
      </c>
      <c r="BN49" s="6">
        <f t="shared" ca="1" si="36"/>
        <v>-8691.2464001297685</v>
      </c>
      <c r="BO49" s="6">
        <f t="shared" ca="1" si="37"/>
        <v>-10161.246400129774</v>
      </c>
      <c r="BP49" s="6">
        <f t="shared" ca="1" si="38"/>
        <v>-6621.246400129774</v>
      </c>
      <c r="BQ49" s="12">
        <f t="shared" ca="1" si="39"/>
        <v>-6581.246400129774</v>
      </c>
      <c r="BR49" s="2">
        <f t="shared" ca="1" si="59"/>
        <v>-6.0817470765960287E-2</v>
      </c>
      <c r="BS49" s="2">
        <f t="shared" ca="1" si="60"/>
        <v>-0.23696098219901451</v>
      </c>
      <c r="BT49" s="2">
        <f t="shared" ca="1" si="61"/>
        <v>-0.15441905999140712</v>
      </c>
      <c r="BU49" s="13">
        <f t="shared" ca="1" si="62"/>
        <v>-0.15348626154194137</v>
      </c>
      <c r="BV49" s="2">
        <f t="shared" ca="1" si="63"/>
        <v>-0.12264296590925693</v>
      </c>
      <c r="BW49" s="2">
        <f t="shared" ca="1" si="64"/>
        <v>-0.47784949448972541</v>
      </c>
      <c r="BX49" s="2">
        <f t="shared" ca="1" si="65"/>
        <v>-0.31139755191637347</v>
      </c>
      <c r="BY49" s="13">
        <f t="shared" ca="1" si="66"/>
        <v>-0.30951649426966077</v>
      </c>
      <c r="CB49" s="17"/>
      <c r="CC49" s="94"/>
      <c r="CD49" s="94"/>
      <c r="CE49" s="94"/>
      <c r="CF49" s="39" t="str">
        <f t="shared" si="67"/>
        <v>C2020-09-3300.CFE</v>
      </c>
      <c r="CG49" s="39" t="str">
        <f t="shared" si="68"/>
        <v>P2020-09-3300.CFE</v>
      </c>
      <c r="CH49" s="17" t="s">
        <v>225</v>
      </c>
      <c r="CI49" s="100" t="str">
        <f>IF([1]!w_info_callput(CH49)="认购","C","P")</f>
        <v>C</v>
      </c>
      <c r="CJ49" s="101">
        <f>[1]!w_info_strikeprice(CH49,"")</f>
        <v>3.3</v>
      </c>
      <c r="CK49" s="102" t="str">
        <f>[1]!w_info_lasttradingdate(CH49)</f>
        <v>2020-09-23</v>
      </c>
      <c r="CL49" s="39" t="str">
        <f t="shared" si="69"/>
        <v>10002330.SH</v>
      </c>
      <c r="CM49" s="17"/>
      <c r="CN49" s="17"/>
    </row>
    <row r="50" spans="1:92" ht="16.2" customHeight="1">
      <c r="A50" s="35">
        <f t="shared" si="46"/>
        <v>1</v>
      </c>
      <c r="B50" s="17" t="s">
        <v>226</v>
      </c>
      <c r="C50" s="29" t="str">
        <f>IF([1]!w_info_callput(B50)="认购","C","P")</f>
        <v>C</v>
      </c>
      <c r="D50" s="96">
        <f>[1]!w_info_strikeprice(B50,"")</f>
        <v>3.4</v>
      </c>
      <c r="E50" s="18" t="str">
        <f>[1]!w_info_lasttradingdate(B50)</f>
        <v>2020-09-23</v>
      </c>
      <c r="F50" s="15">
        <f>IF(G50&gt;0,RTD("wdf.rtq",,$B50,F$5),0)</f>
        <v>0.4773</v>
      </c>
      <c r="G50" s="53">
        <f>RTD("wdf.rtq",,$B50,G$5)</f>
        <v>73</v>
      </c>
      <c r="H50" s="15">
        <f>RTD("wdf.rtq",,$B50,H$5)</f>
        <v>0.12000000000000001</v>
      </c>
      <c r="I50" s="53">
        <f>RTD("wdf.rtq",,$B50,I$5)</f>
        <v>1</v>
      </c>
      <c r="J50" s="15">
        <f>RTD("wdf.rtq",,$B50,J$5)</f>
        <v>0</v>
      </c>
      <c r="K50" s="54">
        <f>RTD("wdf.rtq",,$B50,K$5)</f>
        <v>0</v>
      </c>
      <c r="L50" s="15">
        <f>[1]!s_dq_presettle(B50,"")</f>
        <v>0.4405</v>
      </c>
      <c r="M50" s="15">
        <f t="shared" si="47"/>
        <v>0</v>
      </c>
      <c r="N50" s="3">
        <f t="shared" si="40"/>
        <v>15920</v>
      </c>
      <c r="O50" s="15">
        <f t="shared" si="48"/>
        <v>0.45035999999999998</v>
      </c>
      <c r="P50" s="14">
        <f t="shared" si="49"/>
        <v>3.3411000000000003E-2</v>
      </c>
      <c r="Q50" s="8">
        <f t="shared" si="50"/>
        <v>111319.20999999999</v>
      </c>
      <c r="R50" s="55">
        <f ca="1">IF(NOW()-TODAY()&gt;15/24, G50, [1]!s_dq_volume(B50,R$2,1))/$AI$2</f>
        <v>15.6</v>
      </c>
      <c r="S50" s="110"/>
      <c r="T50" s="110"/>
      <c r="U50" s="110"/>
      <c r="V50" s="110"/>
      <c r="W50" s="110"/>
      <c r="X50" s="110"/>
      <c r="Y50" s="110"/>
      <c r="Z50" s="110"/>
      <c r="AA50" s="110"/>
      <c r="AB50" s="61" t="s">
        <v>229</v>
      </c>
      <c r="AC50" s="29" t="str">
        <f>IF([1]!w_info_callput(AB50)="认购","C","P")</f>
        <v>P</v>
      </c>
      <c r="AD50" s="31">
        <f>[1]!w_info_strikeprice(AB50,"")</f>
        <v>3.4</v>
      </c>
      <c r="AE50" s="18" t="str">
        <f>[1]!w_info_lasttradingdate(AB50)</f>
        <v>2020-09-23</v>
      </c>
      <c r="AF50" s="15">
        <f>RTD("wdf.rtq",,$AB50,F$5)</f>
        <v>0.15920000000000001</v>
      </c>
      <c r="AG50" s="53">
        <f>RTD("wdf.rtq",,$AB50,G$5)</f>
        <v>348</v>
      </c>
      <c r="AH50" s="15">
        <f>RTD("wdf.rtq",,$AB50,H$5)</f>
        <v>0.1</v>
      </c>
      <c r="AI50" s="53">
        <f>RTD("wdf.rtq",,$AB50,I$5)</f>
        <v>1</v>
      </c>
      <c r="AJ50" s="15">
        <f>RTD("wdf.rtq",,$AB50,J$5)</f>
        <v>0.15920000000000001</v>
      </c>
      <c r="AK50" s="54">
        <f>RTD("wdf.rtq",,$AB50,K$5)</f>
        <v>4</v>
      </c>
      <c r="AL50" s="15">
        <f>[1]!s_dq_presettle(AB50,"")</f>
        <v>0.18390000000000001</v>
      </c>
      <c r="AM50" s="15">
        <f t="shared" si="41"/>
        <v>0.3530000000000002</v>
      </c>
      <c r="AN50" s="3">
        <f t="shared" si="42"/>
        <v>15920</v>
      </c>
      <c r="AO50" s="15">
        <f t="shared" si="43"/>
        <v>9.735999999999978E-2</v>
      </c>
      <c r="AP50" s="14">
        <f t="shared" si="44"/>
        <v>0.23800000000000002</v>
      </c>
      <c r="AQ50" s="8">
        <f t="shared" si="45"/>
        <v>47664.01</v>
      </c>
      <c r="AR50" s="55">
        <f ca="1">IF(NOW()-TODAY()&gt;15/24, AG50, [1]!s_dq_volume(AB50,AR$2,1))/AI$2</f>
        <v>43</v>
      </c>
      <c r="AS50" s="110"/>
      <c r="AT50" s="110"/>
      <c r="AU50" s="110"/>
      <c r="AV50" s="110"/>
      <c r="AY50" s="10"/>
      <c r="AZ50" s="10"/>
      <c r="BA50" s="6">
        <f t="shared" ca="1" si="32"/>
        <v>7539.8003271994476</v>
      </c>
      <c r="BB50" s="6">
        <f t="shared" ca="1" si="33"/>
        <v>-28190.199672800551</v>
      </c>
      <c r="BC50" s="6">
        <f t="shared" ca="1" si="34"/>
        <v>0</v>
      </c>
      <c r="BD50" s="12">
        <f t="shared" ca="1" si="35"/>
        <v>0</v>
      </c>
      <c r="BE50" s="2">
        <f t="shared" ca="1" si="51"/>
        <v>4.3766020237034964E-2</v>
      </c>
      <c r="BF50" s="2">
        <f t="shared" ca="1" si="52"/>
        <v>-0.16363468471639392</v>
      </c>
      <c r="BG50" s="2">
        <f t="shared" ca="1" si="53"/>
        <v>0</v>
      </c>
      <c r="BH50" s="13">
        <f t="shared" ca="1" si="54"/>
        <v>0</v>
      </c>
      <c r="BI50" s="2">
        <f t="shared" ca="1" si="55"/>
        <v>8.8257444124407516E-2</v>
      </c>
      <c r="BJ50" s="2">
        <f t="shared" ca="1" si="56"/>
        <v>-0.3299815465275347</v>
      </c>
      <c r="BK50" s="2">
        <f t="shared" ca="1" si="57"/>
        <v>0</v>
      </c>
      <c r="BL50" s="40">
        <f t="shared" ca="1" si="58"/>
        <v>0</v>
      </c>
      <c r="BN50" s="6">
        <f t="shared" ca="1" si="36"/>
        <v>-7911.2464001297767</v>
      </c>
      <c r="BO50" s="6">
        <f t="shared" ca="1" si="37"/>
        <v>0</v>
      </c>
      <c r="BP50" s="6">
        <f t="shared" ca="1" si="38"/>
        <v>27778.753599870226</v>
      </c>
      <c r="BQ50" s="12">
        <f t="shared" ca="1" si="39"/>
        <v>27818.753599870226</v>
      </c>
      <c r="BR50" s="2">
        <f t="shared" ca="1" si="59"/>
        <v>-5.635550819518452E-2</v>
      </c>
      <c r="BS50" s="2">
        <f t="shared" ca="1" si="60"/>
        <v>0</v>
      </c>
      <c r="BT50" s="2">
        <f t="shared" ca="1" si="61"/>
        <v>0.58210732529856068</v>
      </c>
      <c r="BU50" s="13">
        <f t="shared" ca="1" si="62"/>
        <v>0.582945774715246</v>
      </c>
      <c r="BV50" s="2">
        <f t="shared" ca="1" si="63"/>
        <v>-0.1136450855869743</v>
      </c>
      <c r="BW50" s="2">
        <f t="shared" ca="1" si="64"/>
        <v>0</v>
      </c>
      <c r="BX50" s="2">
        <f t="shared" ca="1" si="65"/>
        <v>1.1738628383092522</v>
      </c>
      <c r="BY50" s="13">
        <f t="shared" ca="1" si="66"/>
        <v>1.1755536340942807</v>
      </c>
      <c r="CB50" s="17"/>
      <c r="CC50" s="94"/>
      <c r="CD50" s="94"/>
      <c r="CE50" s="94"/>
      <c r="CF50" s="39" t="str">
        <f t="shared" si="67"/>
        <v>C2020-09-3400.CFE</v>
      </c>
      <c r="CG50" s="39" t="str">
        <f t="shared" si="68"/>
        <v>P2020-09-3400.CFE</v>
      </c>
      <c r="CH50" s="95" t="s">
        <v>226</v>
      </c>
      <c r="CI50" s="100" t="str">
        <f>IF([1]!w_info_callput(CH50)="认购","C","P")</f>
        <v>C</v>
      </c>
      <c r="CJ50" s="101">
        <f>[1]!w_info_strikeprice(CH50,"")</f>
        <v>3.4</v>
      </c>
      <c r="CK50" s="102" t="str">
        <f>[1]!w_info_lasttradingdate(CH50)</f>
        <v>2020-09-23</v>
      </c>
      <c r="CL50" s="39" t="str">
        <f t="shared" si="69"/>
        <v>10002331.SH</v>
      </c>
      <c r="CM50" s="17"/>
      <c r="CN50" s="17"/>
    </row>
    <row r="51" spans="1:92" ht="16.2" customHeight="1">
      <c r="A51" s="35">
        <f t="shared" si="46"/>
        <v>1</v>
      </c>
      <c r="B51" s="17" t="s">
        <v>227</v>
      </c>
      <c r="C51" s="29" t="str">
        <f>IF([1]!w_info_callput(B51)="认购","C","P")</f>
        <v>C</v>
      </c>
      <c r="D51" s="96">
        <f>[1]!w_info_strikeprice(B51,"")</f>
        <v>3.5</v>
      </c>
      <c r="E51" s="18" t="str">
        <f>[1]!w_info_lasttradingdate(B51)</f>
        <v>2020-09-23</v>
      </c>
      <c r="F51" s="15">
        <f>IF(G51&gt;0,RTD("wdf.rtq",,$B51,F$5),0)</f>
        <v>0.41800000000000004</v>
      </c>
      <c r="G51" s="53">
        <f>RTD("wdf.rtq",,$B51,G$5)</f>
        <v>179</v>
      </c>
      <c r="H51" s="15">
        <f>RTD("wdf.rtq",,$B51,H$5)</f>
        <v>0.39600000000000002</v>
      </c>
      <c r="I51" s="53">
        <f>RTD("wdf.rtq",,$B51,I$5)</f>
        <v>10</v>
      </c>
      <c r="J51" s="15">
        <f>RTD("wdf.rtq",,$B51,J$5)</f>
        <v>0.46780000000000005</v>
      </c>
      <c r="K51" s="54">
        <f>RTD("wdf.rtq",,$B51,K$5)</f>
        <v>6</v>
      </c>
      <c r="L51" s="15">
        <f>[1]!s_dq_presettle(B51,"")</f>
        <v>0.38590000000000002</v>
      </c>
      <c r="M51" s="15">
        <f t="shared" si="47"/>
        <v>0</v>
      </c>
      <c r="N51" s="3">
        <f t="shared" si="40"/>
        <v>19280</v>
      </c>
      <c r="O51" s="15">
        <f t="shared" si="48"/>
        <v>0.45035999999999998</v>
      </c>
      <c r="P51" s="14">
        <f t="shared" si="49"/>
        <v>2.9260000000000005E-2</v>
      </c>
      <c r="Q51" s="8">
        <f t="shared" si="50"/>
        <v>104203.20999999999</v>
      </c>
      <c r="R51" s="55">
        <f ca="1">IF(NOW()-TODAY()&gt;15/24, G51, [1]!s_dq_volume(B51,R$2,1))/$AI$2</f>
        <v>27.2</v>
      </c>
      <c r="S51" s="110"/>
      <c r="T51" s="110"/>
      <c r="U51" s="110"/>
      <c r="V51" s="110"/>
      <c r="W51" s="110"/>
      <c r="X51" s="110"/>
      <c r="Y51" s="110"/>
      <c r="Z51" s="110"/>
      <c r="AA51" s="110"/>
      <c r="AB51" s="59" t="s">
        <v>230</v>
      </c>
      <c r="AC51" s="29" t="str">
        <f>IF([1]!w_info_callput(AB51)="认购","C","P")</f>
        <v>P</v>
      </c>
      <c r="AD51" s="31">
        <f>[1]!w_info_strikeprice(AB51,"")</f>
        <v>3.5</v>
      </c>
      <c r="AE51" s="18" t="str">
        <f>[1]!w_info_lasttradingdate(AB51)</f>
        <v>2020-09-23</v>
      </c>
      <c r="AF51" s="15">
        <f>RTD("wdf.rtq",,$AB51,F$5)</f>
        <v>0.1928</v>
      </c>
      <c r="AG51" s="53">
        <f>RTD("wdf.rtq",,$AB51,G$5)</f>
        <v>250</v>
      </c>
      <c r="AH51" s="15">
        <f>RTD("wdf.rtq",,$AB51,H$5)</f>
        <v>0.19</v>
      </c>
      <c r="AI51" s="53">
        <f>RTD("wdf.rtq",,$AB51,I$5)</f>
        <v>1</v>
      </c>
      <c r="AJ51" s="15">
        <f>RTD("wdf.rtq",,$AB51,J$5)</f>
        <v>0.21980000000000002</v>
      </c>
      <c r="AK51" s="54">
        <f>RTD("wdf.rtq",,$AB51,K$5)</f>
        <v>12</v>
      </c>
      <c r="AL51" s="15">
        <f>[1]!s_dq_presettle(AB51,"")</f>
        <v>0.22109999999999999</v>
      </c>
      <c r="AM51" s="15">
        <f t="shared" si="41"/>
        <v>0.25300000000000011</v>
      </c>
      <c r="AN51" s="3">
        <f t="shared" si="42"/>
        <v>19280</v>
      </c>
      <c r="AO51" s="15">
        <f t="shared" si="43"/>
        <v>0.19735999999999987</v>
      </c>
      <c r="AP51" s="14">
        <f t="shared" si="44"/>
        <v>0.24500000000000002</v>
      </c>
      <c r="AQ51" s="8">
        <f t="shared" si="45"/>
        <v>52536.01</v>
      </c>
      <c r="AR51" s="55">
        <f ca="1">IF(NOW()-TODAY()&gt;15/24, AG51, [1]!s_dq_volume(AB51,AR$2,1))/AI$2</f>
        <v>55.2</v>
      </c>
      <c r="AS51" s="110"/>
      <c r="AT51" s="110"/>
      <c r="AU51" s="110"/>
      <c r="AV51" s="110"/>
      <c r="AY51" s="10"/>
      <c r="AZ51" s="10"/>
      <c r="BA51" s="6">
        <f t="shared" ca="1" si="32"/>
        <v>8249.8003271994603</v>
      </c>
      <c r="BB51" s="6">
        <f t="shared" ca="1" si="33"/>
        <v>3349.8003271994567</v>
      </c>
      <c r="BC51" s="6">
        <f t="shared" ca="1" si="34"/>
        <v>13489.780327199462</v>
      </c>
      <c r="BD51" s="12">
        <f t="shared" ca="1" si="35"/>
        <v>13509.800327199462</v>
      </c>
      <c r="BE51" s="2">
        <f t="shared" ca="1" si="51"/>
        <v>4.8954658208992675E-2</v>
      </c>
      <c r="BF51" s="2">
        <f t="shared" ca="1" si="52"/>
        <v>1.9564395415674778E-2</v>
      </c>
      <c r="BG51" s="2">
        <f t="shared" ca="1" si="53"/>
        <v>8.0172611812449751E-2</v>
      </c>
      <c r="BH51" s="13">
        <f t="shared" ca="1" si="54"/>
        <v>8.0301139830598722E-2</v>
      </c>
      <c r="BI51" s="2">
        <f t="shared" ca="1" si="55"/>
        <v>9.8720719592720024E-2</v>
      </c>
      <c r="BJ51" s="2">
        <f t="shared" ca="1" si="56"/>
        <v>3.9453062578570688E-2</v>
      </c>
      <c r="BK51" s="2">
        <f t="shared" ca="1" si="57"/>
        <v>0.16167405144499536</v>
      </c>
      <c r="BL51" s="40">
        <f t="shared" ca="1" si="58"/>
        <v>0.16193323777993665</v>
      </c>
      <c r="BN51" s="6">
        <f t="shared" ca="1" si="36"/>
        <v>-8621.2464001297903</v>
      </c>
      <c r="BO51" s="6">
        <f t="shared" ca="1" si="37"/>
        <v>-13881.24640012979</v>
      </c>
      <c r="BP51" s="6">
        <f t="shared" ca="1" si="38"/>
        <v>-3761.2464001297863</v>
      </c>
      <c r="BQ51" s="12">
        <f t="shared" ca="1" si="39"/>
        <v>-3721.2464001297863</v>
      </c>
      <c r="BR51" s="2">
        <f t="shared" ca="1" si="59"/>
        <v>-6.1879533336623549E-2</v>
      </c>
      <c r="BS51" s="2">
        <f t="shared" ca="1" si="60"/>
        <v>-0.26376273474295842</v>
      </c>
      <c r="BT51" s="2">
        <f t="shared" ca="1" si="61"/>
        <v>-7.1478568866258904E-2</v>
      </c>
      <c r="BU51" s="13">
        <f t="shared" ca="1" si="62"/>
        <v>-7.071843742219884E-2</v>
      </c>
      <c r="BV51" s="2">
        <f t="shared" ca="1" si="63"/>
        <v>-0.12478469429761102</v>
      </c>
      <c r="BW51" s="2">
        <f t="shared" ca="1" si="64"/>
        <v>-0.53189722752033053</v>
      </c>
      <c r="BX51" s="2">
        <f t="shared" ca="1" si="65"/>
        <v>-0.14414186539328452</v>
      </c>
      <c r="BY51" s="13">
        <f t="shared" ca="1" si="66"/>
        <v>-0.14260900364145071</v>
      </c>
      <c r="CF51" s="39" t="str">
        <f t="shared" si="67"/>
        <v>C2020-09-3500.CFE</v>
      </c>
      <c r="CG51" s="39" t="str">
        <f t="shared" si="68"/>
        <v>P2020-09-3500.CFE</v>
      </c>
      <c r="CH51" s="95" t="s">
        <v>227</v>
      </c>
      <c r="CI51" s="100" t="str">
        <f>IF([1]!w_info_callput(CH51)="认购","C","P")</f>
        <v>C</v>
      </c>
      <c r="CJ51" s="101">
        <f>[1]!w_info_strikeprice(CH51,"")</f>
        <v>3.5</v>
      </c>
      <c r="CK51" s="102" t="str">
        <f>[1]!w_info_lasttradingdate(CH51)</f>
        <v>2020-09-23</v>
      </c>
      <c r="CL51" s="39" t="str">
        <f t="shared" si="69"/>
        <v>10002332.SH</v>
      </c>
      <c r="CM51" s="17"/>
      <c r="CN51" s="17"/>
    </row>
    <row r="52" spans="1:92" ht="16.2" customHeight="1">
      <c r="A52" s="35">
        <f t="shared" si="46"/>
        <v>1</v>
      </c>
      <c r="B52" s="17" t="s">
        <v>216</v>
      </c>
      <c r="C52" s="29" t="str">
        <f>IF([1]!w_info_callput(B52)="认购","C","P")</f>
        <v>C</v>
      </c>
      <c r="D52" s="96">
        <f>[1]!w_info_strikeprice(B52,"")</f>
        <v>3.6</v>
      </c>
      <c r="E52" s="18" t="str">
        <f>[1]!w_info_lasttradingdate(B52)</f>
        <v>2020-09-23</v>
      </c>
      <c r="F52" s="15">
        <f>IF(G52&gt;0,RTD("wdf.rtq",,$B52,F$5),0)</f>
        <v>0.36749999999999999</v>
      </c>
      <c r="G52" s="53">
        <f>RTD("wdf.rtq",,$B52,G$5)</f>
        <v>275</v>
      </c>
      <c r="H52" s="15">
        <f>RTD("wdf.rtq",,$B52,H$5)</f>
        <v>0.34320000000000001</v>
      </c>
      <c r="I52" s="53">
        <f>RTD("wdf.rtq",,$B52,I$5)</f>
        <v>1</v>
      </c>
      <c r="J52" s="15">
        <f>RTD("wdf.rtq",,$B52,J$5)</f>
        <v>0.39910000000000001</v>
      </c>
      <c r="K52" s="54">
        <f>RTD("wdf.rtq",,$B52,K$5)</f>
        <v>6</v>
      </c>
      <c r="L52" s="15">
        <f>[1]!s_dq_presettle(B52,"")</f>
        <v>0.33260000000000001</v>
      </c>
      <c r="M52" s="15">
        <f t="shared" si="47"/>
        <v>0</v>
      </c>
      <c r="N52" s="3">
        <f t="shared" si="40"/>
        <v>23420.000000000004</v>
      </c>
      <c r="O52" s="15">
        <f t="shared" si="48"/>
        <v>0.45035999999999998</v>
      </c>
      <c r="P52" s="14">
        <f t="shared" si="49"/>
        <v>2.5725000000000001E-2</v>
      </c>
      <c r="Q52" s="8">
        <f t="shared" si="50"/>
        <v>98143.209999999992</v>
      </c>
      <c r="R52" s="55">
        <f ca="1">IF(NOW()-TODAY()&gt;15/24, G52, [1]!s_dq_volume(B52,R$2,1))/$AI$2</f>
        <v>49.9</v>
      </c>
      <c r="S52" s="110"/>
      <c r="T52" s="110"/>
      <c r="U52" s="110"/>
      <c r="V52" s="110"/>
      <c r="W52" s="110"/>
      <c r="X52" s="110"/>
      <c r="Y52" s="110"/>
      <c r="Z52" s="110"/>
      <c r="AA52" s="110"/>
      <c r="AB52" s="59" t="s">
        <v>217</v>
      </c>
      <c r="AC52" s="29" t="str">
        <f>IF([1]!w_info_callput(AB52)="认购","C","P")</f>
        <v>P</v>
      </c>
      <c r="AD52" s="31">
        <f>[1]!w_info_strikeprice(AB52,"")</f>
        <v>3.6</v>
      </c>
      <c r="AE52" s="18" t="str">
        <f>[1]!w_info_lasttradingdate(AB52)</f>
        <v>2020-09-23</v>
      </c>
      <c r="AF52" s="15">
        <f>RTD("wdf.rtq",,$AB52,F$5)</f>
        <v>0.23420000000000002</v>
      </c>
      <c r="AG52" s="53">
        <f>RTD("wdf.rtq",,$AB52,G$5)</f>
        <v>599</v>
      </c>
      <c r="AH52" s="15">
        <f>RTD("wdf.rtq",,$AB52,H$5)</f>
        <v>0.23200000000000001</v>
      </c>
      <c r="AI52" s="53">
        <f>RTD("wdf.rtq",,$AB52,I$5)</f>
        <v>1</v>
      </c>
      <c r="AJ52" s="15">
        <f>RTD("wdf.rtq",,$AB52,J$5)</f>
        <v>0.248</v>
      </c>
      <c r="AK52" s="54">
        <f>RTD("wdf.rtq",,$AB52,K$5)</f>
        <v>3</v>
      </c>
      <c r="AL52" s="15">
        <f>[1]!s_dq_presettle(AB52,"")</f>
        <v>0.26929999999999998</v>
      </c>
      <c r="AM52" s="15">
        <f t="shared" si="41"/>
        <v>0.15300000000000002</v>
      </c>
      <c r="AN52" s="3">
        <f t="shared" si="42"/>
        <v>23420.000000000004</v>
      </c>
      <c r="AO52" s="15">
        <f t="shared" si="43"/>
        <v>0.29735999999999996</v>
      </c>
      <c r="AP52" s="14">
        <f t="shared" si="44"/>
        <v>0.25200000000000006</v>
      </c>
      <c r="AQ52" s="8">
        <f t="shared" si="45"/>
        <v>63787.21</v>
      </c>
      <c r="AR52" s="55">
        <f ca="1">IF(NOW()-TODAY()&gt;15/24, AG52, [1]!s_dq_volume(AB52,AR$2,1))/AI$2</f>
        <v>110.2</v>
      </c>
      <c r="AS52" s="110"/>
      <c r="AT52" s="110"/>
      <c r="AU52" s="110"/>
      <c r="AV52" s="110"/>
      <c r="AY52" s="10"/>
      <c r="AZ52" s="10"/>
      <c r="BA52" s="6">
        <f t="shared" ca="1" si="32"/>
        <v>9059.8003271994639</v>
      </c>
      <c r="BB52" s="6">
        <f t="shared" ca="1" si="33"/>
        <v>5249.8003271994667</v>
      </c>
      <c r="BC52" s="6">
        <f t="shared" ca="1" si="34"/>
        <v>12419.780327199465</v>
      </c>
      <c r="BD52" s="12">
        <f t="shared" ca="1" si="35"/>
        <v>12439.800327199466</v>
      </c>
      <c r="BE52" s="2">
        <f t="shared" ca="1" si="51"/>
        <v>5.4380812053067142E-2</v>
      </c>
      <c r="BF52" s="2">
        <f t="shared" ca="1" si="52"/>
        <v>3.1252678990450464E-2</v>
      </c>
      <c r="BG52" s="2">
        <f t="shared" ca="1" si="53"/>
        <v>7.4638457281134121E-2</v>
      </c>
      <c r="BH52" s="13">
        <f t="shared" ca="1" si="54"/>
        <v>7.4767756904239813E-2</v>
      </c>
      <c r="BI52" s="2">
        <f t="shared" ca="1" si="55"/>
        <v>0.10966296353242821</v>
      </c>
      <c r="BJ52" s="2">
        <f t="shared" ca="1" si="56"/>
        <v>6.302335818516254E-2</v>
      </c>
      <c r="BK52" s="2">
        <f t="shared" ca="1" si="57"/>
        <v>0.15051401606416551</v>
      </c>
      <c r="BL52" s="40">
        <f t="shared" ca="1" si="58"/>
        <v>0.15077475839805266</v>
      </c>
      <c r="BN52" s="6">
        <f t="shared" ca="1" si="36"/>
        <v>-9431.2464001297922</v>
      </c>
      <c r="BO52" s="6">
        <f t="shared" ca="1" si="37"/>
        <v>-12811.246400129796</v>
      </c>
      <c r="BP52" s="6">
        <f t="shared" ca="1" si="38"/>
        <v>-5661.2464001297958</v>
      </c>
      <c r="BQ52" s="12">
        <f t="shared" ca="1" si="39"/>
        <v>-5621.2464001297958</v>
      </c>
      <c r="BR52" s="2">
        <f t="shared" ca="1" si="59"/>
        <v>-6.4808753632223576E-2</v>
      </c>
      <c r="BS52" s="2">
        <f t="shared" ca="1" si="60"/>
        <v>-0.20057654256804128</v>
      </c>
      <c r="BT52" s="2">
        <f t="shared" ca="1" si="61"/>
        <v>-8.8641824983130058E-2</v>
      </c>
      <c r="BU52" s="13">
        <f t="shared" ca="1" si="62"/>
        <v>-8.8015546472788142E-2</v>
      </c>
      <c r="BV52" s="2">
        <f t="shared" ca="1" si="63"/>
        <v>-0.13069168550144533</v>
      </c>
      <c r="BW52" s="2">
        <f t="shared" ca="1" si="64"/>
        <v>-0.40447755821732079</v>
      </c>
      <c r="BX52" s="2">
        <f t="shared" ca="1" si="65"/>
        <v>-0.17875285148531753</v>
      </c>
      <c r="BY52" s="13">
        <f t="shared" ca="1" si="66"/>
        <v>-0.17748991415783244</v>
      </c>
      <c r="CF52" s="39" t="str">
        <f t="shared" si="67"/>
        <v>C2020-09-3600.CFE</v>
      </c>
      <c r="CG52" s="39" t="str">
        <f t="shared" si="68"/>
        <v>P2020-09-3600.CFE</v>
      </c>
      <c r="CH52" s="17" t="s">
        <v>216</v>
      </c>
      <c r="CI52" s="100" t="str">
        <f>IF([1]!w_info_callput(CH52)="认购","C","P")</f>
        <v>C</v>
      </c>
      <c r="CJ52" s="101">
        <f>[1]!w_info_strikeprice(CH52,"")</f>
        <v>3.6</v>
      </c>
      <c r="CK52" s="102" t="str">
        <f>[1]!w_info_lasttradingdate(CH52)</f>
        <v>2020-09-23</v>
      </c>
      <c r="CL52" s="39" t="str">
        <f t="shared" si="69"/>
        <v>10002272.SH</v>
      </c>
      <c r="CM52" s="17"/>
      <c r="CN52" s="17"/>
    </row>
    <row r="53" spans="1:92" ht="16.2" customHeight="1">
      <c r="A53" s="35">
        <f t="shared" si="46"/>
        <v>1</v>
      </c>
      <c r="B53" s="17" t="s">
        <v>198</v>
      </c>
      <c r="C53" s="29" t="str">
        <f>IF([1]!w_info_callput(B53)="认购","C","P")</f>
        <v>C</v>
      </c>
      <c r="D53" s="96">
        <f>[1]!w_info_strikeprice(B53,"")</f>
        <v>3.7</v>
      </c>
      <c r="E53" s="18" t="str">
        <f>[1]!w_info_lasttradingdate(B53)</f>
        <v>2020-09-23</v>
      </c>
      <c r="F53" s="15">
        <f>IF(G53&gt;0,RTD("wdf.rtq",,$B53,F$5),0)</f>
        <v>0.3105</v>
      </c>
      <c r="G53" s="53">
        <f>RTD("wdf.rtq",,$B53,G$5)</f>
        <v>1080</v>
      </c>
      <c r="H53" s="15">
        <f>RTD("wdf.rtq",,$B53,H$5)</f>
        <v>0.29350000000000004</v>
      </c>
      <c r="I53" s="53">
        <f>RTD("wdf.rtq",,$B53,I$5)</f>
        <v>11</v>
      </c>
      <c r="J53" s="15">
        <f>RTD("wdf.rtq",,$B53,J$5)</f>
        <v>0.33</v>
      </c>
      <c r="K53" s="54">
        <f>RTD("wdf.rtq",,$B53,K$5)</f>
        <v>8</v>
      </c>
      <c r="L53" s="15">
        <f>[1]!s_dq_presettle(B53,"")</f>
        <v>0.28460000000000002</v>
      </c>
      <c r="M53" s="15">
        <f t="shared" si="47"/>
        <v>0</v>
      </c>
      <c r="N53" s="3">
        <f t="shared" si="40"/>
        <v>28060</v>
      </c>
      <c r="O53" s="15">
        <f t="shared" si="48"/>
        <v>0.45035999999999998</v>
      </c>
      <c r="P53" s="14">
        <f t="shared" si="49"/>
        <v>2.1735000000000001E-2</v>
      </c>
      <c r="Q53" s="8">
        <f t="shared" si="50"/>
        <v>91303.209999999992</v>
      </c>
      <c r="R53" s="55">
        <f ca="1">IF(NOW()-TODAY()&gt;15/24, G53, [1]!s_dq_volume(B53,R$2,1))/$AI$2</f>
        <v>126.3</v>
      </c>
      <c r="S53" s="110"/>
      <c r="T53" s="110"/>
      <c r="U53" s="110"/>
      <c r="V53" s="110"/>
      <c r="W53" s="110"/>
      <c r="X53" s="110"/>
      <c r="Y53" s="110"/>
      <c r="Z53" s="110"/>
      <c r="AA53" s="110"/>
      <c r="AB53" s="59" t="s">
        <v>207</v>
      </c>
      <c r="AC53" s="29" t="str">
        <f>IF([1]!w_info_callput(AB53)="认购","C","P")</f>
        <v>P</v>
      </c>
      <c r="AD53" s="31">
        <f>[1]!w_info_strikeprice(AB53,"")</f>
        <v>3.7</v>
      </c>
      <c r="AE53" s="18" t="str">
        <f>[1]!w_info_lasttradingdate(AB53)</f>
        <v>2020-09-23</v>
      </c>
      <c r="AF53" s="15">
        <f>RTD("wdf.rtq",,$AB53,F$5)</f>
        <v>0.28060000000000002</v>
      </c>
      <c r="AG53" s="53">
        <f>RTD("wdf.rtq",,$AB53,G$5)</f>
        <v>1543</v>
      </c>
      <c r="AH53" s="15">
        <f>RTD("wdf.rtq",,$AB53,H$5)</f>
        <v>0.28000000000000003</v>
      </c>
      <c r="AI53" s="53">
        <f>RTD("wdf.rtq",,$AB53,I$5)</f>
        <v>5</v>
      </c>
      <c r="AJ53" s="15">
        <f>RTD("wdf.rtq",,$AB53,J$5)</f>
        <v>0.30499999999999999</v>
      </c>
      <c r="AK53" s="54">
        <f>RTD("wdf.rtq",,$AB53,K$5)</f>
        <v>2</v>
      </c>
      <c r="AL53" s="15">
        <f>[1]!s_dq_presettle(AB53,"")</f>
        <v>0.31990000000000002</v>
      </c>
      <c r="AM53" s="15">
        <f t="shared" si="41"/>
        <v>5.2999999999999936E-2</v>
      </c>
      <c r="AN53" s="3">
        <f t="shared" si="42"/>
        <v>28060</v>
      </c>
      <c r="AO53" s="15">
        <f t="shared" si="43"/>
        <v>0.39736000000000005</v>
      </c>
      <c r="AP53" s="14">
        <f t="shared" si="44"/>
        <v>0.25900000000000006</v>
      </c>
      <c r="AQ53" s="8">
        <f t="shared" si="45"/>
        <v>81355.210000000006</v>
      </c>
      <c r="AR53" s="55">
        <f ca="1">IF(NOW()-TODAY()&gt;15/24, AG53, [1]!s_dq_volume(AB53,AR$2,1))/AI$2</f>
        <v>161.30000000000001</v>
      </c>
      <c r="AS53" s="110"/>
      <c r="AT53" s="110"/>
      <c r="AU53" s="110"/>
      <c r="AV53" s="110"/>
      <c r="AY53" s="10"/>
      <c r="AZ53" s="10"/>
      <c r="BA53" s="6">
        <f t="shared" ca="1" si="32"/>
        <v>8719.800327199473</v>
      </c>
      <c r="BB53" s="6">
        <f t="shared" ca="1" si="33"/>
        <v>4579.8003271994794</v>
      </c>
      <c r="BC53" s="6">
        <f t="shared" ca="1" si="34"/>
        <v>10709.780327199473</v>
      </c>
      <c r="BD53" s="12">
        <f t="shared" ca="1" si="35"/>
        <v>10729.800327199473</v>
      </c>
      <c r="BE53" s="2">
        <f t="shared" ca="1" si="51"/>
        <v>5.3040402853514156E-2</v>
      </c>
      <c r="BF53" s="2">
        <f t="shared" ca="1" si="52"/>
        <v>2.7450383678989367E-2</v>
      </c>
      <c r="BG53" s="2">
        <f t="shared" ca="1" si="53"/>
        <v>6.5160816526189644E-2</v>
      </c>
      <c r="BH53" s="13">
        <f t="shared" ca="1" si="54"/>
        <v>6.5290567766508517E-2</v>
      </c>
      <c r="BI53" s="2">
        <f t="shared" ca="1" si="55"/>
        <v>0.10695992840625783</v>
      </c>
      <c r="BJ53" s="2">
        <f t="shared" ca="1" si="56"/>
        <v>5.5355746092989613E-2</v>
      </c>
      <c r="BK53" s="2">
        <f t="shared" ca="1" si="57"/>
        <v>0.13140164658596254</v>
      </c>
      <c r="BL53" s="40">
        <f t="shared" ca="1" si="58"/>
        <v>0.13166329963964427</v>
      </c>
      <c r="BN53" s="6">
        <f t="shared" ca="1" si="36"/>
        <v>-9091.2464001298031</v>
      </c>
      <c r="BO53" s="6">
        <f t="shared" ca="1" si="37"/>
        <v>-11101.246400129803</v>
      </c>
      <c r="BP53" s="6">
        <f t="shared" ca="1" si="38"/>
        <v>-4991.2464001298085</v>
      </c>
      <c r="BQ53" s="12">
        <f t="shared" ca="1" si="39"/>
        <v>-4951.2464001298085</v>
      </c>
      <c r="BR53" s="2">
        <f t="shared" ca="1" si="59"/>
        <v>-5.7761709290708438E-2</v>
      </c>
      <c r="BS53" s="2">
        <f t="shared" ca="1" si="60"/>
        <v>-0.1363233521617819</v>
      </c>
      <c r="BT53" s="2">
        <f t="shared" ca="1" si="61"/>
        <v>-6.129525896416875E-2</v>
      </c>
      <c r="BU53" s="13">
        <f t="shared" ca="1" si="62"/>
        <v>-6.0804051834322199E-2</v>
      </c>
      <c r="BV53" s="2">
        <f t="shared" ca="1" si="63"/>
        <v>-0.11648079497850045</v>
      </c>
      <c r="BW53" s="2">
        <f t="shared" ca="1" si="64"/>
        <v>-0.27490620739806848</v>
      </c>
      <c r="BX53" s="2">
        <f t="shared" ca="1" si="65"/>
        <v>-0.12360646144708062</v>
      </c>
      <c r="BY53" s="13">
        <f t="shared" ca="1" si="66"/>
        <v>-0.12261590563274918</v>
      </c>
      <c r="CF53" s="39" t="str">
        <f t="shared" si="67"/>
        <v>C2020-09-3700.CFE</v>
      </c>
      <c r="CG53" s="39" t="str">
        <f t="shared" si="68"/>
        <v>P2020-09-3700.CFE</v>
      </c>
      <c r="CH53" s="17" t="s">
        <v>198</v>
      </c>
      <c r="CI53" s="100" t="str">
        <f>IF([1]!w_info_callput(CH53)="认购","C","P")</f>
        <v>C</v>
      </c>
      <c r="CJ53" s="101">
        <f>[1]!w_info_strikeprice(CH53,"")</f>
        <v>3.7</v>
      </c>
      <c r="CK53" s="102" t="str">
        <f>[1]!w_info_lasttradingdate(CH53)</f>
        <v>2020-09-23</v>
      </c>
      <c r="CL53" s="39" t="str">
        <f t="shared" si="69"/>
        <v>10002258.SH</v>
      </c>
      <c r="CM53" s="17"/>
      <c r="CN53" s="17"/>
    </row>
    <row r="54" spans="1:92" ht="16.2" customHeight="1">
      <c r="A54" s="35">
        <f t="shared" si="46"/>
        <v>1</v>
      </c>
      <c r="B54" s="17" t="s">
        <v>199</v>
      </c>
      <c r="C54" s="29" t="str">
        <f>IF([1]!w_info_callput(B54)="认购","C","P")</f>
        <v>C</v>
      </c>
      <c r="D54" s="96">
        <f>[1]!w_info_strikeprice(B54,"")</f>
        <v>3.8</v>
      </c>
      <c r="E54" s="18" t="str">
        <f>[1]!w_info_lasttradingdate(B54)</f>
        <v>2020-09-23</v>
      </c>
      <c r="F54" s="15">
        <f>IF(G54&gt;0,RTD("wdf.rtq",,$B54,F$5),0)</f>
        <v>0.26730000000000004</v>
      </c>
      <c r="G54" s="53">
        <f>RTD("wdf.rtq",,$B54,G$5)</f>
        <v>636</v>
      </c>
      <c r="H54" s="15">
        <f>RTD("wdf.rtq",,$B54,H$5)</f>
        <v>0.26430000000000003</v>
      </c>
      <c r="I54" s="53">
        <f>RTD("wdf.rtq",,$B54,I$5)</f>
        <v>5</v>
      </c>
      <c r="J54" s="15">
        <f>RTD("wdf.rtq",,$B54,J$5)</f>
        <v>0.27500000000000002</v>
      </c>
      <c r="K54" s="54">
        <f>RTD("wdf.rtq",,$B54,K$5)</f>
        <v>2</v>
      </c>
      <c r="L54" s="15">
        <f>[1]!s_dq_presettle(B54,"")</f>
        <v>0.24030000000000001</v>
      </c>
      <c r="M54" s="15">
        <f t="shared" si="47"/>
        <v>4.6999999999999709E-2</v>
      </c>
      <c r="N54" s="3">
        <f t="shared" si="40"/>
        <v>33800</v>
      </c>
      <c r="O54" s="15">
        <f t="shared" si="48"/>
        <v>0.40336000000000027</v>
      </c>
      <c r="P54" s="14">
        <f t="shared" si="49"/>
        <v>1.8711000000000005E-2</v>
      </c>
      <c r="Q54" s="8">
        <f t="shared" si="50"/>
        <v>80479.210000000021</v>
      </c>
      <c r="R54" s="55">
        <f ca="1">IF(NOW()-TODAY()&gt;15/24, G54, [1]!s_dq_volume(B54,R$2,1))/$AI$2</f>
        <v>73.2</v>
      </c>
      <c r="S54" s="110"/>
      <c r="T54" s="110"/>
      <c r="U54" s="110"/>
      <c r="V54" s="110"/>
      <c r="W54" s="110"/>
      <c r="X54" s="110"/>
      <c r="Y54" s="110"/>
      <c r="Z54" s="110"/>
      <c r="AA54" s="110"/>
      <c r="AB54" s="59" t="s">
        <v>208</v>
      </c>
      <c r="AC54" s="29" t="str">
        <f>IF([1]!w_info_callput(AB54)="认购","C","P")</f>
        <v>P</v>
      </c>
      <c r="AD54" s="31">
        <f>[1]!w_info_strikeprice(AB54,"")</f>
        <v>3.8</v>
      </c>
      <c r="AE54" s="18" t="str">
        <f>[1]!w_info_lasttradingdate(AB54)</f>
        <v>2020-09-23</v>
      </c>
      <c r="AF54" s="15">
        <f>RTD("wdf.rtq",,$AB54,F$5)</f>
        <v>0.33800000000000002</v>
      </c>
      <c r="AG54" s="53">
        <f>RTD("wdf.rtq",,$AB54,G$5)</f>
        <v>380</v>
      </c>
      <c r="AH54" s="15">
        <f>RTD("wdf.rtq",,$AB54,H$5)</f>
        <v>0.3251</v>
      </c>
      <c r="AI54" s="53">
        <f>RTD("wdf.rtq",,$AB54,I$5)</f>
        <v>4</v>
      </c>
      <c r="AJ54" s="15">
        <f>RTD("wdf.rtq",,$AB54,J$5)</f>
        <v>0.34660000000000002</v>
      </c>
      <c r="AK54" s="54">
        <f>RTD("wdf.rtq",,$AB54,K$5)</f>
        <v>9</v>
      </c>
      <c r="AL54" s="15">
        <f>[1]!s_dq_presettle(AB54,"")</f>
        <v>0.37540000000000001</v>
      </c>
      <c r="AM54" s="15">
        <f t="shared" si="41"/>
        <v>0</v>
      </c>
      <c r="AN54" s="3">
        <f t="shared" si="42"/>
        <v>33800</v>
      </c>
      <c r="AO54" s="15">
        <f t="shared" si="43"/>
        <v>0.45035999999999998</v>
      </c>
      <c r="AP54" s="14">
        <f t="shared" si="44"/>
        <v>0.26600000000000001</v>
      </c>
      <c r="AQ54" s="8">
        <f t="shared" si="45"/>
        <v>94603.209999999992</v>
      </c>
      <c r="AR54" s="55">
        <f ca="1">IF(NOW()-TODAY()&gt;15/24, AG54, [1]!s_dq_volume(AB54,AR$2,1))/AI$2</f>
        <v>34.9</v>
      </c>
      <c r="AS54" s="110"/>
      <c r="AT54" s="110"/>
      <c r="AU54" s="110"/>
      <c r="AV54" s="110"/>
      <c r="AY54" s="10"/>
      <c r="AZ54" s="10"/>
      <c r="BA54" s="6">
        <f t="shared" ca="1" si="32"/>
        <v>8659.8003271994403</v>
      </c>
      <c r="BB54" s="6">
        <f t="shared" ca="1" si="33"/>
        <v>7499.8003271994412</v>
      </c>
      <c r="BC54" s="6">
        <f t="shared" ca="1" si="34"/>
        <v>10699.780327199442</v>
      </c>
      <c r="BD54" s="12">
        <f t="shared" ca="1" si="35"/>
        <v>10719.800327199442</v>
      </c>
      <c r="BE54" s="2">
        <f t="shared" ca="1" si="51"/>
        <v>5.4356394014102229E-2</v>
      </c>
      <c r="BF54" s="2">
        <f t="shared" ca="1" si="52"/>
        <v>4.6822478504629027E-2</v>
      </c>
      <c r="BG54" s="2">
        <f t="shared" ca="1" si="53"/>
        <v>6.7700756810025686E-2</v>
      </c>
      <c r="BH54" s="13">
        <f t="shared" ca="1" si="54"/>
        <v>6.7836013805641776E-2</v>
      </c>
      <c r="BI54" s="2">
        <f t="shared" ca="1" si="55"/>
        <v>0.10961372273562052</v>
      </c>
      <c r="BJ54" s="2">
        <f t="shared" ca="1" si="56"/>
        <v>9.4421020188892785E-2</v>
      </c>
      <c r="BK54" s="2">
        <f t="shared" ca="1" si="57"/>
        <v>0.13652362561137776</v>
      </c>
      <c r="BL54" s="40">
        <f t="shared" ca="1" si="58"/>
        <v>0.13679638143126657</v>
      </c>
      <c r="BN54" s="6">
        <f t="shared" ca="1" si="36"/>
        <v>-9031.2464001297703</v>
      </c>
      <c r="BO54" s="6">
        <f t="shared" ca="1" si="37"/>
        <v>-11091.24640012977</v>
      </c>
      <c r="BP54" s="6">
        <f t="shared" ca="1" si="38"/>
        <v>-7911.2464001297703</v>
      </c>
      <c r="BQ54" s="12">
        <f t="shared" ca="1" si="39"/>
        <v>-7871.2464001297703</v>
      </c>
      <c r="BR54" s="2">
        <f t="shared" ca="1" si="59"/>
        <v>-5.4300335946439807E-2</v>
      </c>
      <c r="BS54" s="2">
        <f t="shared" ca="1" si="60"/>
        <v>-0.11714987842543445</v>
      </c>
      <c r="BT54" s="2">
        <f t="shared" ca="1" si="61"/>
        <v>-8.3562459919440266E-2</v>
      </c>
      <c r="BU54" s="13">
        <f t="shared" ca="1" si="62"/>
        <v>-8.313997788815107E-2</v>
      </c>
      <c r="BV54" s="2">
        <f t="shared" ca="1" si="63"/>
        <v>-0.10950067746105266</v>
      </c>
      <c r="BW54" s="2">
        <f t="shared" ca="1" si="64"/>
        <v>-0.23624146754300315</v>
      </c>
      <c r="BX54" s="2">
        <f t="shared" ca="1" si="65"/>
        <v>-0.16850993298671657</v>
      </c>
      <c r="BY54" s="13">
        <f t="shared" ca="1" si="66"/>
        <v>-0.16765796645953118</v>
      </c>
      <c r="CF54" s="39" t="str">
        <f t="shared" si="67"/>
        <v>C2020-09-3800.CFE</v>
      </c>
      <c r="CG54" s="39" t="str">
        <f t="shared" si="68"/>
        <v>P2020-09-3800.CFE</v>
      </c>
      <c r="CH54" s="17" t="s">
        <v>199</v>
      </c>
      <c r="CI54" s="100" t="str">
        <f>IF([1]!w_info_callput(CH54)="认购","C","P")</f>
        <v>C</v>
      </c>
      <c r="CJ54" s="101">
        <f>[1]!w_info_strikeprice(CH54,"")</f>
        <v>3.8</v>
      </c>
      <c r="CK54" s="102" t="str">
        <f>[1]!w_info_lasttradingdate(CH54)</f>
        <v>2020-09-23</v>
      </c>
      <c r="CL54" s="39" t="str">
        <f t="shared" si="69"/>
        <v>10002259.SH</v>
      </c>
      <c r="CM54" s="17"/>
      <c r="CN54" s="17"/>
    </row>
    <row r="55" spans="1:92" ht="16.2" customHeight="1">
      <c r="A55" s="35">
        <f t="shared" si="46"/>
        <v>1</v>
      </c>
      <c r="B55" s="17" t="s">
        <v>200</v>
      </c>
      <c r="C55" s="29" t="str">
        <f>IF([1]!w_info_callput(B55)="认购","C","P")</f>
        <v>C</v>
      </c>
      <c r="D55" s="96">
        <f>[1]!w_info_strikeprice(B55,"")</f>
        <v>3.9</v>
      </c>
      <c r="E55" s="18" t="str">
        <f>[1]!w_info_lasttradingdate(B55)</f>
        <v>2020-09-23</v>
      </c>
      <c r="F55" s="15">
        <f>IF(G55&gt;0,RTD("wdf.rtq",,$B55,F$5),0)</f>
        <v>0.22920000000000001</v>
      </c>
      <c r="G55" s="53">
        <f>RTD("wdf.rtq",,$B55,G$5)</f>
        <v>533</v>
      </c>
      <c r="H55" s="15">
        <f>RTD("wdf.rtq",,$B55,H$5)</f>
        <v>5.2299999999999999E-2</v>
      </c>
      <c r="I55" s="53">
        <f>RTD("wdf.rtq",,$B55,I$5)</f>
        <v>2</v>
      </c>
      <c r="J55" s="15">
        <f>RTD("wdf.rtq",,$B55,J$5)</f>
        <v>0.54959999999999998</v>
      </c>
      <c r="K55" s="54">
        <f>RTD("wdf.rtq",,$B55,K$5)</f>
        <v>4</v>
      </c>
      <c r="L55" s="15">
        <f>[1]!s_dq_presettle(B55,"")</f>
        <v>0.20300000000000001</v>
      </c>
      <c r="M55" s="15">
        <f t="shared" si="47"/>
        <v>0.1469999999999998</v>
      </c>
      <c r="N55" s="3">
        <f t="shared" si="40"/>
        <v>39480.000000000007</v>
      </c>
      <c r="O55" s="15">
        <f t="shared" si="48"/>
        <v>0.30336000000000019</v>
      </c>
      <c r="P55" s="14">
        <f t="shared" si="49"/>
        <v>1.6044000000000003E-2</v>
      </c>
      <c r="Q55" s="8">
        <f t="shared" si="50"/>
        <v>63907.210000000014</v>
      </c>
      <c r="R55" s="55">
        <f ca="1">IF(NOW()-TODAY()&gt;15/24, G55, [1]!s_dq_volume(B55,R$2,1))/$AI$2</f>
        <v>50.7</v>
      </c>
      <c r="S55" s="110"/>
      <c r="T55" s="110"/>
      <c r="U55" s="110"/>
      <c r="V55" s="110"/>
      <c r="W55" s="110"/>
      <c r="X55" s="110"/>
      <c r="Y55" s="110"/>
      <c r="Z55" s="110"/>
      <c r="AA55" s="110"/>
      <c r="AB55" s="59" t="s">
        <v>209</v>
      </c>
      <c r="AC55" s="29" t="str">
        <f>IF([1]!w_info_callput(AB55)="认购","C","P")</f>
        <v>P</v>
      </c>
      <c r="AD55" s="31">
        <f>[1]!w_info_strikeprice(AB55,"")</f>
        <v>3.9</v>
      </c>
      <c r="AE55" s="18" t="str">
        <f>[1]!w_info_lasttradingdate(AB55)</f>
        <v>2020-09-23</v>
      </c>
      <c r="AF55" s="15">
        <f>RTD("wdf.rtq",,$AB55,F$5)</f>
        <v>0.39480000000000004</v>
      </c>
      <c r="AG55" s="53">
        <f>RTD("wdf.rtq",,$AB55,G$5)</f>
        <v>341</v>
      </c>
      <c r="AH55" s="15">
        <f>RTD("wdf.rtq",,$AB55,H$5)</f>
        <v>0.3896</v>
      </c>
      <c r="AI55" s="53">
        <f>RTD("wdf.rtq",,$AB55,I$5)</f>
        <v>1</v>
      </c>
      <c r="AJ55" s="15">
        <f>RTD("wdf.rtq",,$AB55,J$5)</f>
        <v>0</v>
      </c>
      <c r="AK55" s="54">
        <f>RTD("wdf.rtq",,$AB55,K$5)</f>
        <v>0</v>
      </c>
      <c r="AL55" s="15">
        <f>[1]!s_dq_presettle(AB55,"")</f>
        <v>0.43569999999999998</v>
      </c>
      <c r="AM55" s="15">
        <f t="shared" si="41"/>
        <v>0</v>
      </c>
      <c r="AN55" s="3">
        <f t="shared" si="42"/>
        <v>39480.000000000007</v>
      </c>
      <c r="AO55" s="15">
        <f t="shared" si="43"/>
        <v>0.45035999999999998</v>
      </c>
      <c r="AP55" s="14">
        <f t="shared" si="44"/>
        <v>0.27300000000000002</v>
      </c>
      <c r="AQ55" s="8">
        <f t="shared" si="45"/>
        <v>101419.20999999999</v>
      </c>
      <c r="AR55" s="55">
        <f ca="1">IF(NOW()-TODAY()&gt;15/24, AG55, [1]!s_dq_volume(AB55,AR$2,1))/AI$2</f>
        <v>34.799999999999997</v>
      </c>
      <c r="AS55" s="110"/>
      <c r="AT55" s="110"/>
      <c r="AU55" s="110"/>
      <c r="AV55" s="110"/>
      <c r="AY55" s="10"/>
      <c r="AZ55" s="10"/>
      <c r="BA55" s="6">
        <f t="shared" ca="1" si="32"/>
        <v>9169.8003271994457</v>
      </c>
      <c r="BB55" s="6">
        <f t="shared" ca="1" si="33"/>
        <v>0</v>
      </c>
      <c r="BC55" s="6">
        <f t="shared" ca="1" si="34"/>
        <v>41709.780327199449</v>
      </c>
      <c r="BD55" s="12">
        <f t="shared" ca="1" si="35"/>
        <v>41729.800327199446</v>
      </c>
      <c r="BE55" s="2">
        <f t="shared" ca="1" si="51"/>
        <v>6.1781444608288986E-2</v>
      </c>
      <c r="BF55" s="2">
        <f t="shared" ca="1" si="52"/>
        <v>0</v>
      </c>
      <c r="BG55" s="2">
        <f t="shared" ca="1" si="53"/>
        <v>0.28196914011803453</v>
      </c>
      <c r="BH55" s="13">
        <f t="shared" ca="1" si="54"/>
        <v>0.28214262778474813</v>
      </c>
      <c r="BI55" s="2">
        <f t="shared" ca="1" si="55"/>
        <v>0.12458689106091426</v>
      </c>
      <c r="BJ55" s="2">
        <f t="shared" ca="1" si="56"/>
        <v>0</v>
      </c>
      <c r="BK55" s="2">
        <f t="shared" ca="1" si="57"/>
        <v>0.56861180189548399</v>
      </c>
      <c r="BL55" s="40">
        <f t="shared" ca="1" si="58"/>
        <v>0.5689616527150998</v>
      </c>
      <c r="BN55" s="6">
        <f t="shared" ca="1" si="36"/>
        <v>-9541.2464001297758</v>
      </c>
      <c r="BO55" s="6">
        <f t="shared" ca="1" si="37"/>
        <v>-42101.24640012977</v>
      </c>
      <c r="BP55" s="6">
        <f t="shared" ca="1" si="38"/>
        <v>0</v>
      </c>
      <c r="BQ55" s="12">
        <f t="shared" ca="1" si="39"/>
        <v>0</v>
      </c>
      <c r="BR55" s="2">
        <f t="shared" ca="1" si="59"/>
        <v>-5.6348294572459198E-2</v>
      </c>
      <c r="BS55" s="2">
        <f t="shared" ca="1" si="60"/>
        <v>-0.4147123323362748</v>
      </c>
      <c r="BT55" s="2">
        <f t="shared" ca="1" si="61"/>
        <v>0</v>
      </c>
      <c r="BU55" s="13">
        <f t="shared" ca="1" si="62"/>
        <v>0</v>
      </c>
      <c r="BV55" s="2">
        <f t="shared" ca="1" si="63"/>
        <v>-0.11363053877871607</v>
      </c>
      <c r="BW55" s="2">
        <f t="shared" ca="1" si="64"/>
        <v>-0.83629834973889661</v>
      </c>
      <c r="BX55" s="2">
        <f t="shared" ca="1" si="65"/>
        <v>0</v>
      </c>
      <c r="BY55" s="13">
        <f t="shared" ca="1" si="66"/>
        <v>0</v>
      </c>
      <c r="CF55" s="39" t="str">
        <f t="shared" si="67"/>
        <v>C2020-09-3900.CFE</v>
      </c>
      <c r="CG55" s="39" t="str">
        <f t="shared" si="68"/>
        <v>P2020-09-3900.CFE</v>
      </c>
      <c r="CH55" s="95" t="s">
        <v>200</v>
      </c>
      <c r="CI55" s="100" t="str">
        <f>IF([1]!w_info_callput(CH55)="认购","C","P")</f>
        <v>C</v>
      </c>
      <c r="CJ55" s="101">
        <f>[1]!w_info_strikeprice(CH55,"")</f>
        <v>3.9</v>
      </c>
      <c r="CK55" s="102" t="str">
        <f>[1]!w_info_lasttradingdate(CH55)</f>
        <v>2020-09-23</v>
      </c>
      <c r="CL55" s="39" t="str">
        <f t="shared" si="69"/>
        <v>10002260.SH</v>
      </c>
      <c r="CM55" s="17"/>
      <c r="CN55" s="17"/>
    </row>
    <row r="56" spans="1:92" ht="16.2" customHeight="1">
      <c r="A56" s="35">
        <f t="shared" si="46"/>
        <v>1</v>
      </c>
      <c r="B56" s="17" t="s">
        <v>201</v>
      </c>
      <c r="C56" s="29" t="str">
        <f>IF([1]!w_info_callput(B56)="认购","C","P")</f>
        <v>C</v>
      </c>
      <c r="D56" s="96">
        <f>[1]!w_info_strikeprice(B56,"")</f>
        <v>4</v>
      </c>
      <c r="E56" s="18" t="str">
        <f>[1]!w_info_lasttradingdate(B56)</f>
        <v>2020-09-23</v>
      </c>
      <c r="F56" s="15">
        <f>IF(G56&gt;0,RTD("wdf.rtq",,$B56,F$5),0)</f>
        <v>0.19140000000000001</v>
      </c>
      <c r="G56" s="53">
        <f>RTD("wdf.rtq",,$B56,G$5)</f>
        <v>341</v>
      </c>
      <c r="H56" s="15">
        <f>RTD("wdf.rtq",,$B56,H$5)</f>
        <v>0.18630000000000002</v>
      </c>
      <c r="I56" s="53">
        <f>RTD("wdf.rtq",,$B56,I$5)</f>
        <v>2</v>
      </c>
      <c r="J56" s="15">
        <f>RTD("wdf.rtq",,$B56,J$5)</f>
        <v>0.19980000000000001</v>
      </c>
      <c r="K56" s="54">
        <f>RTD("wdf.rtq",,$B56,K$5)</f>
        <v>3</v>
      </c>
      <c r="L56" s="15">
        <f>[1]!s_dq_presettle(B56,"")</f>
        <v>0.17369999999999999</v>
      </c>
      <c r="M56" s="15">
        <f t="shared" si="47"/>
        <v>0.24699999999999989</v>
      </c>
      <c r="N56" s="3">
        <f t="shared" si="40"/>
        <v>45650</v>
      </c>
      <c r="O56" s="15">
        <f t="shared" si="48"/>
        <v>0.2033600000000001</v>
      </c>
      <c r="P56" s="14">
        <f t="shared" si="49"/>
        <v>1.3398000000000002E-2</v>
      </c>
      <c r="Q56" s="8">
        <f t="shared" si="50"/>
        <v>47371.210000000021</v>
      </c>
      <c r="R56" s="55">
        <f ca="1">IF(NOW()-TODAY()&gt;15/24, G56, [1]!s_dq_volume(B56,R$2,1))/$AI$2</f>
        <v>80.7</v>
      </c>
      <c r="S56" s="110"/>
      <c r="T56" s="110"/>
      <c r="U56" s="110"/>
      <c r="V56" s="110"/>
      <c r="W56" s="110"/>
      <c r="X56" s="110"/>
      <c r="Y56" s="110"/>
      <c r="Z56" s="110"/>
      <c r="AA56" s="110"/>
      <c r="AB56" s="59" t="s">
        <v>210</v>
      </c>
      <c r="AC56" s="29" t="str">
        <f>IF([1]!w_info_callput(AB56)="认购","C","P")</f>
        <v>P</v>
      </c>
      <c r="AD56" s="31">
        <f>[1]!w_info_strikeprice(AB56,"")</f>
        <v>4</v>
      </c>
      <c r="AE56" s="18" t="str">
        <f>[1]!w_info_lasttradingdate(AB56)</f>
        <v>2020-09-23</v>
      </c>
      <c r="AF56" s="15">
        <f>RTD("wdf.rtq",,$AB56,F$5)</f>
        <v>0.45650000000000002</v>
      </c>
      <c r="AG56" s="53">
        <f>RTD("wdf.rtq",,$AB56,G$5)</f>
        <v>264</v>
      </c>
      <c r="AH56" s="15">
        <f>RTD("wdf.rtq",,$AB56,H$5)</f>
        <v>0.41000000000000003</v>
      </c>
      <c r="AI56" s="53">
        <f>RTD("wdf.rtq",,$AB56,I$5)</f>
        <v>1</v>
      </c>
      <c r="AJ56" s="15">
        <f>RTD("wdf.rtq",,$AB56,J$5)</f>
        <v>0.4587</v>
      </c>
      <c r="AK56" s="54">
        <f>RTD("wdf.rtq",,$AB56,K$5)</f>
        <v>2</v>
      </c>
      <c r="AL56" s="15">
        <f>[1]!s_dq_presettle(AB56,"")</f>
        <v>0.50390000000000001</v>
      </c>
      <c r="AM56" s="15">
        <f t="shared" si="41"/>
        <v>0</v>
      </c>
      <c r="AN56" s="3">
        <f t="shared" si="42"/>
        <v>45650</v>
      </c>
      <c r="AO56" s="15">
        <f t="shared" si="43"/>
        <v>0.45035999999999998</v>
      </c>
      <c r="AP56" s="14">
        <f t="shared" si="44"/>
        <v>0.28000000000000003</v>
      </c>
      <c r="AQ56" s="8">
        <f t="shared" si="45"/>
        <v>108823.20999999999</v>
      </c>
      <c r="AR56" s="55">
        <f ca="1">IF(NOW()-TODAY()&gt;15/24, AG56, [1]!s_dq_volume(AB56,AR$2,1))/AI$2</f>
        <v>174.2</v>
      </c>
      <c r="AS56" s="110"/>
      <c r="AT56" s="110"/>
      <c r="AU56" s="110"/>
      <c r="AV56" s="110"/>
      <c r="AY56" s="10"/>
      <c r="AZ56" s="10"/>
      <c r="BA56" s="6">
        <f t="shared" ca="1" si="32"/>
        <v>9219.8003271994567</v>
      </c>
      <c r="BB56" s="6">
        <f t="shared" ca="1" si="33"/>
        <v>8489.8003271994603</v>
      </c>
      <c r="BC56" s="6">
        <f t="shared" ca="1" si="34"/>
        <v>14689.780327199454</v>
      </c>
      <c r="BD56" s="12">
        <f t="shared" ca="1" si="35"/>
        <v>14709.800327199455</v>
      </c>
      <c r="BE56" s="2">
        <f t="shared" ca="1" si="51"/>
        <v>6.6782461612830329E-2</v>
      </c>
      <c r="BF56" s="2">
        <f t="shared" ca="1" si="52"/>
        <v>6.1396959970478567E-2</v>
      </c>
      <c r="BG56" s="2">
        <f t="shared" ca="1" si="53"/>
        <v>0.11009583672775181</v>
      </c>
      <c r="BH56" s="13">
        <f t="shared" ca="1" si="54"/>
        <v>0.11026240880983458</v>
      </c>
      <c r="BI56" s="2">
        <f t="shared" ca="1" si="55"/>
        <v>0.13467181485460261</v>
      </c>
      <c r="BJ56" s="2">
        <f t="shared" ca="1" si="56"/>
        <v>0.12381154911173856</v>
      </c>
      <c r="BK56" s="2">
        <f t="shared" ca="1" si="57"/>
        <v>0.22201646632944425</v>
      </c>
      <c r="BL56" s="40">
        <f t="shared" ca="1" si="58"/>
        <v>0.22235237135684874</v>
      </c>
      <c r="BN56" s="6">
        <f t="shared" ca="1" si="36"/>
        <v>-9591.2464001297867</v>
      </c>
      <c r="BO56" s="6">
        <f t="shared" ca="1" si="37"/>
        <v>-15081.246400129785</v>
      </c>
      <c r="BP56" s="6">
        <f t="shared" ca="1" si="38"/>
        <v>-8901.2464001297885</v>
      </c>
      <c r="BQ56" s="12">
        <f t="shared" ca="1" si="39"/>
        <v>-8861.2464001297885</v>
      </c>
      <c r="BR56" s="2">
        <f t="shared" ca="1" si="59"/>
        <v>-5.5456672826180851E-2</v>
      </c>
      <c r="BS56" s="2">
        <f t="shared" ca="1" si="60"/>
        <v>-0.13850214787015361</v>
      </c>
      <c r="BT56" s="2">
        <f t="shared" ca="1" si="61"/>
        <v>-8.1747673301891366E-2</v>
      </c>
      <c r="BU56" s="13">
        <f t="shared" ca="1" si="62"/>
        <v>-8.1380334422364545E-2</v>
      </c>
      <c r="BV56" s="2">
        <f t="shared" ca="1" si="63"/>
        <v>-0.11183251702517132</v>
      </c>
      <c r="BW56" s="2">
        <f t="shared" ca="1" si="64"/>
        <v>-0.27929991145086225</v>
      </c>
      <c r="BX56" s="2">
        <f t="shared" ca="1" si="65"/>
        <v>-0.16485028041541627</v>
      </c>
      <c r="BY56" s="13">
        <f t="shared" ca="1" si="66"/>
        <v>-0.16410951416664674</v>
      </c>
      <c r="CF56" s="39" t="str">
        <f t="shared" si="67"/>
        <v>C2020-09-4000.CFE</v>
      </c>
      <c r="CG56" s="39" t="str">
        <f t="shared" si="68"/>
        <v>P2020-09-4000.CFE</v>
      </c>
      <c r="CH56" s="17" t="s">
        <v>201</v>
      </c>
      <c r="CI56" s="100" t="str">
        <f>IF([1]!w_info_callput(CH56)="认购","C","P")</f>
        <v>C</v>
      </c>
      <c r="CJ56" s="101">
        <f>[1]!w_info_strikeprice(CH56,"")</f>
        <v>4</v>
      </c>
      <c r="CK56" s="102" t="str">
        <f>[1]!w_info_lasttradingdate(CH56)</f>
        <v>2020-09-23</v>
      </c>
      <c r="CL56" s="39" t="str">
        <f t="shared" si="69"/>
        <v>10002261.SH</v>
      </c>
      <c r="CM56" s="17"/>
      <c r="CN56" s="17"/>
    </row>
    <row r="57" spans="1:92" ht="16.2" customHeight="1">
      <c r="A57" s="35">
        <f t="shared" si="46"/>
        <v>1</v>
      </c>
      <c r="B57" s="17" t="s">
        <v>202</v>
      </c>
      <c r="C57" s="29" t="str">
        <f>IF([1]!w_info_callput(B57)="认购","C","P")</f>
        <v>C</v>
      </c>
      <c r="D57" s="96">
        <f>[1]!w_info_strikeprice(B57,"")</f>
        <v>4.0999999999999996</v>
      </c>
      <c r="E57" s="18" t="str">
        <f>[1]!w_info_lasttradingdate(B57)</f>
        <v>2020-09-23</v>
      </c>
      <c r="F57" s="15">
        <f>IF(G57&gt;0,RTD("wdf.rtq",,$B57,F$5),0)</f>
        <v>0.16450000000000001</v>
      </c>
      <c r="G57" s="53">
        <f>RTD("wdf.rtq",,$B57,G$5)</f>
        <v>459</v>
      </c>
      <c r="H57" s="15">
        <f>RTD("wdf.rtq",,$B57,H$5)</f>
        <v>0.14500000000000002</v>
      </c>
      <c r="I57" s="53">
        <f>RTD("wdf.rtq",,$B57,I$5)</f>
        <v>1</v>
      </c>
      <c r="J57" s="15">
        <f>RTD("wdf.rtq",,$B57,J$5)</f>
        <v>0.1646</v>
      </c>
      <c r="K57" s="54">
        <f>RTD("wdf.rtq",,$B57,K$5)</f>
        <v>1</v>
      </c>
      <c r="L57" s="15">
        <f>[1]!s_dq_presettle(B57,"")</f>
        <v>0.14330000000000001</v>
      </c>
      <c r="M57" s="15">
        <f t="shared" si="47"/>
        <v>0.34699999999999953</v>
      </c>
      <c r="N57" s="3">
        <f t="shared" si="40"/>
        <v>52470.000000000007</v>
      </c>
      <c r="O57" s="15">
        <f t="shared" si="48"/>
        <v>0.10336000000000045</v>
      </c>
      <c r="P57" s="14">
        <f t="shared" si="49"/>
        <v>1.1515000000000001E-2</v>
      </c>
      <c r="Q57" s="8">
        <f t="shared" si="50"/>
        <v>32143.21000000005</v>
      </c>
      <c r="R57" s="55">
        <f ca="1">IF(NOW()-TODAY()&gt;15/24, G57, [1]!s_dq_volume(B57,R$2,1))/$AI$2</f>
        <v>109.4</v>
      </c>
      <c r="S57" s="110"/>
      <c r="T57" s="110"/>
      <c r="U57" s="110"/>
      <c r="V57" s="110"/>
      <c r="W57" s="110"/>
      <c r="X57" s="110"/>
      <c r="Y57" s="110"/>
      <c r="Z57" s="110"/>
      <c r="AA57" s="110"/>
      <c r="AB57" s="59" t="s">
        <v>211</v>
      </c>
      <c r="AC57" s="29" t="str">
        <f>IF([1]!w_info_callput(AB57)="认购","C","P")</f>
        <v>P</v>
      </c>
      <c r="AD57" s="31">
        <f>[1]!w_info_strikeprice(AB57,"")</f>
        <v>4.0999999999999996</v>
      </c>
      <c r="AE57" s="18" t="str">
        <f>[1]!w_info_lasttradingdate(AB57)</f>
        <v>2020-09-23</v>
      </c>
      <c r="AF57" s="15">
        <f>RTD("wdf.rtq",,$AB57,F$5)</f>
        <v>0.52470000000000006</v>
      </c>
      <c r="AG57" s="53">
        <f>RTD("wdf.rtq",,$AB57,G$5)</f>
        <v>61</v>
      </c>
      <c r="AH57" s="15">
        <f>RTD("wdf.rtq",,$AB57,H$5)</f>
        <v>0</v>
      </c>
      <c r="AI57" s="53">
        <f>RTD("wdf.rtq",,$AB57,I$5)</f>
        <v>0</v>
      </c>
      <c r="AJ57" s="15">
        <f>RTD("wdf.rtq",,$AB57,J$5)</f>
        <v>0</v>
      </c>
      <c r="AK57" s="54">
        <f>RTD("wdf.rtq",,$AB57,K$5)</f>
        <v>0</v>
      </c>
      <c r="AL57" s="15">
        <f>[1]!s_dq_presettle(AB57,"")</f>
        <v>0.57369999999999999</v>
      </c>
      <c r="AM57" s="15">
        <f t="shared" si="41"/>
        <v>0</v>
      </c>
      <c r="AN57" s="3">
        <f t="shared" si="42"/>
        <v>52470.000000000007</v>
      </c>
      <c r="AO57" s="15">
        <f t="shared" si="43"/>
        <v>0.45035999999999998</v>
      </c>
      <c r="AP57" s="14">
        <f t="shared" si="44"/>
        <v>0.28699999999999998</v>
      </c>
      <c r="AQ57" s="8">
        <f t="shared" si="45"/>
        <v>117007.20999999999</v>
      </c>
      <c r="AR57" s="55">
        <f ca="1">IF(NOW()-TODAY()&gt;15/24, AG57, [1]!s_dq_volume(AB57,AR$2,1))/AI$2</f>
        <v>35.9</v>
      </c>
      <c r="AS57" s="110"/>
      <c r="AT57" s="110"/>
      <c r="AU57" s="110"/>
      <c r="AV57" s="110"/>
      <c r="AY57" s="10"/>
      <c r="AZ57" s="10"/>
      <c r="BA57" s="6">
        <f t="shared" ca="1" si="32"/>
        <v>9709.8003271994148</v>
      </c>
      <c r="BB57" s="6">
        <f t="shared" ca="1" si="33"/>
        <v>0</v>
      </c>
      <c r="BC57" s="6">
        <f t="shared" ca="1" si="34"/>
        <v>0</v>
      </c>
      <c r="BD57" s="12">
        <f t="shared" ca="1" si="35"/>
        <v>0</v>
      </c>
      <c r="BE57" s="2">
        <f t="shared" ca="1" si="51"/>
        <v>7.489286149294247E-2</v>
      </c>
      <c r="BF57" s="2">
        <f t="shared" ca="1" si="52"/>
        <v>0</v>
      </c>
      <c r="BG57" s="2">
        <f t="shared" ca="1" si="53"/>
        <v>0</v>
      </c>
      <c r="BH57" s="13">
        <f t="shared" ca="1" si="54"/>
        <v>0</v>
      </c>
      <c r="BI57" s="2">
        <f t="shared" ca="1" si="55"/>
        <v>0.1510270411321768</v>
      </c>
      <c r="BJ57" s="2">
        <f t="shared" ca="1" si="56"/>
        <v>0</v>
      </c>
      <c r="BK57" s="2">
        <f t="shared" ca="1" si="57"/>
        <v>0</v>
      </c>
      <c r="BL57" s="40">
        <f t="shared" ca="1" si="58"/>
        <v>0</v>
      </c>
      <c r="BN57" s="6">
        <f t="shared" ca="1" si="36"/>
        <v>-10081.246400129743</v>
      </c>
      <c r="BO57" s="6">
        <f t="shared" ca="1" si="37"/>
        <v>0</v>
      </c>
      <c r="BP57" s="6">
        <f t="shared" ca="1" si="38"/>
        <v>0</v>
      </c>
      <c r="BQ57" s="12">
        <f t="shared" ca="1" si="39"/>
        <v>0</v>
      </c>
      <c r="BR57" s="2">
        <f t="shared" ca="1" si="59"/>
        <v>-5.6495210191857298E-2</v>
      </c>
      <c r="BS57" s="2">
        <f t="shared" ca="1" si="60"/>
        <v>0</v>
      </c>
      <c r="BT57" s="2">
        <f t="shared" ca="1" si="61"/>
        <v>0</v>
      </c>
      <c r="BU57" s="13">
        <f t="shared" ca="1" si="62"/>
        <v>0</v>
      </c>
      <c r="BV57" s="2">
        <f t="shared" ca="1" si="63"/>
        <v>-0.11392680508302716</v>
      </c>
      <c r="BW57" s="2">
        <f t="shared" ca="1" si="64"/>
        <v>0</v>
      </c>
      <c r="BX57" s="2">
        <f t="shared" ca="1" si="65"/>
        <v>0</v>
      </c>
      <c r="BY57" s="13">
        <f t="shared" ca="1" si="66"/>
        <v>0</v>
      </c>
      <c r="CF57" s="39" t="str">
        <f t="shared" si="67"/>
        <v>C2020-09-4100.CFE</v>
      </c>
      <c r="CG57" s="39" t="str">
        <f t="shared" si="68"/>
        <v>P2020-09-4100.CFE</v>
      </c>
      <c r="CH57" s="95" t="s">
        <v>202</v>
      </c>
      <c r="CI57" s="100" t="str">
        <f>IF([1]!w_info_callput(CH57)="认购","C","P")</f>
        <v>C</v>
      </c>
      <c r="CJ57" s="101">
        <f>[1]!w_info_strikeprice(CH57,"")</f>
        <v>4.0999999999999996</v>
      </c>
      <c r="CK57" s="102" t="str">
        <f>[1]!w_info_lasttradingdate(CH57)</f>
        <v>2020-09-23</v>
      </c>
      <c r="CL57" s="39" t="str">
        <f t="shared" si="69"/>
        <v>10002262.SH</v>
      </c>
      <c r="CM57" s="17"/>
      <c r="CN57" s="17"/>
    </row>
    <row r="58" spans="1:92" ht="16.2" customHeight="1">
      <c r="A58" s="35">
        <f t="shared" si="46"/>
        <v>1</v>
      </c>
      <c r="B58" s="17" t="s">
        <v>203</v>
      </c>
      <c r="C58" s="29" t="str">
        <f>IF([1]!w_info_callput(B58)="认购","C","P")</f>
        <v>C</v>
      </c>
      <c r="D58" s="96">
        <f>[1]!w_info_strikeprice(B58,"")</f>
        <v>4.2</v>
      </c>
      <c r="E58" s="18" t="str">
        <f>[1]!w_info_lasttradingdate(B58)</f>
        <v>2020-09-23</v>
      </c>
      <c r="F58" s="15">
        <f>IF(G58&gt;0,RTD("wdf.rtq",,$B58,F$5),0)</f>
        <v>0.13090000000000002</v>
      </c>
      <c r="G58" s="53">
        <f>RTD("wdf.rtq",,$B58,G$5)</f>
        <v>697</v>
      </c>
      <c r="H58" s="15">
        <f>RTD("wdf.rtq",,$B58,H$5)</f>
        <v>2.52E-2</v>
      </c>
      <c r="I58" s="53">
        <f>RTD("wdf.rtq",,$B58,I$5)</f>
        <v>2</v>
      </c>
      <c r="J58" s="15">
        <f>RTD("wdf.rtq",,$B58,J$5)</f>
        <v>0.14990000000000001</v>
      </c>
      <c r="K58" s="54">
        <f>RTD("wdf.rtq",,$B58,K$5)</f>
        <v>12</v>
      </c>
      <c r="L58" s="15">
        <f>[1]!s_dq_presettle(B58,"")</f>
        <v>0.1207</v>
      </c>
      <c r="M58" s="15">
        <f t="shared" si="47"/>
        <v>0.44700000000000006</v>
      </c>
      <c r="N58" s="3">
        <f t="shared" si="40"/>
        <v>59740.000000000007</v>
      </c>
      <c r="O58" s="15">
        <f t="shared" si="48"/>
        <v>3.3599999999999186E-3</v>
      </c>
      <c r="P58" s="14">
        <f t="shared" si="49"/>
        <v>9.1630000000000027E-3</v>
      </c>
      <c r="Q58" s="8">
        <f t="shared" si="50"/>
        <v>16807.57</v>
      </c>
      <c r="R58" s="55">
        <f ca="1">IF(NOW()-TODAY()&gt;15/24, G58, [1]!s_dq_volume(B58,R$2,1))/$AI$2</f>
        <v>69.900000000000006</v>
      </c>
      <c r="S58" s="110"/>
      <c r="T58" s="110"/>
      <c r="U58" s="110"/>
      <c r="V58" s="110"/>
      <c r="W58" s="110"/>
      <c r="X58" s="110"/>
      <c r="Y58" s="110"/>
      <c r="Z58" s="110"/>
      <c r="AA58" s="110"/>
      <c r="AB58" s="59" t="s">
        <v>212</v>
      </c>
      <c r="AC58" s="29" t="str">
        <f>IF([1]!w_info_callput(AB58)="认购","C","P")</f>
        <v>P</v>
      </c>
      <c r="AD58" s="31">
        <f>[1]!w_info_strikeprice(AB58,"")</f>
        <v>4.2</v>
      </c>
      <c r="AE58" s="18" t="str">
        <f>[1]!w_info_lasttradingdate(AB58)</f>
        <v>2020-09-23</v>
      </c>
      <c r="AF58" s="15">
        <f>RTD("wdf.rtq",,$AB58,F$5)</f>
        <v>0.59740000000000004</v>
      </c>
      <c r="AG58" s="53">
        <f>RTD("wdf.rtq",,$AB58,G$5)</f>
        <v>77</v>
      </c>
      <c r="AH58" s="15">
        <f>RTD("wdf.rtq",,$AB58,H$5)</f>
        <v>0</v>
      </c>
      <c r="AI58" s="53">
        <f>RTD("wdf.rtq",,$AB58,I$5)</f>
        <v>0</v>
      </c>
      <c r="AJ58" s="15">
        <f>RTD("wdf.rtq",,$AB58,J$5)</f>
        <v>0.59599999999999997</v>
      </c>
      <c r="AK58" s="54">
        <f>RTD("wdf.rtq",,$AB58,K$5)</f>
        <v>4</v>
      </c>
      <c r="AL58" s="15">
        <f>[1]!s_dq_presettle(AB58,"")</f>
        <v>0.6482</v>
      </c>
      <c r="AM58" s="15">
        <f t="shared" si="41"/>
        <v>0</v>
      </c>
      <c r="AN58" s="3">
        <f t="shared" si="42"/>
        <v>59740.000000000007</v>
      </c>
      <c r="AO58" s="15">
        <f t="shared" si="43"/>
        <v>0.45035999999999998</v>
      </c>
      <c r="AP58" s="14">
        <f t="shared" si="44"/>
        <v>0.29400000000000004</v>
      </c>
      <c r="AQ58" s="8">
        <f t="shared" si="45"/>
        <v>125731.20999999999</v>
      </c>
      <c r="AR58" s="55">
        <f ca="1">IF(NOW()-TODAY()&gt;15/24, AG58, [1]!s_dq_volume(AB58,AR$2,1))/AI$2</f>
        <v>28.9</v>
      </c>
      <c r="AS58" s="110"/>
      <c r="AT58" s="110"/>
      <c r="AU58" s="110"/>
      <c r="AV58" s="110"/>
      <c r="AY58" s="10"/>
      <c r="AZ58" s="10"/>
      <c r="BA58" s="6">
        <f t="shared" ca="1" si="32"/>
        <v>9079.800327199473</v>
      </c>
      <c r="BB58" s="6">
        <f t="shared" ca="1" si="33"/>
        <v>-1350.1996728005224</v>
      </c>
      <c r="BC58" s="6">
        <f t="shared" ca="1" si="34"/>
        <v>0</v>
      </c>
      <c r="BD58" s="12">
        <f t="shared" ca="1" si="35"/>
        <v>0</v>
      </c>
      <c r="BE58" s="2">
        <f t="shared" ca="1" si="51"/>
        <v>7.4679500916114513E-2</v>
      </c>
      <c r="BF58" s="2">
        <f t="shared" ca="1" si="52"/>
        <v>-1.1117918163971318E-2</v>
      </c>
      <c r="BG58" s="2">
        <f t="shared" ca="1" si="53"/>
        <v>0</v>
      </c>
      <c r="BH58" s="13">
        <f t="shared" ca="1" si="54"/>
        <v>0</v>
      </c>
      <c r="BI58" s="2">
        <f t="shared" ca="1" si="55"/>
        <v>0.15059678361536905</v>
      </c>
      <c r="BJ58" s="2">
        <f t="shared" ca="1" si="56"/>
        <v>-2.2420111214638293E-2</v>
      </c>
      <c r="BK58" s="2">
        <f t="shared" ca="1" si="57"/>
        <v>0</v>
      </c>
      <c r="BL58" s="40">
        <f t="shared" ca="1" si="58"/>
        <v>0</v>
      </c>
      <c r="BN58" s="6">
        <f t="shared" ca="1" si="36"/>
        <v>-9451.2464001298013</v>
      </c>
      <c r="BO58" s="6">
        <f t="shared" ca="1" si="37"/>
        <v>0</v>
      </c>
      <c r="BP58" s="6">
        <f t="shared" ca="1" si="38"/>
        <v>938.75359987019306</v>
      </c>
      <c r="BQ58" s="12">
        <f t="shared" ca="1" si="39"/>
        <v>978.75359987019306</v>
      </c>
      <c r="BR58" s="2">
        <f t="shared" ca="1" si="59"/>
        <v>-5.14190494720876E-2</v>
      </c>
      <c r="BS58" s="2">
        <f t="shared" ca="1" si="60"/>
        <v>0</v>
      </c>
      <c r="BT58" s="2">
        <f t="shared" ca="1" si="61"/>
        <v>7.4635317688157071E-3</v>
      </c>
      <c r="BU58" s="13">
        <f t="shared" ca="1" si="62"/>
        <v>7.7815517821089595E-3</v>
      </c>
      <c r="BV58" s="2">
        <f t="shared" ca="1" si="63"/>
        <v>-0.10369034838293908</v>
      </c>
      <c r="BW58" s="2">
        <f t="shared" ca="1" si="64"/>
        <v>0</v>
      </c>
      <c r="BX58" s="2">
        <f t="shared" ca="1" si="65"/>
        <v>1.5050768484075874E-2</v>
      </c>
      <c r="BY58" s="13">
        <f t="shared" ca="1" si="66"/>
        <v>1.5692079560606465E-2</v>
      </c>
      <c r="CF58" s="39" t="str">
        <f t="shared" si="67"/>
        <v>C2020-09-4200.CFE</v>
      </c>
      <c r="CG58" s="39" t="str">
        <f t="shared" si="68"/>
        <v>P2020-09-4200.CFE</v>
      </c>
      <c r="CH58" s="95" t="s">
        <v>203</v>
      </c>
      <c r="CI58" s="100" t="str">
        <f>IF([1]!w_info_callput(CH58)="认购","C","P")</f>
        <v>C</v>
      </c>
      <c r="CJ58" s="101">
        <f>[1]!w_info_strikeprice(CH58,"")</f>
        <v>4.2</v>
      </c>
      <c r="CK58" s="102" t="str">
        <f>[1]!w_info_lasttradingdate(CH58)</f>
        <v>2020-09-23</v>
      </c>
      <c r="CL58" s="39" t="str">
        <f t="shared" si="69"/>
        <v>10002263.SH</v>
      </c>
      <c r="CM58" s="17"/>
      <c r="CN58" s="17"/>
    </row>
    <row r="59" spans="1:92" ht="16.2" customHeight="1">
      <c r="A59" s="35">
        <f t="shared" si="46"/>
        <v>1</v>
      </c>
      <c r="B59" s="95" t="s">
        <v>204</v>
      </c>
      <c r="C59" s="29" t="str">
        <f>IF([1]!w_info_callput(B59)="认购","C","P")</f>
        <v>C</v>
      </c>
      <c r="D59" s="96">
        <f>[1]!w_info_strikeprice(B59,"")</f>
        <v>4.3</v>
      </c>
      <c r="E59" s="18" t="str">
        <f>[1]!w_info_lasttradingdate(B59)</f>
        <v>2020-09-23</v>
      </c>
      <c r="F59" s="15">
        <f>IF(G59&gt;0,RTD("wdf.rtq",,$B59,F$5),0)</f>
        <v>0.115</v>
      </c>
      <c r="G59" s="53">
        <f>RTD("wdf.rtq",,$B59,G$5)</f>
        <v>349</v>
      </c>
      <c r="H59" s="15">
        <f>RTD("wdf.rtq",,$B59,H$5)</f>
        <v>9.0000000000000011E-2</v>
      </c>
      <c r="I59" s="53">
        <f>RTD("wdf.rtq",,$B59,I$5)</f>
        <v>3</v>
      </c>
      <c r="J59" s="15">
        <f>RTD("wdf.rtq",,$B59,J$5)</f>
        <v>0.115</v>
      </c>
      <c r="K59" s="54">
        <f>RTD("wdf.rtq",,$B59,K$5)</f>
        <v>7</v>
      </c>
      <c r="L59" s="15">
        <f>[1]!s_dq_presettle(B59,"")</f>
        <v>9.8799999999999999E-2</v>
      </c>
      <c r="M59" s="15">
        <f t="shared" si="47"/>
        <v>0.54699999999999971</v>
      </c>
      <c r="N59" s="3">
        <f t="shared" si="40"/>
        <v>67310</v>
      </c>
      <c r="O59" s="15">
        <f t="shared" si="48"/>
        <v>-9.6639999999999726E-2</v>
      </c>
      <c r="P59" s="14">
        <f t="shared" si="49"/>
        <v>8.0500000000000016E-3</v>
      </c>
      <c r="Q59" s="8">
        <f t="shared" si="50"/>
        <v>14766.01</v>
      </c>
      <c r="R59" s="55">
        <f ca="1">IF(NOW()-TODAY()&gt;15/24, G59, [1]!s_dq_volume(B59,R$2,1))/$AI$2</f>
        <v>81.400000000000006</v>
      </c>
      <c r="S59" s="110"/>
      <c r="T59" s="110"/>
      <c r="U59" s="110"/>
      <c r="V59" s="110"/>
      <c r="W59" s="110"/>
      <c r="X59" s="110"/>
      <c r="Y59" s="110"/>
      <c r="Z59" s="110"/>
      <c r="AA59" s="110"/>
      <c r="AB59" s="59" t="s">
        <v>213</v>
      </c>
      <c r="AC59" s="29" t="str">
        <f>IF([1]!w_info_callput(AB59)="认购","C","P")</f>
        <v>P</v>
      </c>
      <c r="AD59" s="31">
        <f>[1]!w_info_strikeprice(AB59,"")</f>
        <v>4.3</v>
      </c>
      <c r="AE59" s="18" t="str">
        <f>[1]!w_info_lasttradingdate(AB59)</f>
        <v>2020-09-23</v>
      </c>
      <c r="AF59" s="15">
        <f>RTD("wdf.rtq",,$AB59,F$5)</f>
        <v>0.67310000000000003</v>
      </c>
      <c r="AG59" s="53">
        <f>RTD("wdf.rtq",,$AB59,G$5)</f>
        <v>32</v>
      </c>
      <c r="AH59" s="15">
        <f>RTD("wdf.rtq",,$AB59,H$5)</f>
        <v>0</v>
      </c>
      <c r="AI59" s="53">
        <f>RTD("wdf.rtq",,$AB59,I$5)</f>
        <v>0</v>
      </c>
      <c r="AJ59" s="15">
        <f>RTD("wdf.rtq",,$AB59,J$5)</f>
        <v>0</v>
      </c>
      <c r="AK59" s="54">
        <f>RTD("wdf.rtq",,$AB59,K$5)</f>
        <v>0</v>
      </c>
      <c r="AL59" s="15">
        <f>[1]!s_dq_presettle(AB59,"")</f>
        <v>0.72650000000000003</v>
      </c>
      <c r="AM59" s="15">
        <f t="shared" si="41"/>
        <v>0</v>
      </c>
      <c r="AN59" s="3">
        <f t="shared" si="42"/>
        <v>67310</v>
      </c>
      <c r="AO59" s="15">
        <f t="shared" si="43"/>
        <v>0.45035999999999998</v>
      </c>
      <c r="AP59" s="14">
        <f t="shared" si="44"/>
        <v>0.30099999999999999</v>
      </c>
      <c r="AQ59" s="8">
        <f t="shared" si="45"/>
        <v>134815.21000000002</v>
      </c>
      <c r="AR59" s="55">
        <f ca="1">IF(NOW()-TODAY()&gt;15/24, AG59, [1]!s_dq_volume(AB59,AR$2,1))/AI$2</f>
        <v>21.3</v>
      </c>
      <c r="AS59" s="110"/>
      <c r="AT59" s="110"/>
      <c r="AU59" s="110"/>
      <c r="AV59" s="110"/>
      <c r="AY59" s="10"/>
      <c r="AZ59" s="10"/>
      <c r="BA59" s="6">
        <f t="shared" ca="1" si="32"/>
        <v>9919.8003271994348</v>
      </c>
      <c r="BB59" s="6">
        <f t="shared" ca="1" si="33"/>
        <v>0</v>
      </c>
      <c r="BC59" s="6">
        <f t="shared" ca="1" si="34"/>
        <v>0</v>
      </c>
      <c r="BD59" s="12">
        <f t="shared" ca="1" si="35"/>
        <v>0</v>
      </c>
      <c r="BE59" s="2">
        <f t="shared" ca="1" si="51"/>
        <v>7.8039835316894401E-2</v>
      </c>
      <c r="BF59" s="2">
        <f t="shared" ca="1" si="52"/>
        <v>0</v>
      </c>
      <c r="BG59" s="2">
        <f t="shared" ca="1" si="53"/>
        <v>0</v>
      </c>
      <c r="BH59" s="13">
        <f t="shared" ca="1" si="54"/>
        <v>0</v>
      </c>
      <c r="BI59" s="2">
        <f t="shared" ca="1" si="55"/>
        <v>0.15737314856721799</v>
      </c>
      <c r="BJ59" s="2">
        <f t="shared" ca="1" si="56"/>
        <v>0</v>
      </c>
      <c r="BK59" s="2">
        <f t="shared" ca="1" si="57"/>
        <v>0</v>
      </c>
      <c r="BL59" s="40">
        <f t="shared" ca="1" si="58"/>
        <v>0</v>
      </c>
      <c r="BN59" s="6">
        <f t="shared" ca="1" si="36"/>
        <v>-10291.246400129765</v>
      </c>
      <c r="BO59" s="6">
        <f t="shared" ca="1" si="37"/>
        <v>0</v>
      </c>
      <c r="BP59" s="6">
        <f t="shared" ca="1" si="38"/>
        <v>0</v>
      </c>
      <c r="BQ59" s="12">
        <f t="shared" ca="1" si="39"/>
        <v>0</v>
      </c>
      <c r="BR59" s="2">
        <f t="shared" ca="1" si="59"/>
        <v>-5.3795736634190086E-2</v>
      </c>
      <c r="BS59" s="2">
        <f t="shared" ca="1" si="60"/>
        <v>0</v>
      </c>
      <c r="BT59" s="2">
        <f t="shared" ca="1" si="61"/>
        <v>0</v>
      </c>
      <c r="BU59" s="13">
        <f t="shared" ca="1" si="62"/>
        <v>0</v>
      </c>
      <c r="BV59" s="2">
        <f t="shared" ca="1" si="63"/>
        <v>-0.10848311531204079</v>
      </c>
      <c r="BW59" s="2">
        <f t="shared" ca="1" si="64"/>
        <v>0</v>
      </c>
      <c r="BX59" s="2">
        <f t="shared" ca="1" si="65"/>
        <v>0</v>
      </c>
      <c r="BY59" s="13">
        <f t="shared" ca="1" si="66"/>
        <v>0</v>
      </c>
      <c r="CF59" s="39" t="str">
        <f t="shared" si="67"/>
        <v>C2020-09-4300.CFE</v>
      </c>
      <c r="CG59" s="39" t="str">
        <f t="shared" si="68"/>
        <v>P2020-09-4300.CFE</v>
      </c>
      <c r="CH59" s="17" t="s">
        <v>204</v>
      </c>
      <c r="CI59" s="100" t="str">
        <f>IF([1]!w_info_callput(CH59)="认购","C","P")</f>
        <v>C</v>
      </c>
      <c r="CJ59" s="101">
        <f>[1]!w_info_strikeprice(CH59,"")</f>
        <v>4.3</v>
      </c>
      <c r="CK59" s="102" t="str">
        <f>[1]!w_info_lasttradingdate(CH59)</f>
        <v>2020-09-23</v>
      </c>
      <c r="CL59" s="39" t="str">
        <f t="shared" si="69"/>
        <v>10002264.SH</v>
      </c>
      <c r="CM59" s="17"/>
      <c r="CN59" s="17"/>
    </row>
    <row r="60" spans="1:92" ht="16.2" customHeight="1">
      <c r="A60" s="35">
        <f t="shared" si="46"/>
        <v>1</v>
      </c>
      <c r="B60" s="17" t="s">
        <v>205</v>
      </c>
      <c r="C60" s="29" t="str">
        <f>IF([1]!w_info_callput(B60)="认购","C","P")</f>
        <v>C</v>
      </c>
      <c r="D60" s="96">
        <f>[1]!w_info_strikeprice(B60,"")</f>
        <v>4.4000000000000004</v>
      </c>
      <c r="E60" s="18" t="str">
        <f>[1]!w_info_lasttradingdate(B60)</f>
        <v>2020-09-23</v>
      </c>
      <c r="F60" s="15">
        <f>IF(G60&gt;0,RTD("wdf.rtq",,$B60,F$5),0)</f>
        <v>9.4600000000000004E-2</v>
      </c>
      <c r="G60" s="53">
        <f>RTD("wdf.rtq",,$B60,G$5)</f>
        <v>416</v>
      </c>
      <c r="H60" s="15">
        <f>RTD("wdf.rtq",,$B60,H$5)</f>
        <v>8.5000000000000006E-2</v>
      </c>
      <c r="I60" s="53">
        <f>RTD("wdf.rtq",,$B60,I$5)</f>
        <v>1</v>
      </c>
      <c r="J60" s="15">
        <f>RTD("wdf.rtq",,$B60,J$5)</f>
        <v>0.11</v>
      </c>
      <c r="K60" s="54">
        <f>RTD("wdf.rtq",,$B60,K$5)</f>
        <v>3</v>
      </c>
      <c r="L60" s="15">
        <f>[1]!s_dq_presettle(B60,"")</f>
        <v>8.3000000000000004E-2</v>
      </c>
      <c r="M60" s="15">
        <f t="shared" si="47"/>
        <v>0.64700000000000024</v>
      </c>
      <c r="N60" s="3">
        <f t="shared" si="40"/>
        <v>75710</v>
      </c>
      <c r="O60" s="15">
        <f t="shared" si="48"/>
        <v>-0.19664000000000026</v>
      </c>
      <c r="P60" s="14">
        <f t="shared" si="49"/>
        <v>6.6220000000000011E-3</v>
      </c>
      <c r="Q60" s="8">
        <f t="shared" si="50"/>
        <v>12146.650000000001</v>
      </c>
      <c r="R60" s="55">
        <f ca="1">IF(NOW()-TODAY()&gt;15/24, G60, [1]!s_dq_volume(B60,R$2,1))/$AI$2</f>
        <v>146.1</v>
      </c>
      <c r="S60" s="110"/>
      <c r="T60" s="110"/>
      <c r="U60" s="110"/>
      <c r="V60" s="110"/>
      <c r="W60" s="110"/>
      <c r="X60" s="110"/>
      <c r="Y60" s="110"/>
      <c r="Z60" s="110"/>
      <c r="AA60" s="110"/>
      <c r="AB60" s="59" t="s">
        <v>214</v>
      </c>
      <c r="AC60" s="29" t="str">
        <f>IF([1]!w_info_callput(AB60)="认购","C","P")</f>
        <v>P</v>
      </c>
      <c r="AD60" s="31">
        <f>[1]!w_info_strikeprice(AB60,"")</f>
        <v>4.4000000000000004</v>
      </c>
      <c r="AE60" s="18" t="str">
        <f>[1]!w_info_lasttradingdate(AB60)</f>
        <v>2020-09-23</v>
      </c>
      <c r="AF60" s="15">
        <f>RTD("wdf.rtq",,$AB60,F$5)</f>
        <v>0.7571</v>
      </c>
      <c r="AG60" s="53">
        <f>RTD("wdf.rtq",,$AB60,G$5)</f>
        <v>21</v>
      </c>
      <c r="AH60" s="15">
        <f>RTD("wdf.rtq",,$AB60,H$5)</f>
        <v>0.68020000000000003</v>
      </c>
      <c r="AI60" s="53">
        <f>RTD("wdf.rtq",,$AB60,I$5)</f>
        <v>1</v>
      </c>
      <c r="AJ60" s="15">
        <f>RTD("wdf.rtq",,$AB60,J$5)</f>
        <v>0</v>
      </c>
      <c r="AK60" s="54">
        <f>RTD("wdf.rtq",,$AB60,K$5)</f>
        <v>0</v>
      </c>
      <c r="AL60" s="15">
        <f>[1]!s_dq_presettle(AB60,"")</f>
        <v>0.80789999999999995</v>
      </c>
      <c r="AM60" s="15">
        <f t="shared" si="41"/>
        <v>0</v>
      </c>
      <c r="AN60" s="3">
        <f t="shared" si="42"/>
        <v>75710</v>
      </c>
      <c r="AO60" s="15">
        <f t="shared" si="43"/>
        <v>0.45035999999999998</v>
      </c>
      <c r="AP60" s="14">
        <f t="shared" si="44"/>
        <v>0.30800000000000005</v>
      </c>
      <c r="AQ60" s="8">
        <f t="shared" si="45"/>
        <v>144895.21</v>
      </c>
      <c r="AR60" s="55">
        <f ca="1">IF(NOW()-TODAY()&gt;15/24, AG60, [1]!s_dq_volume(AB60,AR$2,1))/AI$2</f>
        <v>6.6</v>
      </c>
      <c r="AS60" s="110"/>
      <c r="AT60" s="110"/>
      <c r="AU60" s="110"/>
      <c r="AV60" s="110"/>
      <c r="AY60" s="10"/>
      <c r="AZ60" s="10"/>
      <c r="BA60" s="6">
        <f t="shared" ca="1" si="32"/>
        <v>9479.8003271994949</v>
      </c>
      <c r="BB60" s="6">
        <f t="shared" ca="1" si="33"/>
        <v>0</v>
      </c>
      <c r="BC60" s="6">
        <f t="shared" ca="1" si="34"/>
        <v>18689.780327199489</v>
      </c>
      <c r="BD60" s="12">
        <f t="shared" ca="1" si="35"/>
        <v>18709.800327199489</v>
      </c>
      <c r="BE60" s="2">
        <f t="shared" ca="1" si="51"/>
        <v>7.133427113688752E-2</v>
      </c>
      <c r="BF60" s="2">
        <f t="shared" ca="1" si="52"/>
        <v>0</v>
      </c>
      <c r="BG60" s="2">
        <f t="shared" ca="1" si="53"/>
        <v>0.14925239425295256</v>
      </c>
      <c r="BH60" s="13">
        <f t="shared" ca="1" si="54"/>
        <v>0.14943613675269246</v>
      </c>
      <c r="BI60" s="2">
        <f t="shared" ca="1" si="55"/>
        <v>0.14385087825946932</v>
      </c>
      <c r="BJ60" s="2">
        <f t="shared" ca="1" si="56"/>
        <v>0</v>
      </c>
      <c r="BK60" s="2">
        <f t="shared" ca="1" si="57"/>
        <v>0.30097858509573305</v>
      </c>
      <c r="BL60" s="40">
        <f t="shared" ca="1" si="58"/>
        <v>0.30134911555100963</v>
      </c>
      <c r="BN60" s="6">
        <f t="shared" ca="1" si="36"/>
        <v>-9851.2464001298249</v>
      </c>
      <c r="BO60" s="6">
        <f t="shared" ca="1" si="37"/>
        <v>-19081.246400129818</v>
      </c>
      <c r="BP60" s="6">
        <f t="shared" ca="1" si="38"/>
        <v>0</v>
      </c>
      <c r="BQ60" s="12">
        <f t="shared" ca="1" si="39"/>
        <v>0</v>
      </c>
      <c r="BR60" s="2">
        <f t="shared" ca="1" si="59"/>
        <v>-4.941875360160531E-2</v>
      </c>
      <c r="BS60" s="2">
        <f t="shared" ca="1" si="60"/>
        <v>-0.13163910879990964</v>
      </c>
      <c r="BT60" s="2">
        <f t="shared" ca="1" si="61"/>
        <v>0</v>
      </c>
      <c r="BU60" s="13">
        <f t="shared" ca="1" si="62"/>
        <v>0</v>
      </c>
      <c r="BV60" s="2">
        <f t="shared" ca="1" si="63"/>
        <v>-9.9656602566773139E-2</v>
      </c>
      <c r="BW60" s="2">
        <f t="shared" ca="1" si="64"/>
        <v>-0.26546008128158571</v>
      </c>
      <c r="BX60" s="2">
        <f t="shared" ca="1" si="65"/>
        <v>0</v>
      </c>
      <c r="BY60" s="13">
        <f t="shared" ca="1" si="66"/>
        <v>0</v>
      </c>
      <c r="CF60" s="39" t="str">
        <f t="shared" si="67"/>
        <v>C2020-09-4400.CFE</v>
      </c>
      <c r="CG60" s="39" t="str">
        <f t="shared" si="68"/>
        <v>P2020-09-4400.CFE</v>
      </c>
      <c r="CH60" s="17" t="s">
        <v>205</v>
      </c>
      <c r="CI60" s="100" t="str">
        <f>IF([1]!w_info_callput(CH60)="认购","C","P")</f>
        <v>C</v>
      </c>
      <c r="CJ60" s="101">
        <f>[1]!w_info_strikeprice(CH60,"")</f>
        <v>4.4000000000000004</v>
      </c>
      <c r="CK60" s="102" t="str">
        <f>[1]!w_info_lasttradingdate(CH60)</f>
        <v>2020-09-23</v>
      </c>
      <c r="CL60" s="39" t="str">
        <f t="shared" si="69"/>
        <v>10002265.SH</v>
      </c>
      <c r="CM60" s="17"/>
      <c r="CN60" s="17"/>
    </row>
    <row r="61" spans="1:92" ht="16.2" customHeight="1">
      <c r="A61" s="35">
        <f t="shared" si="46"/>
        <v>1</v>
      </c>
      <c r="B61" s="17" t="s">
        <v>206</v>
      </c>
      <c r="C61" s="29" t="str">
        <f>IF([1]!w_info_callput(B61)="认购","C","P")</f>
        <v>C</v>
      </c>
      <c r="D61" s="96">
        <f>[1]!w_info_strikeprice(B61,"")</f>
        <v>4.5</v>
      </c>
      <c r="E61" s="18" t="str">
        <f>[1]!w_info_lasttradingdate(B61)</f>
        <v>2020-09-23</v>
      </c>
      <c r="F61" s="15">
        <f>IF(G61&gt;0,RTD("wdf.rtq",,$B61,F$5),0)</f>
        <v>7.9899999999999999E-2</v>
      </c>
      <c r="G61" s="53">
        <f>RTD("wdf.rtq",,$B61,G$5)</f>
        <v>1632</v>
      </c>
      <c r="H61" s="15">
        <f>RTD("wdf.rtq",,$B61,H$5)</f>
        <v>6.5000000000000002E-2</v>
      </c>
      <c r="I61" s="53">
        <f>RTD("wdf.rtq",,$B61,I$5)</f>
        <v>3</v>
      </c>
      <c r="J61" s="15">
        <f>RTD("wdf.rtq",,$B61,J$5)</f>
        <v>0.08</v>
      </c>
      <c r="K61" s="54">
        <f>RTD("wdf.rtq",,$B61,K$5)</f>
        <v>7</v>
      </c>
      <c r="L61" s="15">
        <f>[1]!s_dq_presettle(B61,"")</f>
        <v>6.7799999999999999E-2</v>
      </c>
      <c r="M61" s="15">
        <f t="shared" si="47"/>
        <v>0.74699999999999989</v>
      </c>
      <c r="N61" s="3">
        <f t="shared" si="40"/>
        <v>83640</v>
      </c>
      <c r="O61" s="15">
        <f t="shared" si="48"/>
        <v>-0.2966399999999999</v>
      </c>
      <c r="P61" s="14">
        <f t="shared" si="49"/>
        <v>5.5930000000000007E-3</v>
      </c>
      <c r="Q61" s="8">
        <f t="shared" si="50"/>
        <v>10259.169999999998</v>
      </c>
      <c r="R61" s="55">
        <f ca="1">IF(NOW()-TODAY()&gt;15/24, G61, [1]!s_dq_volume(B61,R$2,1))/$AI$2</f>
        <v>74.900000000000006</v>
      </c>
      <c r="S61" s="110"/>
      <c r="T61" s="110"/>
      <c r="U61" s="110"/>
      <c r="V61" s="110"/>
      <c r="W61" s="110"/>
      <c r="X61" s="110"/>
      <c r="Y61" s="110"/>
      <c r="Z61" s="110"/>
      <c r="AA61" s="110"/>
      <c r="AB61" s="59" t="s">
        <v>215</v>
      </c>
      <c r="AC61" s="29" t="str">
        <f>IF([1]!w_info_callput(AB61)="认购","C","P")</f>
        <v>P</v>
      </c>
      <c r="AD61" s="31">
        <f>[1]!w_info_strikeprice(AB61,"")</f>
        <v>4.5</v>
      </c>
      <c r="AE61" s="18" t="str">
        <f>[1]!w_info_lasttradingdate(AB61)</f>
        <v>2020-09-23</v>
      </c>
      <c r="AF61" s="15">
        <f>RTD("wdf.rtq",,$AB61,F$5)</f>
        <v>0.83640000000000003</v>
      </c>
      <c r="AG61" s="53">
        <f>RTD("wdf.rtq",,$AB61,G$5)</f>
        <v>9</v>
      </c>
      <c r="AH61" s="15">
        <f>RTD("wdf.rtq",,$AB61,H$5)</f>
        <v>0</v>
      </c>
      <c r="AI61" s="53">
        <f>RTD("wdf.rtq",,$AB61,I$5)</f>
        <v>0</v>
      </c>
      <c r="AJ61" s="15">
        <f>RTD("wdf.rtq",,$AB61,J$5)</f>
        <v>0</v>
      </c>
      <c r="AK61" s="54">
        <f>RTD("wdf.rtq",,$AB61,K$5)</f>
        <v>0</v>
      </c>
      <c r="AL61" s="15">
        <f>[1]!s_dq_presettle(AB61,"")</f>
        <v>0.89219999999999999</v>
      </c>
      <c r="AM61" s="15">
        <f t="shared" si="41"/>
        <v>0</v>
      </c>
      <c r="AN61" s="3">
        <f t="shared" si="42"/>
        <v>83640</v>
      </c>
      <c r="AO61" s="15">
        <f t="shared" si="43"/>
        <v>0.45035999999999998</v>
      </c>
      <c r="AP61" s="14">
        <f t="shared" si="44"/>
        <v>0.31500000000000006</v>
      </c>
      <c r="AQ61" s="8">
        <f t="shared" si="45"/>
        <v>154411.21000000002</v>
      </c>
      <c r="AR61" s="55">
        <f ca="1">IF(NOW()-TODAY()&gt;15/24, AG61, [1]!s_dq_volume(AB61,AR$2,1))/AI$2</f>
        <v>4.2</v>
      </c>
      <c r="AS61" s="110"/>
      <c r="AT61" s="110"/>
      <c r="AU61" s="110"/>
      <c r="AV61" s="110"/>
      <c r="AY61" s="10"/>
      <c r="AZ61" s="10"/>
      <c r="BA61" s="6">
        <f t="shared" ca="1" si="32"/>
        <v>10079.800327199451</v>
      </c>
      <c r="BB61" s="6">
        <f t="shared" ca="1" si="33"/>
        <v>0</v>
      </c>
      <c r="BC61" s="6">
        <f t="shared" ca="1" si="34"/>
        <v>0</v>
      </c>
      <c r="BD61" s="12">
        <f t="shared" ca="1" si="35"/>
        <v>0</v>
      </c>
      <c r="BE61" s="2">
        <f t="shared" ca="1" si="51"/>
        <v>7.2550386825736418E-2</v>
      </c>
      <c r="BF61" s="2">
        <f t="shared" ca="1" si="52"/>
        <v>0</v>
      </c>
      <c r="BG61" s="2">
        <f t="shared" ca="1" si="53"/>
        <v>0</v>
      </c>
      <c r="BH61" s="13">
        <f t="shared" ca="1" si="54"/>
        <v>0</v>
      </c>
      <c r="BI61" s="2">
        <f t="shared" ca="1" si="55"/>
        <v>0.14630326625079443</v>
      </c>
      <c r="BJ61" s="2">
        <f t="shared" ca="1" si="56"/>
        <v>0</v>
      </c>
      <c r="BK61" s="2">
        <f t="shared" ca="1" si="57"/>
        <v>0</v>
      </c>
      <c r="BL61" s="40">
        <f t="shared" ca="1" si="58"/>
        <v>0</v>
      </c>
      <c r="BN61" s="6">
        <f t="shared" ca="1" si="36"/>
        <v>-10451.246400129781</v>
      </c>
      <c r="BO61" s="6">
        <f t="shared" ca="1" si="37"/>
        <v>0</v>
      </c>
      <c r="BP61" s="6">
        <f t="shared" ca="1" si="38"/>
        <v>0</v>
      </c>
      <c r="BQ61" s="12">
        <f t="shared" ca="1" si="39"/>
        <v>0</v>
      </c>
      <c r="BR61" s="2">
        <f t="shared" ca="1" si="59"/>
        <v>-5.0394588497946487E-2</v>
      </c>
      <c r="BS61" s="2">
        <f t="shared" ca="1" si="60"/>
        <v>0</v>
      </c>
      <c r="BT61" s="2">
        <f t="shared" ca="1" si="61"/>
        <v>0</v>
      </c>
      <c r="BU61" s="13">
        <f t="shared" ca="1" si="62"/>
        <v>0</v>
      </c>
      <c r="BV61" s="2">
        <f t="shared" ca="1" si="63"/>
        <v>-0.10162444641851087</v>
      </c>
      <c r="BW61" s="2">
        <f t="shared" ca="1" si="64"/>
        <v>0</v>
      </c>
      <c r="BX61" s="2">
        <f t="shared" ca="1" si="65"/>
        <v>0</v>
      </c>
      <c r="BY61" s="13">
        <f t="shared" ca="1" si="66"/>
        <v>0</v>
      </c>
      <c r="CF61" s="39" t="str">
        <f t="shared" si="67"/>
        <v>C2020-09-4500.CFE</v>
      </c>
      <c r="CG61" s="39" t="str">
        <f t="shared" si="68"/>
        <v>P2020-09-4500.CFE</v>
      </c>
      <c r="CH61" s="17" t="s">
        <v>206</v>
      </c>
      <c r="CI61" s="100" t="str">
        <f>IF([1]!w_info_callput(CH61)="认购","C","P")</f>
        <v>C</v>
      </c>
      <c r="CJ61" s="101">
        <f>[1]!w_info_strikeprice(CH61,"")</f>
        <v>4.5</v>
      </c>
      <c r="CK61" s="102" t="str">
        <f>[1]!w_info_lasttradingdate(CH61)</f>
        <v>2020-09-23</v>
      </c>
      <c r="CL61" s="39" t="str">
        <f t="shared" si="69"/>
        <v>10002266.SH</v>
      </c>
      <c r="CM61" s="17"/>
      <c r="CN61" s="17"/>
    </row>
    <row r="62" spans="1:92" ht="16.2" customHeight="1">
      <c r="A62" s="35">
        <f t="shared" si="46"/>
        <v>1</v>
      </c>
      <c r="B62" s="17" t="s">
        <v>377</v>
      </c>
      <c r="C62" s="29" t="str">
        <f>IF([1]!w_info_callput(B62)="认购","C","P")</f>
        <v>C</v>
      </c>
      <c r="D62" s="96">
        <f>[1]!w_info_strikeprice(B62,"")</f>
        <v>4.5999999999999996</v>
      </c>
      <c r="E62" s="18" t="str">
        <f>[1]!w_info_lasttradingdate(B62)</f>
        <v>2020-09-23</v>
      </c>
      <c r="F62" s="15">
        <f>IF(G62&gt;0,RTD("wdf.rtq",,$B62,F$5),0)</f>
        <v>6.0000000000000005E-2</v>
      </c>
      <c r="G62" s="53">
        <f>RTD("wdf.rtq",,$B62,G$5)</f>
        <v>1860</v>
      </c>
      <c r="H62" s="15">
        <f>RTD("wdf.rtq",,$B62,H$5)</f>
        <v>6.0000000000000005E-2</v>
      </c>
      <c r="I62" s="53">
        <f>RTD("wdf.rtq",,$B62,I$5)</f>
        <v>6</v>
      </c>
      <c r="J62" s="15">
        <f>RTD("wdf.rtq",,$B62,J$5)</f>
        <v>6.6600000000000006E-2</v>
      </c>
      <c r="K62" s="54">
        <f>RTD("wdf.rtq",,$B62,K$5)</f>
        <v>3</v>
      </c>
      <c r="L62" s="15">
        <f>[1]!s_dq_presettle(B62,"")</f>
        <v>5.6500000000000002E-2</v>
      </c>
      <c r="M62" s="15">
        <f t="shared" si="47"/>
        <v>0.84699999999999953</v>
      </c>
      <c r="N62" s="3">
        <f t="shared" si="40"/>
        <v>92930</v>
      </c>
      <c r="O62" s="15">
        <f t="shared" si="48"/>
        <v>-0.39663999999999955</v>
      </c>
      <c r="P62" s="14">
        <f t="shared" si="49"/>
        <v>4.2000000000000006E-3</v>
      </c>
      <c r="Q62" s="8">
        <f t="shared" si="50"/>
        <v>7704.0100000000011</v>
      </c>
      <c r="R62" s="55">
        <f ca="1">IF(NOW()-TODAY()&gt;15/24, G62, [1]!s_dq_volume(B62,R$2,1))/$AI$2</f>
        <v>226.7</v>
      </c>
      <c r="S62" s="110"/>
      <c r="T62" s="110"/>
      <c r="U62" s="110"/>
      <c r="V62" s="110"/>
      <c r="W62" s="110"/>
      <c r="X62" s="110"/>
      <c r="Y62" s="110"/>
      <c r="Z62" s="110"/>
      <c r="AA62" s="110"/>
      <c r="AB62" s="59" t="s">
        <v>378</v>
      </c>
      <c r="AC62" s="29" t="str">
        <f>IF([1]!w_info_callput(AB62)="认购","C","P")</f>
        <v>P</v>
      </c>
      <c r="AD62" s="31">
        <f>[1]!w_info_strikeprice(AB62,"")</f>
        <v>4.5999999999999996</v>
      </c>
      <c r="AE62" s="18" t="str">
        <f>[1]!w_info_lasttradingdate(AB62)</f>
        <v>2020-09-23</v>
      </c>
      <c r="AF62" s="15">
        <f>RTD("wdf.rtq",,$AB62,F$5)</f>
        <v>0.92930000000000001</v>
      </c>
      <c r="AG62" s="53">
        <f>RTD("wdf.rtq",,$AB62,G$5)</f>
        <v>24</v>
      </c>
      <c r="AH62" s="15">
        <f>RTD("wdf.rtq",,$AB62,H$5)</f>
        <v>0.90200000000000002</v>
      </c>
      <c r="AI62" s="53">
        <f>RTD("wdf.rtq",,$AB62,I$5)</f>
        <v>1</v>
      </c>
      <c r="AJ62" s="15">
        <f>RTD("wdf.rtq",,$AB62,J$5)</f>
        <v>0</v>
      </c>
      <c r="AK62" s="54">
        <f>RTD("wdf.rtq",,$AB62,K$5)</f>
        <v>0</v>
      </c>
      <c r="AL62" s="15">
        <f>[1]!s_dq_presettle(AB62,"")</f>
        <v>0.9788</v>
      </c>
      <c r="AM62" s="15">
        <f t="shared" si="41"/>
        <v>0</v>
      </c>
      <c r="AN62" s="3">
        <f t="shared" si="42"/>
        <v>92930</v>
      </c>
      <c r="AO62" s="15">
        <f t="shared" si="43"/>
        <v>0.45035999999999998</v>
      </c>
      <c r="AP62" s="14">
        <f t="shared" si="44"/>
        <v>0.32200000000000001</v>
      </c>
      <c r="AQ62" s="8">
        <f t="shared" si="45"/>
        <v>165559.21</v>
      </c>
      <c r="AR62" s="55">
        <f ca="1">IF(NOW()-TODAY()&gt;15/24, AG62, [1]!s_dq_volume(AB62,AR$2,1))/AI$2</f>
        <v>8.8000000000000007</v>
      </c>
      <c r="AS62" s="110"/>
      <c r="AT62" s="110"/>
      <c r="AU62" s="110"/>
      <c r="AV62" s="110"/>
      <c r="AY62" s="10"/>
      <c r="AZ62" s="10"/>
      <c r="BA62" s="6">
        <f t="shared" ca="1" si="32"/>
        <v>8799.8003271994257</v>
      </c>
      <c r="BB62" s="6">
        <f t="shared" ca="1" si="33"/>
        <v>0</v>
      </c>
      <c r="BC62" s="6">
        <f t="shared" ca="1" si="34"/>
        <v>12169.780327199418</v>
      </c>
      <c r="BD62" s="12">
        <f t="shared" ca="1" si="35"/>
        <v>12189.800327199418</v>
      </c>
      <c r="BE62" s="2">
        <f t="shared" ca="1" si="51"/>
        <v>6.0409142054699008E-2</v>
      </c>
      <c r="BF62" s="2">
        <f t="shared" ca="1" si="52"/>
        <v>0</v>
      </c>
      <c r="BG62" s="2">
        <f t="shared" ca="1" si="53"/>
        <v>8.5127164772857936E-2</v>
      </c>
      <c r="BH62" s="13">
        <f t="shared" ca="1" si="54"/>
        <v>8.5279134422891242E-2</v>
      </c>
      <c r="BI62" s="2">
        <f t="shared" ca="1" si="55"/>
        <v>0.12181954060754219</v>
      </c>
      <c r="BJ62" s="2">
        <f t="shared" ca="1" si="56"/>
        <v>0</v>
      </c>
      <c r="BK62" s="2">
        <f t="shared" ca="1" si="57"/>
        <v>0.17166527702813894</v>
      </c>
      <c r="BL62" s="40">
        <f t="shared" ca="1" si="58"/>
        <v>0.17197173516218398</v>
      </c>
      <c r="BN62" s="6">
        <f t="shared" ca="1" si="36"/>
        <v>-9171.246400129754</v>
      </c>
      <c r="BO62" s="6">
        <f t="shared" ca="1" si="37"/>
        <v>-12561.246400129749</v>
      </c>
      <c r="BP62" s="6">
        <f t="shared" ca="1" si="38"/>
        <v>0</v>
      </c>
      <c r="BQ62" s="12">
        <f t="shared" ca="1" si="39"/>
        <v>0</v>
      </c>
      <c r="BR62" s="2">
        <f t="shared" ca="1" si="59"/>
        <v>-4.2352364258556853E-2</v>
      </c>
      <c r="BS62" s="2">
        <f t="shared" ca="1" si="60"/>
        <v>-7.5847964459046555E-2</v>
      </c>
      <c r="BT62" s="2">
        <f t="shared" ca="1" si="61"/>
        <v>0</v>
      </c>
      <c r="BU62" s="13">
        <f t="shared" ca="1" si="62"/>
        <v>0</v>
      </c>
      <c r="BV62" s="2">
        <f t="shared" ca="1" si="63"/>
        <v>-8.5406701405377081E-2</v>
      </c>
      <c r="BW62" s="2">
        <f t="shared" ca="1" si="64"/>
        <v>-0.15295307750028725</v>
      </c>
      <c r="BX62" s="2">
        <f t="shared" ca="1" si="65"/>
        <v>0</v>
      </c>
      <c r="BY62" s="13">
        <f t="shared" ca="1" si="66"/>
        <v>0</v>
      </c>
      <c r="CF62" s="39" t="str">
        <f t="shared" si="67"/>
        <v>C2020-09-4600.CFE</v>
      </c>
      <c r="CG62" s="39" t="str">
        <f t="shared" si="68"/>
        <v>P2020-09-4600.CFE</v>
      </c>
      <c r="CH62" s="95" t="s">
        <v>377</v>
      </c>
      <c r="CI62" s="100" t="str">
        <f>IF([1]!w_info_callput(CH62)="认购","C","P")</f>
        <v>C</v>
      </c>
      <c r="CJ62" s="101">
        <f>[1]!w_info_strikeprice(CH62,"")</f>
        <v>4.5999999999999996</v>
      </c>
      <c r="CK62" s="102" t="str">
        <f>[1]!w_info_lasttradingdate(CH62)</f>
        <v>2020-09-23</v>
      </c>
      <c r="CL62" s="39" t="str">
        <f t="shared" si="69"/>
        <v>10002384.SH</v>
      </c>
      <c r="CM62" s="17"/>
      <c r="CN62" s="17"/>
    </row>
    <row r="63" spans="1:92">
      <c r="A63" s="35"/>
      <c r="B63" s="17"/>
      <c r="C63" s="29"/>
      <c r="F63" s="15"/>
      <c r="G63" s="53"/>
      <c r="H63" s="15"/>
      <c r="I63" s="53"/>
      <c r="J63" s="15"/>
      <c r="K63" s="54"/>
      <c r="L63" s="15"/>
      <c r="M63" s="15"/>
      <c r="N63" s="3"/>
      <c r="O63" s="15"/>
      <c r="P63" s="14"/>
      <c r="Q63" s="8"/>
      <c r="R63" s="55"/>
      <c r="S63" s="110"/>
      <c r="T63" s="110"/>
      <c r="U63" s="110"/>
      <c r="V63" s="110"/>
      <c r="W63" s="110"/>
      <c r="X63" s="110"/>
      <c r="Y63" s="110"/>
      <c r="Z63" s="110"/>
      <c r="AA63" s="110"/>
      <c r="AC63" s="29"/>
      <c r="AD63" s="31"/>
      <c r="AF63" s="15"/>
      <c r="AG63" s="53"/>
      <c r="AH63" s="15"/>
      <c r="AI63" s="53"/>
      <c r="AJ63" s="15"/>
      <c r="AK63" s="54"/>
      <c r="AL63" s="15"/>
      <c r="AM63" s="15"/>
      <c r="AN63" s="3"/>
      <c r="AO63" s="15"/>
      <c r="AP63" s="14"/>
      <c r="AQ63" s="8"/>
      <c r="AR63" s="55"/>
      <c r="AS63" s="110"/>
      <c r="AT63" s="110"/>
      <c r="AU63" s="110"/>
      <c r="AV63" s="110"/>
      <c r="AY63" s="10"/>
      <c r="AZ63" s="10"/>
      <c r="BE63" s="2"/>
      <c r="BF63" s="2"/>
      <c r="BG63" s="2"/>
      <c r="BH63" s="13"/>
      <c r="BI63" s="2"/>
      <c r="BJ63" s="2"/>
      <c r="BK63" s="2"/>
      <c r="BL63" s="40"/>
      <c r="BR63" s="2"/>
      <c r="BS63" s="2"/>
      <c r="BT63" s="2"/>
      <c r="BU63" s="13"/>
      <c r="BV63" s="2"/>
      <c r="BW63" s="2"/>
      <c r="BX63" s="2"/>
      <c r="BY63" s="13"/>
      <c r="CF63" s="39" t="str">
        <f t="shared" si="67"/>
        <v>P2020-04-3100.CFE</v>
      </c>
      <c r="CG63" s="39" t="str">
        <f t="shared" si="68"/>
        <v>C2020-04-3100.CFE</v>
      </c>
      <c r="CH63" s="17" t="s">
        <v>399</v>
      </c>
      <c r="CI63" s="100" t="str">
        <f>IF([1]!w_info_callput(CH63)="认购","C","P")</f>
        <v>P</v>
      </c>
      <c r="CJ63" s="101">
        <f>[1]!w_info_strikeprice(CH63,"")</f>
        <v>3.1</v>
      </c>
      <c r="CK63" s="102" t="str">
        <f>[1]!w_info_lasttradingdate(CH63)</f>
        <v>2020-04-22</v>
      </c>
      <c r="CL63" s="39" t="str">
        <f t="shared" si="69"/>
        <v>10002427.SH</v>
      </c>
      <c r="CM63" s="17"/>
      <c r="CN63" s="17"/>
    </row>
    <row r="64" spans="1:92">
      <c r="A64" s="35"/>
      <c r="B64" s="17"/>
      <c r="C64" s="29"/>
      <c r="F64" s="15"/>
      <c r="G64" s="53"/>
      <c r="H64" s="15"/>
      <c r="I64" s="53"/>
      <c r="J64" s="15"/>
      <c r="K64" s="54"/>
      <c r="L64" s="15"/>
      <c r="M64" s="15"/>
      <c r="N64" s="3"/>
      <c r="O64" s="15"/>
      <c r="P64" s="14"/>
      <c r="Q64" s="8"/>
      <c r="R64" s="55"/>
      <c r="S64" s="110"/>
      <c r="T64" s="110"/>
      <c r="U64" s="110"/>
      <c r="V64" s="110"/>
      <c r="W64" s="110"/>
      <c r="X64" s="110"/>
      <c r="Y64" s="110"/>
      <c r="Z64" s="110"/>
      <c r="AA64" s="110"/>
      <c r="AC64" s="29"/>
      <c r="AD64" s="31"/>
      <c r="AF64" s="15"/>
      <c r="AG64" s="53"/>
      <c r="AH64" s="15"/>
      <c r="AI64" s="53"/>
      <c r="AJ64" s="15"/>
      <c r="AK64" s="54"/>
      <c r="AL64" s="15"/>
      <c r="AM64" s="15"/>
      <c r="AN64" s="3"/>
      <c r="AO64" s="15"/>
      <c r="AP64" s="14"/>
      <c r="AQ64" s="8"/>
      <c r="AR64" s="55"/>
      <c r="AS64" s="110"/>
      <c r="AT64" s="110"/>
      <c r="AU64" s="110"/>
      <c r="AV64" s="110"/>
      <c r="AY64" s="10"/>
      <c r="AZ64" s="10"/>
      <c r="BE64" s="2"/>
      <c r="BF64" s="2"/>
      <c r="BG64" s="2"/>
      <c r="BH64" s="13"/>
      <c r="BI64" s="2"/>
      <c r="BJ64" s="2"/>
      <c r="BK64" s="2"/>
      <c r="BL64" s="40"/>
      <c r="BR64" s="2"/>
      <c r="BS64" s="2"/>
      <c r="BT64" s="2"/>
      <c r="BU64" s="13"/>
      <c r="BV64" s="2"/>
      <c r="BW64" s="2"/>
      <c r="BX64" s="2"/>
      <c r="BY64" s="13"/>
      <c r="CF64" s="39" t="str">
        <f t="shared" si="67"/>
        <v>P2020-04-3200.CFE</v>
      </c>
      <c r="CG64" s="39" t="str">
        <f t="shared" si="68"/>
        <v>C2020-04-3200.CFE</v>
      </c>
      <c r="CH64" s="17" t="s">
        <v>384</v>
      </c>
      <c r="CI64" s="100" t="str">
        <f>IF([1]!w_info_callput(CH64)="认购","C","P")</f>
        <v>P</v>
      </c>
      <c r="CJ64" s="101">
        <f>[1]!w_info_strikeprice(CH64,"")</f>
        <v>3.2</v>
      </c>
      <c r="CK64" s="102" t="str">
        <f>[1]!w_info_lasttradingdate(CH64)</f>
        <v>2020-04-22</v>
      </c>
      <c r="CL64" s="39" t="str">
        <f t="shared" si="69"/>
        <v>10002411.SH</v>
      </c>
      <c r="CM64" s="17"/>
      <c r="CN64" s="17"/>
    </row>
    <row r="65" spans="1:92">
      <c r="A65" s="35"/>
      <c r="B65" s="17"/>
      <c r="CF65" s="39" t="str">
        <f t="shared" si="67"/>
        <v>P2020-04-3300.CFE</v>
      </c>
      <c r="CG65" s="39" t="str">
        <f t="shared" si="68"/>
        <v>C2020-04-3300.CFE</v>
      </c>
      <c r="CH65" s="17" t="s">
        <v>381</v>
      </c>
      <c r="CI65" s="100" t="str">
        <f>IF([1]!w_info_callput(CH65)="认购","C","P")</f>
        <v>P</v>
      </c>
      <c r="CJ65" s="101">
        <f>[1]!w_info_strikeprice(CH65,"")</f>
        <v>3.3</v>
      </c>
      <c r="CK65" s="102" t="str">
        <f>[1]!w_info_lasttradingdate(CH65)</f>
        <v>2020-04-22</v>
      </c>
      <c r="CL65" s="39" t="str">
        <f t="shared" si="69"/>
        <v>10002389.SH</v>
      </c>
      <c r="CM65" s="17"/>
      <c r="CN65" s="17"/>
    </row>
    <row r="66" spans="1:92">
      <c r="A66" s="35"/>
      <c r="B66" s="17"/>
      <c r="CF66" s="39" t="str">
        <f t="shared" si="67"/>
        <v>P2020-04-3400.CFE</v>
      </c>
      <c r="CG66" s="39" t="str">
        <f t="shared" si="68"/>
        <v>C2020-04-3400.CFE</v>
      </c>
      <c r="CH66" s="95" t="s">
        <v>382</v>
      </c>
      <c r="CI66" s="100" t="str">
        <f>IF([1]!w_info_callput(CH66)="认购","C","P")</f>
        <v>P</v>
      </c>
      <c r="CJ66" s="101">
        <f>[1]!w_info_strikeprice(CH66,"")</f>
        <v>3.4</v>
      </c>
      <c r="CK66" s="102" t="str">
        <f>[1]!w_info_lasttradingdate(CH66)</f>
        <v>2020-04-22</v>
      </c>
      <c r="CL66" s="39" t="str">
        <f t="shared" si="69"/>
        <v>10002390.SH</v>
      </c>
      <c r="CM66" s="17"/>
      <c r="CN66" s="17"/>
    </row>
    <row r="67" spans="1:92">
      <c r="A67" s="35"/>
      <c r="B67" s="17"/>
      <c r="CF67" s="39" t="str">
        <f t="shared" si="67"/>
        <v>P2020-04-3500.CFE</v>
      </c>
      <c r="CG67" s="39" t="str">
        <f t="shared" si="68"/>
        <v>C2020-04-3500.CFE</v>
      </c>
      <c r="CH67" s="95" t="s">
        <v>310</v>
      </c>
      <c r="CI67" s="100" t="str">
        <f>IF([1]!w_info_callput(CH67)="认购","C","P")</f>
        <v>P</v>
      </c>
      <c r="CJ67" s="101">
        <f>[1]!w_info_strikeprice(CH67,"")</f>
        <v>3.5</v>
      </c>
      <c r="CK67" s="102" t="str">
        <f>[1]!w_info_lasttradingdate(CH67)</f>
        <v>2020-04-22</v>
      </c>
      <c r="CL67" s="39" t="str">
        <f t="shared" si="69"/>
        <v>10002373.SH</v>
      </c>
      <c r="CM67" s="17"/>
      <c r="CN67" s="17"/>
    </row>
    <row r="68" spans="1:92">
      <c r="A68" s="35"/>
      <c r="B68" s="17"/>
      <c r="CF68" s="39" t="str">
        <f t="shared" si="67"/>
        <v>P2020-04-3600.CFE</v>
      </c>
      <c r="CG68" s="39" t="str">
        <f t="shared" si="68"/>
        <v>C2020-04-3600.CFE</v>
      </c>
      <c r="CH68" s="95" t="s">
        <v>311</v>
      </c>
      <c r="CI68" s="100" t="str">
        <f>IF([1]!w_info_callput(CH68)="认购","C","P")</f>
        <v>P</v>
      </c>
      <c r="CJ68" s="101">
        <f>[1]!w_info_strikeprice(CH68,"")</f>
        <v>3.6</v>
      </c>
      <c r="CK68" s="102" t="str">
        <f>[1]!w_info_lasttradingdate(CH68)</f>
        <v>2020-04-22</v>
      </c>
      <c r="CL68" s="39" t="str">
        <f t="shared" si="69"/>
        <v>10002374.SH</v>
      </c>
      <c r="CM68" s="17"/>
      <c r="CN68" s="17"/>
    </row>
    <row r="69" spans="1:92">
      <c r="A69" s="35"/>
      <c r="B69" s="17"/>
      <c r="CF69" s="39" t="str">
        <f t="shared" si="67"/>
        <v>P2020-04-3700.CFE</v>
      </c>
      <c r="CG69" s="39" t="str">
        <f t="shared" si="68"/>
        <v>C2020-04-3700.CFE</v>
      </c>
      <c r="CH69" s="17" t="s">
        <v>293</v>
      </c>
      <c r="CI69" s="100" t="str">
        <f>IF([1]!w_info_callput(CH69)="认购","C","P")</f>
        <v>P</v>
      </c>
      <c r="CJ69" s="101">
        <f>[1]!w_info_strikeprice(CH69,"")</f>
        <v>3.7</v>
      </c>
      <c r="CK69" s="102" t="str">
        <f>[1]!w_info_lasttradingdate(CH69)</f>
        <v>2020-04-22</v>
      </c>
      <c r="CL69" s="39" t="str">
        <f t="shared" si="69"/>
        <v>10002351.SH</v>
      </c>
      <c r="CM69" s="17"/>
      <c r="CN69" s="17"/>
    </row>
    <row r="70" spans="1:92">
      <c r="A70" s="35"/>
      <c r="B70" s="17"/>
      <c r="CF70" s="39" t="str">
        <f t="shared" ref="CF70:CF101" si="70">CI70&amp;LEFT(CK70,8)&amp;CJ70*1000&amp;".CFE"</f>
        <v>P2020-04-3800.CFE</v>
      </c>
      <c r="CG70" s="39" t="str">
        <f t="shared" ref="CG70:CG101" si="71">IF(CI70="C","P","C")&amp;MID(CF70,2,99)</f>
        <v>C2020-04-3800.CFE</v>
      </c>
      <c r="CH70" s="17" t="s">
        <v>294</v>
      </c>
      <c r="CI70" s="100" t="str">
        <f>IF([1]!w_info_callput(CH70)="认购","C","P")</f>
        <v>P</v>
      </c>
      <c r="CJ70" s="101">
        <f>[1]!w_info_strikeprice(CH70,"")</f>
        <v>3.8</v>
      </c>
      <c r="CK70" s="102" t="str">
        <f>[1]!w_info_lasttradingdate(CH70)</f>
        <v>2020-04-22</v>
      </c>
      <c r="CL70" s="39" t="str">
        <f t="shared" ref="CL70:CL101" si="72">VLOOKUP(CG70,CF:CH,3,0)</f>
        <v>10002352.SH</v>
      </c>
      <c r="CM70" s="17"/>
      <c r="CN70" s="17"/>
    </row>
    <row r="71" spans="1:92">
      <c r="A71" s="35"/>
      <c r="B71" s="17"/>
      <c r="CF71" s="39" t="str">
        <f t="shared" si="70"/>
        <v>P2020-04-3900.CFE</v>
      </c>
      <c r="CG71" s="39" t="str">
        <f t="shared" si="71"/>
        <v>C2020-04-3900.CFE</v>
      </c>
      <c r="CH71" s="17" t="s">
        <v>295</v>
      </c>
      <c r="CI71" s="100" t="str">
        <f>IF([1]!w_info_callput(CH71)="认购","C","P")</f>
        <v>P</v>
      </c>
      <c r="CJ71" s="101">
        <f>[1]!w_info_strikeprice(CH71,"")</f>
        <v>3.9</v>
      </c>
      <c r="CK71" s="102" t="str">
        <f>[1]!w_info_lasttradingdate(CH71)</f>
        <v>2020-04-22</v>
      </c>
      <c r="CL71" s="39" t="str">
        <f t="shared" si="72"/>
        <v>10002353.SH</v>
      </c>
      <c r="CM71" s="17"/>
      <c r="CN71" s="17"/>
    </row>
    <row r="72" spans="1:92">
      <c r="A72" s="35"/>
      <c r="B72" s="17"/>
      <c r="CF72" s="39" t="str">
        <f t="shared" si="70"/>
        <v>P2020-04-4000.CFE</v>
      </c>
      <c r="CG72" s="39" t="str">
        <f t="shared" si="71"/>
        <v>C2020-04-4000.CFE</v>
      </c>
      <c r="CH72" s="17" t="s">
        <v>296</v>
      </c>
      <c r="CI72" s="100" t="str">
        <f>IF([1]!w_info_callput(CH72)="认购","C","P")</f>
        <v>P</v>
      </c>
      <c r="CJ72" s="101">
        <f>[1]!w_info_strikeprice(CH72,"")</f>
        <v>4</v>
      </c>
      <c r="CK72" s="102" t="str">
        <f>[1]!w_info_lasttradingdate(CH72)</f>
        <v>2020-04-22</v>
      </c>
      <c r="CL72" s="39" t="str">
        <f t="shared" si="72"/>
        <v>10002354.SH</v>
      </c>
      <c r="CM72" s="17"/>
      <c r="CN72" s="17"/>
    </row>
    <row r="73" spans="1:92">
      <c r="A73" s="35"/>
      <c r="B73" s="17"/>
      <c r="CF73" s="39" t="str">
        <f t="shared" si="70"/>
        <v>P2020-04-4100.CFE</v>
      </c>
      <c r="CG73" s="39" t="str">
        <f t="shared" si="71"/>
        <v>C2020-04-4100.CFE</v>
      </c>
      <c r="CH73" s="17" t="s">
        <v>297</v>
      </c>
      <c r="CI73" s="100" t="str">
        <f>IF([1]!w_info_callput(CH73)="认购","C","P")</f>
        <v>P</v>
      </c>
      <c r="CJ73" s="101">
        <f>[1]!w_info_strikeprice(CH73,"")</f>
        <v>4.0999999999999996</v>
      </c>
      <c r="CK73" s="102" t="str">
        <f>[1]!w_info_lasttradingdate(CH73)</f>
        <v>2020-04-22</v>
      </c>
      <c r="CL73" s="39" t="str">
        <f t="shared" si="72"/>
        <v>10002355.SH</v>
      </c>
      <c r="CM73" s="17"/>
      <c r="CN73" s="17"/>
    </row>
    <row r="74" spans="1:92">
      <c r="A74" s="35"/>
      <c r="B74" s="17"/>
      <c r="CF74" s="39" t="str">
        <f t="shared" si="70"/>
        <v>P2020-04-4200.CFE</v>
      </c>
      <c r="CG74" s="39" t="str">
        <f t="shared" si="71"/>
        <v>C2020-04-4200.CFE</v>
      </c>
      <c r="CH74" s="17" t="s">
        <v>298</v>
      </c>
      <c r="CI74" s="100" t="str">
        <f>IF([1]!w_info_callput(CH74)="认购","C","P")</f>
        <v>P</v>
      </c>
      <c r="CJ74" s="101">
        <f>[1]!w_info_strikeprice(CH74,"")</f>
        <v>4.2</v>
      </c>
      <c r="CK74" s="102" t="str">
        <f>[1]!w_info_lasttradingdate(CH74)</f>
        <v>2020-04-22</v>
      </c>
      <c r="CL74" s="39" t="str">
        <f t="shared" si="72"/>
        <v>10002356.SH</v>
      </c>
      <c r="CM74" s="17"/>
      <c r="CN74" s="17"/>
    </row>
    <row r="75" spans="1:92">
      <c r="A75" s="35"/>
      <c r="B75" s="17"/>
      <c r="CF75" s="39" t="str">
        <f t="shared" si="70"/>
        <v>P2020-04-4300.CFE</v>
      </c>
      <c r="CG75" s="39" t="str">
        <f t="shared" si="71"/>
        <v>C2020-04-4300.CFE</v>
      </c>
      <c r="CH75" s="17" t="s">
        <v>299</v>
      </c>
      <c r="CI75" s="100" t="str">
        <f>IF([1]!w_info_callput(CH75)="认购","C","P")</f>
        <v>P</v>
      </c>
      <c r="CJ75" s="101">
        <f>[1]!w_info_strikeprice(CH75,"")</f>
        <v>4.3</v>
      </c>
      <c r="CK75" s="102" t="str">
        <f>[1]!w_info_lasttradingdate(CH75)</f>
        <v>2020-04-22</v>
      </c>
      <c r="CL75" s="39" t="str">
        <f t="shared" si="72"/>
        <v>10002357.SH</v>
      </c>
      <c r="CM75" s="17"/>
      <c r="CN75" s="17"/>
    </row>
    <row r="76" spans="1:92">
      <c r="A76" s="35"/>
      <c r="B76" s="17"/>
      <c r="CF76" s="39" t="str">
        <f t="shared" si="70"/>
        <v>P2020-04-4400.CFE</v>
      </c>
      <c r="CG76" s="39" t="str">
        <f t="shared" si="71"/>
        <v>C2020-04-4400.CFE</v>
      </c>
      <c r="CH76" s="17" t="s">
        <v>300</v>
      </c>
      <c r="CI76" s="100" t="str">
        <f>IF([1]!w_info_callput(CH76)="认购","C","P")</f>
        <v>P</v>
      </c>
      <c r="CJ76" s="101">
        <f>[1]!w_info_strikeprice(CH76,"")</f>
        <v>4.4000000000000004</v>
      </c>
      <c r="CK76" s="102" t="str">
        <f>[1]!w_info_lasttradingdate(CH76)</f>
        <v>2020-04-22</v>
      </c>
      <c r="CL76" s="39" t="str">
        <f t="shared" si="72"/>
        <v>10002358.SH</v>
      </c>
      <c r="CM76" s="17"/>
      <c r="CN76" s="17"/>
    </row>
    <row r="77" spans="1:92">
      <c r="A77" s="35"/>
      <c r="B77" s="17"/>
      <c r="CF77" s="39" t="str">
        <f t="shared" si="70"/>
        <v>P2020-04-4500.CFE</v>
      </c>
      <c r="CG77" s="39" t="str">
        <f t="shared" si="71"/>
        <v>C2020-04-4500.CFE</v>
      </c>
      <c r="CH77" s="17" t="s">
        <v>301</v>
      </c>
      <c r="CI77" s="100" t="str">
        <f>IF([1]!w_info_callput(CH77)="认购","C","P")</f>
        <v>P</v>
      </c>
      <c r="CJ77" s="101">
        <f>[1]!w_info_strikeprice(CH77,"")</f>
        <v>4.5</v>
      </c>
      <c r="CK77" s="102" t="str">
        <f>[1]!w_info_lasttradingdate(CH77)</f>
        <v>2020-04-22</v>
      </c>
      <c r="CL77" s="39" t="str">
        <f t="shared" si="72"/>
        <v>10002359.SH</v>
      </c>
      <c r="CM77" s="17"/>
      <c r="CN77" s="17"/>
    </row>
    <row r="78" spans="1:92">
      <c r="A78" s="35"/>
      <c r="B78" s="17"/>
      <c r="CF78" s="39" t="str">
        <f t="shared" si="70"/>
        <v>P2020-04-4600.CFE</v>
      </c>
      <c r="CG78" s="39" t="str">
        <f t="shared" si="71"/>
        <v>C2020-04-4600.CFE</v>
      </c>
      <c r="CH78" s="95" t="s">
        <v>376</v>
      </c>
      <c r="CI78" s="100" t="str">
        <f>IF([1]!w_info_callput(CH78)="认购","C","P")</f>
        <v>P</v>
      </c>
      <c r="CJ78" s="101">
        <f>[1]!w_info_strikeprice(CH78,"")</f>
        <v>4.5999999999999996</v>
      </c>
      <c r="CK78" s="102" t="str">
        <f>[1]!w_info_lasttradingdate(CH78)</f>
        <v>2020-04-22</v>
      </c>
      <c r="CL78" s="39" t="str">
        <f t="shared" si="72"/>
        <v>10002381.SH</v>
      </c>
      <c r="CM78" s="17"/>
      <c r="CN78" s="17"/>
    </row>
    <row r="79" spans="1:92">
      <c r="A79" s="35"/>
      <c r="B79" s="17"/>
      <c r="CF79" s="39" t="str">
        <f t="shared" si="70"/>
        <v>P2020-05-3300.CFE</v>
      </c>
      <c r="CG79" s="39" t="str">
        <f t="shared" si="71"/>
        <v>C2020-05-3300.CFE</v>
      </c>
      <c r="CH79" s="95" t="s">
        <v>413</v>
      </c>
      <c r="CI79" s="100" t="str">
        <f>IF([1]!w_info_callput(CH79)="认购","C","P")</f>
        <v>P</v>
      </c>
      <c r="CJ79" s="101">
        <f>[1]!w_info_strikeprice(CH79,"")</f>
        <v>3.3</v>
      </c>
      <c r="CK79" s="102" t="str">
        <f>[1]!w_info_lasttradingdate(CH79)</f>
        <v>2020-05-27</v>
      </c>
      <c r="CL79" s="39" t="str">
        <f t="shared" si="72"/>
        <v>10002451.SH</v>
      </c>
      <c r="CM79" s="17"/>
      <c r="CN79" s="17"/>
    </row>
    <row r="80" spans="1:92">
      <c r="A80" s="35"/>
      <c r="B80" s="17"/>
      <c r="CF80" s="39" t="str">
        <f t="shared" si="70"/>
        <v>P2020-05-3400.CFE</v>
      </c>
      <c r="CG80" s="39" t="str">
        <f t="shared" si="71"/>
        <v>C2020-05-3400.CFE</v>
      </c>
      <c r="CH80" s="135" t="s">
        <v>414</v>
      </c>
      <c r="CI80" s="100" t="str">
        <f>IF([1]!w_info_callput(CH80)="认购","C","P")</f>
        <v>P</v>
      </c>
      <c r="CJ80" s="101">
        <f>[1]!w_info_strikeprice(CH80,"")</f>
        <v>3.4</v>
      </c>
      <c r="CK80" s="102" t="str">
        <f>[1]!w_info_lasttradingdate(CH80)</f>
        <v>2020-05-27</v>
      </c>
      <c r="CL80" s="39" t="str">
        <f t="shared" si="72"/>
        <v>10002452.SH</v>
      </c>
      <c r="CM80" s="17"/>
      <c r="CN80" s="17"/>
    </row>
    <row r="81" spans="1:92">
      <c r="A81" s="35"/>
      <c r="B81" s="17"/>
      <c r="CF81" s="39" t="str">
        <f t="shared" si="70"/>
        <v>P2020-05-3500.CFE</v>
      </c>
      <c r="CG81" s="39" t="str">
        <f t="shared" si="71"/>
        <v>C2020-05-3500.CFE</v>
      </c>
      <c r="CH81" s="95" t="s">
        <v>415</v>
      </c>
      <c r="CI81" s="100" t="str">
        <f>IF([1]!w_info_callput(CH81)="认购","C","P")</f>
        <v>P</v>
      </c>
      <c r="CJ81" s="101">
        <f>[1]!w_info_strikeprice(CH81,"")</f>
        <v>3.5</v>
      </c>
      <c r="CK81" s="102" t="str">
        <f>[1]!w_info_lasttradingdate(CH81)</f>
        <v>2020-05-27</v>
      </c>
      <c r="CL81" s="39" t="str">
        <f t="shared" si="72"/>
        <v>10002453.SH</v>
      </c>
      <c r="CM81" s="17"/>
      <c r="CN81" s="17"/>
    </row>
    <row r="82" spans="1:92">
      <c r="A82" s="35"/>
      <c r="B82" s="17"/>
      <c r="CF82" s="39" t="str">
        <f t="shared" si="70"/>
        <v>P2020-05-3600.CFE</v>
      </c>
      <c r="CG82" s="39" t="str">
        <f t="shared" si="71"/>
        <v>C2020-05-3600.CFE</v>
      </c>
      <c r="CH82" s="95" t="s">
        <v>416</v>
      </c>
      <c r="CI82" s="100" t="str">
        <f>IF([1]!w_info_callput(CH82)="认购","C","P")</f>
        <v>P</v>
      </c>
      <c r="CJ82" s="101">
        <f>[1]!w_info_strikeprice(CH82,"")</f>
        <v>3.6</v>
      </c>
      <c r="CK82" s="102" t="str">
        <f>[1]!w_info_lasttradingdate(CH82)</f>
        <v>2020-05-27</v>
      </c>
      <c r="CL82" s="39" t="str">
        <f t="shared" si="72"/>
        <v>10002454.SH</v>
      </c>
      <c r="CM82" s="17"/>
      <c r="CN82" s="17"/>
    </row>
    <row r="83" spans="1:92">
      <c r="A83" s="35"/>
      <c r="B83" s="17"/>
      <c r="CF83" s="39" t="str">
        <f t="shared" si="70"/>
        <v>P2020-05-3700.CFE</v>
      </c>
      <c r="CG83" s="39" t="str">
        <f t="shared" si="71"/>
        <v>C2020-05-3700.CFE</v>
      </c>
      <c r="CH83" s="95" t="s">
        <v>417</v>
      </c>
      <c r="CI83" s="100" t="str">
        <f>IF([1]!w_info_callput(CH83)="认购","C","P")</f>
        <v>P</v>
      </c>
      <c r="CJ83" s="101">
        <f>[1]!w_info_strikeprice(CH83,"")</f>
        <v>3.7</v>
      </c>
      <c r="CK83" s="102" t="str">
        <f>[1]!w_info_lasttradingdate(CH83)</f>
        <v>2020-05-27</v>
      </c>
      <c r="CL83" s="39" t="str">
        <f t="shared" si="72"/>
        <v>10002455.SH</v>
      </c>
      <c r="CM83" s="17"/>
      <c r="CN83" s="17"/>
    </row>
    <row r="84" spans="1:92">
      <c r="A84" s="35"/>
      <c r="B84" s="17"/>
      <c r="CF84" s="39" t="str">
        <f t="shared" si="70"/>
        <v>P2020-05-3800.CFE</v>
      </c>
      <c r="CG84" s="39" t="str">
        <f t="shared" si="71"/>
        <v>C2020-05-3800.CFE</v>
      </c>
      <c r="CH84" s="95" t="s">
        <v>418</v>
      </c>
      <c r="CI84" s="100" t="str">
        <f>IF([1]!w_info_callput(CH84)="认购","C","P")</f>
        <v>P</v>
      </c>
      <c r="CJ84" s="101">
        <f>[1]!w_info_strikeprice(CH84,"")</f>
        <v>3.8</v>
      </c>
      <c r="CK84" s="102" t="str">
        <f>[1]!w_info_lasttradingdate(CH84)</f>
        <v>2020-05-27</v>
      </c>
      <c r="CL84" s="39" t="str">
        <f t="shared" si="72"/>
        <v>10002456.SH</v>
      </c>
      <c r="CM84" s="17"/>
      <c r="CN84" s="17"/>
    </row>
    <row r="85" spans="1:92">
      <c r="A85" s="35"/>
      <c r="B85" s="17"/>
      <c r="CF85" s="39" t="str">
        <f t="shared" si="70"/>
        <v>P2020-05-3900.CFE</v>
      </c>
      <c r="CG85" s="39" t="str">
        <f t="shared" si="71"/>
        <v>C2020-05-3900.CFE</v>
      </c>
      <c r="CH85" s="95" t="s">
        <v>419</v>
      </c>
      <c r="CI85" s="100" t="str">
        <f>IF([1]!w_info_callput(CH85)="认购","C","P")</f>
        <v>P</v>
      </c>
      <c r="CJ85" s="101">
        <f>[1]!w_info_strikeprice(CH85,"")</f>
        <v>3.9</v>
      </c>
      <c r="CK85" s="102" t="str">
        <f>[1]!w_info_lasttradingdate(CH85)</f>
        <v>2020-05-27</v>
      </c>
      <c r="CL85" s="39" t="str">
        <f t="shared" si="72"/>
        <v>10002457.SH</v>
      </c>
      <c r="CM85" s="17"/>
      <c r="CN85" s="17"/>
    </row>
    <row r="86" spans="1:92">
      <c r="A86" s="35"/>
      <c r="B86" s="17"/>
      <c r="CF86" s="39" t="str">
        <f t="shared" si="70"/>
        <v>P2020-05-4000.CFE</v>
      </c>
      <c r="CG86" s="39" t="str">
        <f t="shared" si="71"/>
        <v>C2020-05-4000.CFE</v>
      </c>
      <c r="CH86" s="95" t="s">
        <v>420</v>
      </c>
      <c r="CI86" s="100" t="str">
        <f>IF([1]!w_info_callput(CH86)="认购","C","P")</f>
        <v>P</v>
      </c>
      <c r="CJ86" s="101">
        <f>[1]!w_info_strikeprice(CH86,"")</f>
        <v>4</v>
      </c>
      <c r="CK86" s="102" t="str">
        <f>[1]!w_info_lasttradingdate(CH86)</f>
        <v>2020-05-27</v>
      </c>
      <c r="CL86" s="39" t="str">
        <f t="shared" si="72"/>
        <v>10002458.SH</v>
      </c>
      <c r="CM86" s="17"/>
      <c r="CN86" s="17"/>
    </row>
    <row r="87" spans="1:92">
      <c r="B87" s="17"/>
      <c r="CF87" s="39" t="str">
        <f t="shared" si="70"/>
        <v>P2020-05-4100.CFE</v>
      </c>
      <c r="CG87" s="39" t="str">
        <f t="shared" si="71"/>
        <v>C2020-05-4100.CFE</v>
      </c>
      <c r="CH87" s="95" t="s">
        <v>421</v>
      </c>
      <c r="CI87" s="100" t="str">
        <f>IF([1]!w_info_callput(CH87)="认购","C","P")</f>
        <v>P</v>
      </c>
      <c r="CJ87" s="101">
        <f>[1]!w_info_strikeprice(CH87,"")</f>
        <v>4.0999999999999996</v>
      </c>
      <c r="CK87" s="102" t="str">
        <f>[1]!w_info_lasttradingdate(CH87)</f>
        <v>2020-05-27</v>
      </c>
      <c r="CL87" s="39" t="str">
        <f t="shared" si="72"/>
        <v>10002459.SH</v>
      </c>
      <c r="CM87" s="17"/>
      <c r="CN87" s="17"/>
    </row>
    <row r="88" spans="1:92">
      <c r="B88" s="17"/>
      <c r="CF88" s="39" t="str">
        <f t="shared" si="70"/>
        <v>P2020-06-3100.CFE</v>
      </c>
      <c r="CG88" s="39" t="str">
        <f t="shared" si="71"/>
        <v>C2020-06-3100.CFE</v>
      </c>
      <c r="CH88" s="95" t="s">
        <v>401</v>
      </c>
      <c r="CI88" s="100" t="str">
        <f>IF([1]!w_info_callput(CH88)="认购","C","P")</f>
        <v>P</v>
      </c>
      <c r="CJ88" s="101">
        <f>[1]!w_info_strikeprice(CH88,"")</f>
        <v>3.1</v>
      </c>
      <c r="CK88" s="102" t="str">
        <f>[1]!w_info_lasttradingdate(CH88)</f>
        <v>2020-06-24</v>
      </c>
      <c r="CL88" s="39" t="str">
        <f t="shared" si="72"/>
        <v>10002429.SH</v>
      </c>
      <c r="CM88" s="17"/>
      <c r="CN88" s="17"/>
    </row>
    <row r="89" spans="1:92">
      <c r="B89" s="17"/>
      <c r="CF89" s="39" t="str">
        <f t="shared" si="70"/>
        <v>P2020-06-3200.CFE</v>
      </c>
      <c r="CG89" s="39" t="str">
        <f t="shared" si="71"/>
        <v>C2020-06-3200.CFE</v>
      </c>
      <c r="CH89" s="135" t="s">
        <v>386</v>
      </c>
      <c r="CI89" s="100" t="str">
        <f>IF([1]!w_info_callput(CH89)="认购","C","P")</f>
        <v>P</v>
      </c>
      <c r="CJ89" s="101">
        <f>[1]!w_info_strikeprice(CH89,"")</f>
        <v>3.2</v>
      </c>
      <c r="CK89" s="102" t="str">
        <f>[1]!w_info_lasttradingdate(CH89)</f>
        <v>2020-06-24</v>
      </c>
      <c r="CL89" s="39" t="str">
        <f t="shared" si="72"/>
        <v>10002413.SH</v>
      </c>
      <c r="CM89" s="17"/>
      <c r="CN89" s="17"/>
    </row>
    <row r="90" spans="1:92">
      <c r="B90" s="17"/>
      <c r="CF90" s="39" t="str">
        <f t="shared" si="70"/>
        <v>P2020-06-3300.CFE</v>
      </c>
      <c r="CG90" s="39" t="str">
        <f t="shared" si="71"/>
        <v>C2020-06-3300.CFE</v>
      </c>
      <c r="CH90" s="17" t="s">
        <v>222</v>
      </c>
      <c r="CI90" s="100" t="str">
        <f>IF([1]!w_info_callput(CH90)="认购","C","P")</f>
        <v>P</v>
      </c>
      <c r="CJ90" s="101">
        <f>[1]!w_info_strikeprice(CH90,"")</f>
        <v>3.3</v>
      </c>
      <c r="CK90" s="102" t="str">
        <f>[1]!w_info_lasttradingdate(CH90)</f>
        <v>2020-06-24</v>
      </c>
      <c r="CL90" s="39" t="str">
        <f t="shared" si="72"/>
        <v>10002321.SH</v>
      </c>
      <c r="CM90" s="17"/>
      <c r="CN90" s="17"/>
    </row>
    <row r="91" spans="1:92">
      <c r="B91" s="17"/>
      <c r="CF91" s="39" t="str">
        <f t="shared" si="70"/>
        <v>P2020-06-3400.CFE</v>
      </c>
      <c r="CG91" s="39" t="str">
        <f t="shared" si="71"/>
        <v>C2020-06-3400.CFE</v>
      </c>
      <c r="CH91" s="17" t="s">
        <v>223</v>
      </c>
      <c r="CI91" s="100" t="str">
        <f>IF([1]!w_info_callput(CH91)="认购","C","P")</f>
        <v>P</v>
      </c>
      <c r="CJ91" s="101">
        <f>[1]!w_info_strikeprice(CH91,"")</f>
        <v>3.4</v>
      </c>
      <c r="CK91" s="102" t="str">
        <f>[1]!w_info_lasttradingdate(CH91)</f>
        <v>2020-06-24</v>
      </c>
      <c r="CL91" s="39" t="str">
        <f t="shared" si="72"/>
        <v>10002322.SH</v>
      </c>
      <c r="CM91" s="17"/>
      <c r="CN91" s="17"/>
    </row>
    <row r="92" spans="1:92">
      <c r="B92" s="17"/>
      <c r="CF92" s="39" t="str">
        <f t="shared" si="70"/>
        <v>P2020-06-3500.CFE</v>
      </c>
      <c r="CG92" s="39" t="str">
        <f t="shared" si="71"/>
        <v>C2020-06-3500.CFE</v>
      </c>
      <c r="CH92" s="17" t="s">
        <v>224</v>
      </c>
      <c r="CI92" s="100" t="str">
        <f>IF([1]!w_info_callput(CH92)="认购","C","P")</f>
        <v>P</v>
      </c>
      <c r="CJ92" s="101">
        <f>[1]!w_info_strikeprice(CH92,"")</f>
        <v>3.5</v>
      </c>
      <c r="CK92" s="102" t="str">
        <f>[1]!w_info_lasttradingdate(CH92)</f>
        <v>2020-06-24</v>
      </c>
      <c r="CL92" s="39" t="str">
        <f t="shared" si="72"/>
        <v>10002323.SH</v>
      </c>
      <c r="CM92" s="17"/>
      <c r="CN92" s="17"/>
    </row>
    <row r="93" spans="1:92">
      <c r="B93" s="17"/>
      <c r="CF93" s="39" t="str">
        <f t="shared" si="70"/>
        <v>P2020-06-3600.CFE</v>
      </c>
      <c r="CG93" s="39" t="str">
        <f t="shared" si="71"/>
        <v>C2020-06-3600.CFE</v>
      </c>
      <c r="CH93" s="17" t="s">
        <v>185</v>
      </c>
      <c r="CI93" s="100" t="str">
        <f>IF([1]!w_info_callput(CH93)="认购","C","P")</f>
        <v>P</v>
      </c>
      <c r="CJ93" s="101">
        <f>[1]!w_info_strikeprice(CH93,"")</f>
        <v>3.6</v>
      </c>
      <c r="CK93" s="102" t="str">
        <f>[1]!w_info_lasttradingdate(CH93)</f>
        <v>2020-06-24</v>
      </c>
      <c r="CL93" s="39" t="str">
        <f t="shared" si="72"/>
        <v>10002171.SH</v>
      </c>
      <c r="CM93" s="17"/>
      <c r="CN93" s="17"/>
    </row>
    <row r="94" spans="1:92">
      <c r="B94" s="17"/>
      <c r="CF94" s="39" t="str">
        <f t="shared" si="70"/>
        <v>P2020-06-3700.CFE</v>
      </c>
      <c r="CG94" s="39" t="str">
        <f t="shared" si="71"/>
        <v>C2020-06-3700.CFE</v>
      </c>
      <c r="CH94" s="17" t="s">
        <v>186</v>
      </c>
      <c r="CI94" s="100" t="str">
        <f>IF([1]!w_info_callput(CH94)="认购","C","P")</f>
        <v>P</v>
      </c>
      <c r="CJ94" s="101">
        <f>[1]!w_info_strikeprice(CH94,"")</f>
        <v>3.7</v>
      </c>
      <c r="CK94" s="102" t="str">
        <f>[1]!w_info_lasttradingdate(CH94)</f>
        <v>2020-06-24</v>
      </c>
      <c r="CL94" s="39" t="str">
        <f t="shared" si="72"/>
        <v>10002172.SH</v>
      </c>
      <c r="CM94" s="17"/>
      <c r="CN94" s="17"/>
    </row>
    <row r="95" spans="1:92">
      <c r="B95" s="17"/>
      <c r="CF95" s="39" t="str">
        <f t="shared" si="70"/>
        <v>P2020-06-3800.CFE</v>
      </c>
      <c r="CG95" s="39" t="str">
        <f t="shared" si="71"/>
        <v>C2020-06-3800.CFE</v>
      </c>
      <c r="CH95" s="17" t="s">
        <v>187</v>
      </c>
      <c r="CI95" s="100" t="str">
        <f>IF([1]!w_info_callput(CH95)="认购","C","P")</f>
        <v>P</v>
      </c>
      <c r="CJ95" s="101">
        <f>[1]!w_info_strikeprice(CH95,"")</f>
        <v>3.8</v>
      </c>
      <c r="CK95" s="102" t="str">
        <f>[1]!w_info_lasttradingdate(CH95)</f>
        <v>2020-06-24</v>
      </c>
      <c r="CL95" s="39" t="str">
        <f t="shared" si="72"/>
        <v>10002173.SH</v>
      </c>
      <c r="CM95" s="17"/>
      <c r="CN95" s="17"/>
    </row>
    <row r="96" spans="1:92">
      <c r="B96" s="17"/>
      <c r="CF96" s="39" t="str">
        <f t="shared" si="70"/>
        <v>P2020-06-3900.CFE</v>
      </c>
      <c r="CG96" s="39" t="str">
        <f t="shared" si="71"/>
        <v>C2020-06-3900.CFE</v>
      </c>
      <c r="CH96" s="17" t="s">
        <v>188</v>
      </c>
      <c r="CI96" s="100" t="str">
        <f>IF([1]!w_info_callput(CH96)="认购","C","P")</f>
        <v>P</v>
      </c>
      <c r="CJ96" s="101">
        <f>[1]!w_info_strikeprice(CH96,"")</f>
        <v>3.9</v>
      </c>
      <c r="CK96" s="102" t="str">
        <f>[1]!w_info_lasttradingdate(CH96)</f>
        <v>2020-06-24</v>
      </c>
      <c r="CL96" s="39" t="str">
        <f t="shared" si="72"/>
        <v>10002174.SH</v>
      </c>
      <c r="CM96" s="17"/>
      <c r="CN96" s="17"/>
    </row>
    <row r="97" spans="2:92">
      <c r="B97" s="95"/>
      <c r="CF97" s="39" t="str">
        <f t="shared" si="70"/>
        <v>P2020-06-4000.CFE</v>
      </c>
      <c r="CG97" s="39" t="str">
        <f t="shared" si="71"/>
        <v>C2020-06-4000.CFE</v>
      </c>
      <c r="CH97" s="17" t="s">
        <v>189</v>
      </c>
      <c r="CI97" s="100" t="str">
        <f>IF([1]!w_info_callput(CH97)="认购","C","P")</f>
        <v>P</v>
      </c>
      <c r="CJ97" s="101">
        <f>[1]!w_info_strikeprice(CH97,"")</f>
        <v>4</v>
      </c>
      <c r="CK97" s="102" t="str">
        <f>[1]!w_info_lasttradingdate(CH97)</f>
        <v>2020-06-24</v>
      </c>
      <c r="CL97" s="39" t="str">
        <f t="shared" si="72"/>
        <v>10002175.SH</v>
      </c>
      <c r="CM97" s="17"/>
      <c r="CN97" s="17"/>
    </row>
    <row r="98" spans="2:92">
      <c r="B98" s="17"/>
      <c r="CF98" s="39" t="str">
        <f t="shared" si="70"/>
        <v>P2020-06-4100.CFE</v>
      </c>
      <c r="CG98" s="39" t="str">
        <f t="shared" si="71"/>
        <v>C2020-06-4100.CFE</v>
      </c>
      <c r="CH98" s="17" t="s">
        <v>190</v>
      </c>
      <c r="CI98" s="100" t="str">
        <f>IF([1]!w_info_callput(CH98)="认购","C","P")</f>
        <v>P</v>
      </c>
      <c r="CJ98" s="101">
        <f>[1]!w_info_strikeprice(CH98,"")</f>
        <v>4.0999999999999996</v>
      </c>
      <c r="CK98" s="102" t="str">
        <f>[1]!w_info_lasttradingdate(CH98)</f>
        <v>2020-06-24</v>
      </c>
      <c r="CL98" s="39" t="str">
        <f t="shared" si="72"/>
        <v>10002176.SH</v>
      </c>
      <c r="CM98" s="17"/>
      <c r="CN98" s="17"/>
    </row>
    <row r="99" spans="2:92">
      <c r="B99" s="17"/>
      <c r="CF99" s="39" t="str">
        <f t="shared" si="70"/>
        <v>P2020-06-4200.CFE</v>
      </c>
      <c r="CG99" s="39" t="str">
        <f t="shared" si="71"/>
        <v>C2020-06-4200.CFE</v>
      </c>
      <c r="CH99" s="95" t="s">
        <v>191</v>
      </c>
      <c r="CI99" s="100" t="str">
        <f>IF([1]!w_info_callput(CH99)="认购","C","P")</f>
        <v>P</v>
      </c>
      <c r="CJ99" s="101">
        <f>[1]!w_info_strikeprice(CH99,"")</f>
        <v>4.2</v>
      </c>
      <c r="CK99" s="102" t="str">
        <f>[1]!w_info_lasttradingdate(CH99)</f>
        <v>2020-06-24</v>
      </c>
      <c r="CL99" s="39" t="str">
        <f t="shared" si="72"/>
        <v>10002177.SH</v>
      </c>
      <c r="CM99" s="17"/>
      <c r="CN99" s="17"/>
    </row>
    <row r="100" spans="2:92">
      <c r="B100" s="17"/>
      <c r="CF100" s="39" t="str">
        <f t="shared" si="70"/>
        <v>P2020-06-4300.CFE</v>
      </c>
      <c r="CG100" s="39" t="str">
        <f t="shared" si="71"/>
        <v>C2020-06-4300.CFE</v>
      </c>
      <c r="CH100" s="17" t="s">
        <v>192</v>
      </c>
      <c r="CI100" s="100" t="str">
        <f>IF([1]!w_info_callput(CH100)="认购","C","P")</f>
        <v>P</v>
      </c>
      <c r="CJ100" s="101">
        <f>[1]!w_info_strikeprice(CH100,"")</f>
        <v>4.3</v>
      </c>
      <c r="CK100" s="102" t="str">
        <f>[1]!w_info_lasttradingdate(CH100)</f>
        <v>2020-06-24</v>
      </c>
      <c r="CL100" s="39" t="str">
        <f t="shared" si="72"/>
        <v>10002178.SH</v>
      </c>
      <c r="CM100" s="17"/>
      <c r="CN100" s="17"/>
    </row>
    <row r="101" spans="2:92">
      <c r="B101" s="17"/>
      <c r="CF101" s="39" t="str">
        <f t="shared" si="70"/>
        <v>P2020-06-4400.CFE</v>
      </c>
      <c r="CG101" s="39" t="str">
        <f t="shared" si="71"/>
        <v>C2020-06-4400.CFE</v>
      </c>
      <c r="CH101" s="17" t="s">
        <v>193</v>
      </c>
      <c r="CI101" s="100" t="str">
        <f>IF([1]!w_info_callput(CH101)="认购","C","P")</f>
        <v>P</v>
      </c>
      <c r="CJ101" s="101">
        <f>[1]!w_info_strikeprice(CH101,"")</f>
        <v>4.4000000000000004</v>
      </c>
      <c r="CK101" s="102" t="str">
        <f>[1]!w_info_lasttradingdate(CH101)</f>
        <v>2020-06-24</v>
      </c>
      <c r="CL101" s="39" t="str">
        <f t="shared" si="72"/>
        <v>10002179.SH</v>
      </c>
      <c r="CM101" s="17"/>
      <c r="CN101" s="17"/>
    </row>
    <row r="102" spans="2:92">
      <c r="B102" s="17"/>
      <c r="CF102" s="39" t="str">
        <f t="shared" ref="CF102:CF121" si="73">CI102&amp;LEFT(CK102,8)&amp;CJ102*1000&amp;".CFE"</f>
        <v>P2020-06-4500.CFE</v>
      </c>
      <c r="CG102" s="39" t="str">
        <f t="shared" ref="CG102:CG133" si="74">IF(CI102="C","P","C")&amp;MID(CF102,2,99)</f>
        <v>C2020-06-4500.CFE</v>
      </c>
      <c r="CH102" s="95" t="s">
        <v>195</v>
      </c>
      <c r="CI102" s="100" t="str">
        <f>IF([1]!w_info_callput(CH102)="认购","C","P")</f>
        <v>P</v>
      </c>
      <c r="CJ102" s="101">
        <f>[1]!w_info_strikeprice(CH102,"")</f>
        <v>4.5</v>
      </c>
      <c r="CK102" s="102" t="str">
        <f>[1]!w_info_lasttradingdate(CH102)</f>
        <v>2020-06-24</v>
      </c>
      <c r="CL102" s="39" t="str">
        <f t="shared" ref="CL102:CL121" si="75">VLOOKUP(CG102,CF:CH,3,0)</f>
        <v>10002221.SH</v>
      </c>
      <c r="CM102" s="17"/>
      <c r="CN102" s="17"/>
    </row>
    <row r="103" spans="2:92">
      <c r="B103" s="17"/>
      <c r="CF103" s="39" t="str">
        <f t="shared" si="73"/>
        <v>P2020-06-4600.CFE</v>
      </c>
      <c r="CG103" s="39" t="str">
        <f t="shared" si="74"/>
        <v>C2020-06-4600.CFE</v>
      </c>
      <c r="CH103" s="17" t="s">
        <v>197</v>
      </c>
      <c r="CI103" s="100" t="str">
        <f>IF([1]!w_info_callput(CH103)="认购","C","P")</f>
        <v>P</v>
      </c>
      <c r="CJ103" s="101">
        <f>[1]!w_info_strikeprice(CH103,"")</f>
        <v>4.5999999999999996</v>
      </c>
      <c r="CK103" s="102" t="str">
        <f>[1]!w_info_lasttradingdate(CH103)</f>
        <v>2020-06-24</v>
      </c>
      <c r="CL103" s="39" t="str">
        <f t="shared" si="75"/>
        <v>10002229.SH</v>
      </c>
      <c r="CM103" s="17"/>
      <c r="CN103" s="17"/>
    </row>
    <row r="104" spans="2:92">
      <c r="B104" s="17"/>
      <c r="CF104" s="39" t="str">
        <f t="shared" si="73"/>
        <v>P2020-09-3100.CFE</v>
      </c>
      <c r="CG104" s="39" t="str">
        <f t="shared" si="74"/>
        <v>C2020-09-3100.CFE</v>
      </c>
      <c r="CH104" s="17" t="s">
        <v>403</v>
      </c>
      <c r="CI104" s="100" t="str">
        <f>IF([1]!w_info_callput(CH104)="认购","C","P")</f>
        <v>P</v>
      </c>
      <c r="CJ104" s="101">
        <f>[1]!w_info_strikeprice(CH104,"")</f>
        <v>3.1</v>
      </c>
      <c r="CK104" s="102" t="str">
        <f>[1]!w_info_lasttradingdate(CH104)</f>
        <v>2020-09-23</v>
      </c>
      <c r="CL104" s="39" t="str">
        <f t="shared" si="75"/>
        <v>10002431.SH</v>
      </c>
      <c r="CM104" s="17"/>
      <c r="CN104" s="17"/>
    </row>
    <row r="105" spans="2:92">
      <c r="B105" s="17"/>
      <c r="CF105" s="39" t="str">
        <f t="shared" si="73"/>
        <v>P2020-09-3200.CFE</v>
      </c>
      <c r="CG105" s="39" t="str">
        <f t="shared" si="74"/>
        <v>C2020-09-3200.CFE</v>
      </c>
      <c r="CH105" s="135" t="s">
        <v>388</v>
      </c>
      <c r="CI105" s="100" t="str">
        <f>IF([1]!w_info_callput(CH105)="认购","C","P")</f>
        <v>P</v>
      </c>
      <c r="CJ105" s="101">
        <f>[1]!w_info_strikeprice(CH105,"")</f>
        <v>3.2</v>
      </c>
      <c r="CK105" s="102" t="str">
        <f>[1]!w_info_lasttradingdate(CH105)</f>
        <v>2020-09-23</v>
      </c>
      <c r="CL105" s="39" t="str">
        <f t="shared" si="75"/>
        <v>10002415.SH</v>
      </c>
      <c r="CM105" s="17"/>
      <c r="CN105" s="17"/>
    </row>
    <row r="106" spans="2:92">
      <c r="B106" s="17"/>
      <c r="CF106" s="39" t="str">
        <f t="shared" si="73"/>
        <v>P2020-09-3300.CFE</v>
      </c>
      <c r="CG106" s="39" t="str">
        <f t="shared" si="74"/>
        <v>C2020-09-3300.CFE</v>
      </c>
      <c r="CH106" s="95" t="s">
        <v>228</v>
      </c>
      <c r="CI106" s="100" t="str">
        <f>IF([1]!w_info_callput(CH106)="认购","C","P")</f>
        <v>P</v>
      </c>
      <c r="CJ106" s="101">
        <f>[1]!w_info_strikeprice(CH106,"")</f>
        <v>3.3</v>
      </c>
      <c r="CK106" s="102" t="str">
        <f>[1]!w_info_lasttradingdate(CH106)</f>
        <v>2020-09-23</v>
      </c>
      <c r="CL106" s="39" t="str">
        <f t="shared" si="75"/>
        <v>10002327.SH</v>
      </c>
      <c r="CM106" s="17"/>
      <c r="CN106" s="17"/>
    </row>
    <row r="107" spans="2:92">
      <c r="B107" s="17"/>
      <c r="CF107" s="39" t="str">
        <f t="shared" si="73"/>
        <v>P2020-09-3400.CFE</v>
      </c>
      <c r="CG107" s="39" t="str">
        <f t="shared" si="74"/>
        <v>C2020-09-3400.CFE</v>
      </c>
      <c r="CH107" s="17" t="s">
        <v>229</v>
      </c>
      <c r="CI107" s="100" t="str">
        <f>IF([1]!w_info_callput(CH107)="认购","C","P")</f>
        <v>P</v>
      </c>
      <c r="CJ107" s="101">
        <f>[1]!w_info_strikeprice(CH107,"")</f>
        <v>3.4</v>
      </c>
      <c r="CK107" s="102" t="str">
        <f>[1]!w_info_lasttradingdate(CH107)</f>
        <v>2020-09-23</v>
      </c>
      <c r="CL107" s="39" t="str">
        <f t="shared" si="75"/>
        <v>10002328.SH</v>
      </c>
      <c r="CM107" s="17"/>
      <c r="CN107" s="17"/>
    </row>
    <row r="108" spans="2:92">
      <c r="B108" s="17"/>
      <c r="CF108" s="39" t="str">
        <f t="shared" si="73"/>
        <v>P2020-09-3500.CFE</v>
      </c>
      <c r="CG108" s="39" t="str">
        <f t="shared" si="74"/>
        <v>C2020-09-3500.CFE</v>
      </c>
      <c r="CH108" s="17" t="s">
        <v>230</v>
      </c>
      <c r="CI108" s="100" t="str">
        <f>IF([1]!w_info_callput(CH108)="认购","C","P")</f>
        <v>P</v>
      </c>
      <c r="CJ108" s="101">
        <f>[1]!w_info_strikeprice(CH108,"")</f>
        <v>3.5</v>
      </c>
      <c r="CK108" s="102" t="str">
        <f>[1]!w_info_lasttradingdate(CH108)</f>
        <v>2020-09-23</v>
      </c>
      <c r="CL108" s="39" t="str">
        <f t="shared" si="75"/>
        <v>10002329.SH</v>
      </c>
      <c r="CM108" s="17"/>
      <c r="CN108" s="17"/>
    </row>
    <row r="109" spans="2:92">
      <c r="B109" s="17"/>
      <c r="CF109" s="39" t="str">
        <f t="shared" si="73"/>
        <v>P2020-09-3600.CFE</v>
      </c>
      <c r="CG109" s="39" t="str">
        <f t="shared" si="74"/>
        <v>C2020-09-3600.CFE</v>
      </c>
      <c r="CH109" s="17" t="s">
        <v>217</v>
      </c>
      <c r="CI109" s="100" t="str">
        <f>IF([1]!w_info_callput(CH109)="认购","C","P")</f>
        <v>P</v>
      </c>
      <c r="CJ109" s="101">
        <f>[1]!w_info_strikeprice(CH109,"")</f>
        <v>3.6</v>
      </c>
      <c r="CK109" s="102" t="str">
        <f>[1]!w_info_lasttradingdate(CH109)</f>
        <v>2020-09-23</v>
      </c>
      <c r="CL109" s="39" t="str">
        <f t="shared" si="75"/>
        <v>10002271.SH</v>
      </c>
      <c r="CM109" s="17"/>
      <c r="CN109" s="17"/>
    </row>
    <row r="110" spans="2:92">
      <c r="B110" s="17"/>
      <c r="CF110" s="39" t="str">
        <f t="shared" si="73"/>
        <v>P2020-09-3700.CFE</v>
      </c>
      <c r="CG110" s="39" t="str">
        <f t="shared" si="74"/>
        <v>C2020-09-3700.CFE</v>
      </c>
      <c r="CH110" s="143" t="s">
        <v>207</v>
      </c>
      <c r="CI110" s="100" t="str">
        <f>IF([1]!w_info_callput(CH110)="认购","C","P")</f>
        <v>P</v>
      </c>
      <c r="CJ110" s="101">
        <f>[1]!w_info_strikeprice(CH110,"")</f>
        <v>3.7</v>
      </c>
      <c r="CK110" s="102" t="str">
        <f>[1]!w_info_lasttradingdate(CH110)</f>
        <v>2020-09-23</v>
      </c>
      <c r="CL110" s="39" t="str">
        <f t="shared" si="75"/>
        <v>10002249.SH</v>
      </c>
      <c r="CM110" s="17"/>
      <c r="CN110" s="17"/>
    </row>
    <row r="111" spans="2:92">
      <c r="B111" s="17"/>
      <c r="CF111" s="39" t="str">
        <f t="shared" si="73"/>
        <v>P2020-09-3800.CFE</v>
      </c>
      <c r="CG111" s="39" t="str">
        <f t="shared" si="74"/>
        <v>C2020-09-3800.CFE</v>
      </c>
      <c r="CH111" s="143" t="s">
        <v>208</v>
      </c>
      <c r="CI111" s="100" t="str">
        <f>IF([1]!w_info_callput(CH111)="认购","C","P")</f>
        <v>P</v>
      </c>
      <c r="CJ111" s="101">
        <f>[1]!w_info_strikeprice(CH111,"")</f>
        <v>3.8</v>
      </c>
      <c r="CK111" s="102" t="str">
        <f>[1]!w_info_lasttradingdate(CH111)</f>
        <v>2020-09-23</v>
      </c>
      <c r="CL111" s="39" t="str">
        <f t="shared" si="75"/>
        <v>10002250.SH</v>
      </c>
      <c r="CM111" s="17"/>
      <c r="CN111" s="17"/>
    </row>
    <row r="112" spans="2:92">
      <c r="B112" s="17"/>
      <c r="CF112" s="39" t="str">
        <f t="shared" si="73"/>
        <v>P2020-09-3900.CFE</v>
      </c>
      <c r="CG112" s="39" t="str">
        <f t="shared" si="74"/>
        <v>C2020-09-3900.CFE</v>
      </c>
      <c r="CH112" s="143" t="s">
        <v>209</v>
      </c>
      <c r="CI112" s="100" t="str">
        <f>IF([1]!w_info_callput(CH112)="认购","C","P")</f>
        <v>P</v>
      </c>
      <c r="CJ112" s="101">
        <f>[1]!w_info_strikeprice(CH112,"")</f>
        <v>3.9</v>
      </c>
      <c r="CK112" s="102" t="str">
        <f>[1]!w_info_lasttradingdate(CH112)</f>
        <v>2020-09-23</v>
      </c>
      <c r="CL112" s="39" t="str">
        <f t="shared" si="75"/>
        <v>10002251.SH</v>
      </c>
      <c r="CM112" s="17"/>
      <c r="CN112" s="17"/>
    </row>
    <row r="113" spans="2:92">
      <c r="B113" s="17"/>
      <c r="CF113" s="39" t="str">
        <f t="shared" si="73"/>
        <v>P2020-09-4000.CFE</v>
      </c>
      <c r="CG113" s="39" t="str">
        <f t="shared" si="74"/>
        <v>C2020-09-4000.CFE</v>
      </c>
      <c r="CH113" s="143" t="s">
        <v>210</v>
      </c>
      <c r="CI113" s="100" t="str">
        <f>IF([1]!w_info_callput(CH113)="认购","C","P")</f>
        <v>P</v>
      </c>
      <c r="CJ113" s="101">
        <f>[1]!w_info_strikeprice(CH113,"")</f>
        <v>4</v>
      </c>
      <c r="CK113" s="102" t="str">
        <f>[1]!w_info_lasttradingdate(CH113)</f>
        <v>2020-09-23</v>
      </c>
      <c r="CL113" s="39" t="str">
        <f t="shared" si="75"/>
        <v>10002252.SH</v>
      </c>
      <c r="CM113" s="17"/>
      <c r="CN113" s="17"/>
    </row>
    <row r="114" spans="2:92">
      <c r="B114" s="17"/>
      <c r="CF114" s="39" t="str">
        <f t="shared" si="73"/>
        <v>P2020-09-4100.CFE</v>
      </c>
      <c r="CG114" s="39" t="str">
        <f t="shared" si="74"/>
        <v>C2020-09-4100.CFE</v>
      </c>
      <c r="CH114" s="143" t="s">
        <v>211</v>
      </c>
      <c r="CI114" s="100" t="str">
        <f>IF([1]!w_info_callput(CH114)="认购","C","P")</f>
        <v>P</v>
      </c>
      <c r="CJ114" s="101">
        <f>[1]!w_info_strikeprice(CH114,"")</f>
        <v>4.0999999999999996</v>
      </c>
      <c r="CK114" s="102" t="str">
        <f>[1]!w_info_lasttradingdate(CH114)</f>
        <v>2020-09-23</v>
      </c>
      <c r="CL114" s="39" t="str">
        <f t="shared" si="75"/>
        <v>10002253.SH</v>
      </c>
      <c r="CM114" s="17"/>
      <c r="CN114" s="17"/>
    </row>
    <row r="115" spans="2:92">
      <c r="B115" s="17"/>
      <c r="CF115" s="39" t="str">
        <f t="shared" si="73"/>
        <v>P2020-09-4200.CFE</v>
      </c>
      <c r="CG115" s="39" t="str">
        <f t="shared" si="74"/>
        <v>C2020-09-4200.CFE</v>
      </c>
      <c r="CH115" s="143" t="s">
        <v>212</v>
      </c>
      <c r="CI115" s="100" t="str">
        <f>IF([1]!w_info_callput(CH115)="认购","C","P")</f>
        <v>P</v>
      </c>
      <c r="CJ115" s="101">
        <f>[1]!w_info_strikeprice(CH115,"")</f>
        <v>4.2</v>
      </c>
      <c r="CK115" s="102" t="str">
        <f>[1]!w_info_lasttradingdate(CH115)</f>
        <v>2020-09-23</v>
      </c>
      <c r="CL115" s="39" t="str">
        <f t="shared" si="75"/>
        <v>10002254.SH</v>
      </c>
      <c r="CM115" s="17"/>
      <c r="CN115" s="17"/>
    </row>
    <row r="116" spans="2:92">
      <c r="B116" s="17"/>
      <c r="CF116" s="39" t="str">
        <f t="shared" si="73"/>
        <v>P2020-09-4300.CFE</v>
      </c>
      <c r="CG116" s="39" t="str">
        <f t="shared" si="74"/>
        <v>C2020-09-4300.CFE</v>
      </c>
      <c r="CH116" s="143" t="s">
        <v>213</v>
      </c>
      <c r="CI116" s="100" t="str">
        <f>IF([1]!w_info_callput(CH116)="认购","C","P")</f>
        <v>P</v>
      </c>
      <c r="CJ116" s="101">
        <f>[1]!w_info_strikeprice(CH116,"")</f>
        <v>4.3</v>
      </c>
      <c r="CK116" s="102" t="str">
        <f>[1]!w_info_lasttradingdate(CH116)</f>
        <v>2020-09-23</v>
      </c>
      <c r="CL116" s="39" t="str">
        <f t="shared" si="75"/>
        <v>10002255.SH</v>
      </c>
      <c r="CM116" s="17"/>
      <c r="CN116" s="17"/>
    </row>
    <row r="117" spans="2:92">
      <c r="B117" s="17"/>
      <c r="CF117" s="39" t="str">
        <f t="shared" si="73"/>
        <v>P2020-09-4400.CFE</v>
      </c>
      <c r="CG117" s="39" t="str">
        <f t="shared" si="74"/>
        <v>C2020-09-4400.CFE</v>
      </c>
      <c r="CH117" s="143" t="s">
        <v>214</v>
      </c>
      <c r="CI117" s="100" t="str">
        <f>IF([1]!w_info_callput(CH117)="认购","C","P")</f>
        <v>P</v>
      </c>
      <c r="CJ117" s="101">
        <f>[1]!w_info_strikeprice(CH117,"")</f>
        <v>4.4000000000000004</v>
      </c>
      <c r="CK117" s="102" t="str">
        <f>[1]!w_info_lasttradingdate(CH117)</f>
        <v>2020-09-23</v>
      </c>
      <c r="CL117" s="39" t="str">
        <f t="shared" si="75"/>
        <v>10002256.SH</v>
      </c>
      <c r="CM117" s="17"/>
      <c r="CN117" s="17"/>
    </row>
    <row r="118" spans="2:92">
      <c r="B118" s="17"/>
      <c r="CF118" s="39" t="str">
        <f t="shared" si="73"/>
        <v>P2020-09-4500.CFE</v>
      </c>
      <c r="CG118" s="39" t="str">
        <f t="shared" si="74"/>
        <v>C2020-09-4500.CFE</v>
      </c>
      <c r="CH118" s="143" t="s">
        <v>215</v>
      </c>
      <c r="CI118" s="100" t="str">
        <f>IF([1]!w_info_callput(CH118)="认购","C","P")</f>
        <v>P</v>
      </c>
      <c r="CJ118" s="101">
        <f>[1]!w_info_strikeprice(CH118,"")</f>
        <v>4.5</v>
      </c>
      <c r="CK118" s="102" t="str">
        <f>[1]!w_info_lasttradingdate(CH118)</f>
        <v>2020-09-23</v>
      </c>
      <c r="CL118" s="39" t="str">
        <f t="shared" si="75"/>
        <v>10002257.SH</v>
      </c>
      <c r="CM118" s="17"/>
      <c r="CN118" s="17"/>
    </row>
    <row r="119" spans="2:92">
      <c r="B119" s="17"/>
      <c r="CF119" s="39" t="str">
        <f t="shared" si="73"/>
        <v>P2020-09-4600.CFE</v>
      </c>
      <c r="CG119" s="39" t="str">
        <f t="shared" si="74"/>
        <v>C2020-09-4600.CFE</v>
      </c>
      <c r="CH119" s="143" t="s">
        <v>378</v>
      </c>
      <c r="CI119" s="100" t="str">
        <f>IF([1]!w_info_callput(CH119)="认购","C","P")</f>
        <v>P</v>
      </c>
      <c r="CJ119" s="101">
        <f>[1]!w_info_strikeprice(CH119,"")</f>
        <v>4.5999999999999996</v>
      </c>
      <c r="CK119" s="102" t="str">
        <f>[1]!w_info_lasttradingdate(CH119)</f>
        <v>2020-09-23</v>
      </c>
      <c r="CL119" s="39" t="str">
        <f t="shared" si="75"/>
        <v>10002383.SH</v>
      </c>
      <c r="CM119" s="17"/>
      <c r="CN119" s="17"/>
    </row>
    <row r="120" spans="2:92">
      <c r="CF120" s="39" t="str">
        <f t="shared" si="73"/>
        <v>P2020-09-4600.CFE</v>
      </c>
      <c r="CG120" s="39" t="str">
        <f t="shared" si="74"/>
        <v>C2020-09-4600.CFE</v>
      </c>
      <c r="CH120" s="143" t="s">
        <v>378</v>
      </c>
      <c r="CI120" s="100" t="str">
        <f>IF([1]!w_info_callput(CH120)="认购","C","P")</f>
        <v>P</v>
      </c>
      <c r="CJ120" s="101">
        <f>[1]!w_info_strikeprice(CH120,"")</f>
        <v>4.5999999999999996</v>
      </c>
      <c r="CK120" s="102" t="str">
        <f>[1]!w_info_lasttradingdate(CH120)</f>
        <v>2020-09-23</v>
      </c>
      <c r="CL120" s="39" t="str">
        <f t="shared" si="75"/>
        <v>10002383.SH</v>
      </c>
    </row>
    <row r="121" spans="2:92">
      <c r="CF121" s="39" t="str">
        <f t="shared" si="73"/>
        <v>P2020-09-4600.CFE</v>
      </c>
      <c r="CG121" s="39" t="str">
        <f t="shared" si="74"/>
        <v>C2020-09-4600.CFE</v>
      </c>
      <c r="CH121" s="143" t="s">
        <v>378</v>
      </c>
      <c r="CI121" s="100" t="str">
        <f>IF([1]!w_info_callput(CH121)="认购","C","P")</f>
        <v>P</v>
      </c>
      <c r="CJ121" s="101">
        <f>[1]!w_info_strikeprice(CH121,"")</f>
        <v>4.5999999999999996</v>
      </c>
      <c r="CK121" s="102" t="str">
        <f>[1]!w_info_lasttradingdate(CH121)</f>
        <v>2020-09-23</v>
      </c>
      <c r="CL121" s="39" t="str">
        <f t="shared" si="75"/>
        <v>10002383.SH</v>
      </c>
    </row>
    <row r="122" spans="2:92">
      <c r="CH122" s="59"/>
      <c r="CI122" s="100"/>
      <c r="CJ122" s="101"/>
      <c r="CK122" s="102"/>
    </row>
    <row r="123" spans="2:92">
      <c r="CH123" s="59"/>
      <c r="CI123" s="100"/>
      <c r="CJ123" s="101"/>
      <c r="CK123" s="102"/>
    </row>
  </sheetData>
  <sortState ref="CF6:CL121">
    <sortCondition ref="CI6:CI121"/>
    <sortCondition ref="CK6:CK121"/>
    <sortCondition ref="CJ6:CJ121"/>
  </sortState>
  <mergeCells count="10">
    <mergeCell ref="B4:R4"/>
    <mergeCell ref="AB4:AR4"/>
    <mergeCell ref="BA1:BL1"/>
    <mergeCell ref="BN4:BQ4"/>
    <mergeCell ref="BR4:BU4"/>
    <mergeCell ref="BV4:BY4"/>
    <mergeCell ref="BA4:BD4"/>
    <mergeCell ref="BE4:BH4"/>
    <mergeCell ref="BI4:BL4"/>
    <mergeCell ref="BN1:BY1"/>
  </mergeCells>
  <phoneticPr fontId="2" type="noConversion"/>
  <conditionalFormatting sqref="BW2 BV65:BY1048576 BI65:BL1048576 BY2">
    <cfRule type="cellIs" dxfId="21" priority="60" operator="greaterThan">
      <formula>0.15</formula>
    </cfRule>
  </conditionalFormatting>
  <conditionalFormatting sqref="BJ2 BL2">
    <cfRule type="cellIs" dxfId="20" priority="34" operator="greaterThan">
      <formula>0.15</formula>
    </cfRule>
  </conditionalFormatting>
  <conditionalFormatting sqref="BI6:BL6 BV6:BY6">
    <cfRule type="cellIs" dxfId="19" priority="36" operator="greaterThan">
      <formula>0.1</formula>
    </cfRule>
  </conditionalFormatting>
  <conditionalFormatting sqref="C1:C4 AC6:AC18 C6:C18 AC65:AC1048576 C51:C1048576">
    <cfRule type="cellIs" dxfId="18" priority="22" operator="equal">
      <formula>"C"</formula>
    </cfRule>
  </conditionalFormatting>
  <conditionalFormatting sqref="AC1 AC4">
    <cfRule type="cellIs" dxfId="17" priority="21" operator="equal">
      <formula>"C"</formula>
    </cfRule>
  </conditionalFormatting>
  <conditionalFormatting sqref="BI7:BL18 BV7:BY18">
    <cfRule type="cellIs" dxfId="16" priority="12" operator="greaterThan">
      <formula>0.1</formula>
    </cfRule>
  </conditionalFormatting>
  <conditionalFormatting sqref="AC51:AC64">
    <cfRule type="cellIs" dxfId="15" priority="5" operator="equal">
      <formula>"C"</formula>
    </cfRule>
  </conditionalFormatting>
  <conditionalFormatting sqref="BI51:BL64 BV51:BY64">
    <cfRule type="cellIs" dxfId="14" priority="4" operator="greaterThan">
      <formula>0.1</formula>
    </cfRule>
  </conditionalFormatting>
  <conditionalFormatting sqref="AC2:AC3">
    <cfRule type="cellIs" dxfId="13" priority="3" operator="equal">
      <formula>"C"</formula>
    </cfRule>
  </conditionalFormatting>
  <conditionalFormatting sqref="AC19:AC50 C19:C50">
    <cfRule type="cellIs" dxfId="12" priority="2" operator="equal">
      <formula>"C"</formula>
    </cfRule>
  </conditionalFormatting>
  <conditionalFormatting sqref="BI19:BL50 BV19:BY50">
    <cfRule type="cellIs" dxfId="11" priority="1" operator="greaterThan">
      <formula>0.1</formula>
    </cfRule>
  </conditionalFormatting>
  <pageMargins left="0.7" right="0.7" top="0.75" bottom="0.75" header="0.3" footer="0.3"/>
  <pageSetup orientation="portrait" r:id="rId1"/>
  <ignoredErrors>
    <ignoredError sqref="H3 AH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L259"/>
  <sheetViews>
    <sheetView topLeftCell="K70" zoomScale="70" zoomScaleNormal="70" workbookViewId="0">
      <selection activeCell="BB56" sqref="BB56"/>
    </sheetView>
  </sheetViews>
  <sheetFormatPr defaultRowHeight="14.4"/>
  <cols>
    <col min="1" max="1" width="2.44140625" style="34" customWidth="1"/>
    <col min="2" max="2" width="13" style="111" customWidth="1"/>
    <col min="3" max="3" width="1.77734375" customWidth="1"/>
    <col min="4" max="4" width="5.21875" style="96" customWidth="1"/>
    <col min="5" max="5" width="6.5546875" style="18" customWidth="1"/>
    <col min="6" max="6" width="6.77734375" style="4" customWidth="1"/>
    <col min="7" max="7" width="8.21875" style="3" customWidth="1"/>
    <col min="8" max="8" width="6.77734375" style="4" customWidth="1"/>
    <col min="9" max="9" width="6.6640625" style="3" customWidth="1"/>
    <col min="10" max="10" width="6.77734375" style="4" customWidth="1"/>
    <col min="11" max="11" width="6.5546875" style="19" customWidth="1"/>
    <col min="12" max="12" width="6.77734375" style="4" customWidth="1"/>
    <col min="13" max="13" width="7.77734375" style="6" customWidth="1"/>
    <col min="14" max="14" width="8.6640625" hidden="1" customWidth="1"/>
    <col min="15" max="15" width="10.44140625" style="4" hidden="1" customWidth="1"/>
    <col min="16" max="16" width="8.109375" hidden="1" customWidth="1"/>
    <col min="17" max="17" width="7.77734375" style="6" customWidth="1"/>
    <col min="18" max="18" width="6.88671875" style="11" customWidth="1"/>
    <col min="19" max="27" width="2.5546875" hidden="1" customWidth="1"/>
    <col min="28" max="28" width="13" style="59" customWidth="1"/>
    <col min="29" max="29" width="1.77734375" customWidth="1"/>
    <col min="30" max="30" width="7.33203125" style="32" customWidth="1"/>
    <col min="31" max="31" width="6.44140625" style="18" customWidth="1"/>
    <col min="32" max="32" width="7.6640625" style="4" customWidth="1"/>
    <col min="33" max="33" width="7.88671875" style="3" customWidth="1"/>
    <col min="34" max="34" width="6.77734375" style="4" customWidth="1"/>
    <col min="35" max="35" width="5.5546875" style="3" customWidth="1"/>
    <col min="36" max="36" width="6.77734375" style="4" customWidth="1"/>
    <col min="37" max="37" width="5.88671875" style="19" customWidth="1"/>
    <col min="38" max="38" width="6.77734375" style="4" customWidth="1"/>
    <col min="39" max="39" width="6.77734375" style="6" customWidth="1"/>
    <col min="40" max="40" width="7.21875" hidden="1" customWidth="1"/>
    <col min="41" max="41" width="7.88671875" style="4" hidden="1" customWidth="1"/>
    <col min="42" max="42" width="7.6640625" hidden="1" customWidth="1"/>
    <col min="43" max="43" width="8" style="6" customWidth="1"/>
    <col min="44" max="44" width="7.21875" style="11" customWidth="1"/>
    <col min="45" max="48" width="2.5546875" style="39" hidden="1" customWidth="1"/>
    <col min="49" max="49" width="2.5546875" hidden="1" customWidth="1"/>
    <col min="50" max="50" width="2.5546875" style="16" hidden="1" customWidth="1"/>
    <col min="51" max="52" width="2.5546875" style="9" hidden="1" customWidth="1"/>
    <col min="53" max="55" width="7.33203125" style="6" customWidth="1"/>
    <col min="56" max="56" width="7.33203125" style="12" customWidth="1"/>
    <col min="57" max="59" width="8" customWidth="1"/>
    <col min="60" max="60" width="8" style="11" customWidth="1"/>
    <col min="61" max="62" width="8.44140625" customWidth="1"/>
    <col min="63" max="63" width="8.77734375" customWidth="1"/>
    <col min="64" max="64" width="8" style="39" customWidth="1"/>
    <col min="65" max="65" width="0.77734375" style="57" customWidth="1"/>
    <col min="66" max="66" width="7.21875" style="6" customWidth="1"/>
    <col min="67" max="67" width="7.33203125" style="6" customWidth="1"/>
    <col min="68" max="68" width="7.109375" style="6" customWidth="1"/>
    <col min="69" max="69" width="7.109375" style="12" customWidth="1"/>
    <col min="70" max="72" width="7.77734375" customWidth="1"/>
    <col min="73" max="73" width="7.77734375" style="11" customWidth="1"/>
    <col min="74" max="74" width="9.88671875" customWidth="1"/>
    <col min="75" max="76" width="9.5546875" customWidth="1"/>
    <col min="77" max="77" width="9.109375" style="11" customWidth="1"/>
    <col min="84" max="85" width="17.44140625" style="39" customWidth="1"/>
    <col min="86" max="86" width="18.33203125" style="39" customWidth="1"/>
    <col min="87" max="87" width="4.77734375" style="39" customWidth="1"/>
    <col min="88" max="88" width="7.21875" style="39" customWidth="1"/>
    <col min="89" max="89" width="11.44140625" style="39" customWidth="1"/>
    <col min="90" max="90" width="16.21875" style="39" customWidth="1"/>
  </cols>
  <sheetData>
    <row r="1" spans="1:90" ht="27.6">
      <c r="A1" s="36" t="s">
        <v>236</v>
      </c>
      <c r="B1" s="84" t="s">
        <v>389</v>
      </c>
      <c r="C1" s="66"/>
      <c r="D1" s="67"/>
      <c r="E1" s="68"/>
      <c r="F1" s="69" t="s">
        <v>13</v>
      </c>
      <c r="G1" s="71" t="s">
        <v>243</v>
      </c>
      <c r="H1" s="71" t="s">
        <v>28</v>
      </c>
      <c r="I1" s="71" t="s">
        <v>238</v>
      </c>
      <c r="J1" s="71" t="s">
        <v>12</v>
      </c>
      <c r="K1" s="70"/>
      <c r="L1" s="72" t="s">
        <v>3</v>
      </c>
      <c r="M1" s="113"/>
      <c r="N1" s="66"/>
      <c r="O1" s="66" t="s">
        <v>5</v>
      </c>
      <c r="P1" s="73" t="s">
        <v>6</v>
      </c>
      <c r="Q1" s="71" t="s">
        <v>239</v>
      </c>
      <c r="R1" s="74"/>
      <c r="S1" s="52"/>
      <c r="T1" s="52"/>
      <c r="U1" s="52"/>
      <c r="V1" s="52"/>
      <c r="W1" s="52"/>
      <c r="X1" s="52"/>
      <c r="Y1" s="52"/>
      <c r="Z1" s="52"/>
      <c r="AA1" s="52"/>
      <c r="AB1" s="85" t="s">
        <v>390</v>
      </c>
      <c r="AC1" s="75"/>
      <c r="AD1" s="76"/>
      <c r="AE1" s="77"/>
      <c r="AF1" s="78" t="s">
        <v>13</v>
      </c>
      <c r="AG1" s="91" t="s">
        <v>243</v>
      </c>
      <c r="AH1" s="80" t="s">
        <v>28</v>
      </c>
      <c r="AI1" s="80" t="s">
        <v>237</v>
      </c>
      <c r="AJ1" s="80" t="s">
        <v>12</v>
      </c>
      <c r="AK1" s="79"/>
      <c r="AL1" s="81" t="s">
        <v>3</v>
      </c>
      <c r="AM1" s="75"/>
      <c r="AN1" s="75"/>
      <c r="AO1" s="80" t="s">
        <v>10</v>
      </c>
      <c r="AP1" s="80" t="s">
        <v>394</v>
      </c>
      <c r="AQ1" s="80" t="s">
        <v>239</v>
      </c>
      <c r="AR1" s="82"/>
      <c r="AS1" s="109"/>
      <c r="AT1" s="109"/>
      <c r="AU1" s="109"/>
      <c r="AV1" s="109"/>
      <c r="AW1" s="26"/>
      <c r="AX1" s="27"/>
      <c r="AY1" s="28"/>
      <c r="AZ1" s="28"/>
      <c r="BA1" s="160" t="s">
        <v>391</v>
      </c>
      <c r="BB1" s="161"/>
      <c r="BC1" s="161"/>
      <c r="BD1" s="161"/>
      <c r="BE1" s="161"/>
      <c r="BF1" s="161"/>
      <c r="BG1" s="161"/>
      <c r="BH1" s="161"/>
      <c r="BI1" s="161"/>
      <c r="BJ1" s="161"/>
      <c r="BK1" s="161"/>
      <c r="BL1" s="162"/>
      <c r="BM1" s="56"/>
      <c r="BN1" s="151" t="s">
        <v>393</v>
      </c>
      <c r="BO1" s="152"/>
      <c r="BP1" s="152"/>
      <c r="BQ1" s="152"/>
      <c r="BR1" s="152"/>
      <c r="BS1" s="152"/>
      <c r="BT1" s="152"/>
      <c r="BU1" s="152"/>
      <c r="BV1" s="152"/>
      <c r="BW1" s="152"/>
      <c r="BX1" s="152"/>
      <c r="BY1" s="153"/>
      <c r="CF1" s="99"/>
      <c r="CG1" s="99"/>
      <c r="CH1" s="99"/>
      <c r="CI1" s="99"/>
      <c r="CJ1" s="99"/>
      <c r="CK1" s="99"/>
      <c r="CL1" s="99"/>
    </row>
    <row r="2" spans="1:90">
      <c r="A2" s="35"/>
      <c r="B2" s="111" t="s">
        <v>0</v>
      </c>
      <c r="C2" s="83"/>
      <c r="D2" s="32"/>
      <c r="E2" s="2">
        <f>F2/G2-1</f>
        <v>1.5967874961128059E-2</v>
      </c>
      <c r="F2" s="5">
        <f>RTD("wdf.rtq",,B2,"LastPrice")</f>
        <v>3757.1</v>
      </c>
      <c r="G2" s="4">
        <f>RTD("wdf.rtq",,B2,"PreClose")</f>
        <v>3698.05</v>
      </c>
      <c r="H2" s="6">
        <v>100</v>
      </c>
      <c r="I2" s="3">
        <v>1</v>
      </c>
      <c r="J2" s="5">
        <v>16.5</v>
      </c>
      <c r="K2" s="37"/>
      <c r="L2" s="5">
        <f>[1]!s_dq_preclose(B2,"",1)</f>
        <v>3698.0472</v>
      </c>
      <c r="O2" s="1">
        <v>0.1</v>
      </c>
      <c r="P2" s="5">
        <v>0.5</v>
      </c>
      <c r="Q2" s="30">
        <v>1</v>
      </c>
      <c r="R2" s="98">
        <f ca="1">IF(NOW()-TODAY()&lt;17/24,[1]!td(TODAY()-1),[1]!td(TODAY()))+0</f>
        <v>43916</v>
      </c>
      <c r="AB2" s="111" t="s">
        <v>0</v>
      </c>
      <c r="AD2" s="92"/>
      <c r="AE2" s="2">
        <f>AF2/AG2-1</f>
        <v>1.5967874961128059E-2</v>
      </c>
      <c r="AF2" s="4">
        <f>RTD("wdf.rtq",,AB2,"LastPrice")</f>
        <v>3757.1</v>
      </c>
      <c r="AG2" s="4">
        <f>RTD("wdf.rtq",,AB2,"PreClose")</f>
        <v>3698.05</v>
      </c>
      <c r="AH2" s="6">
        <v>100</v>
      </c>
      <c r="AI2" s="3">
        <v>1</v>
      </c>
      <c r="AJ2" s="5">
        <v>16.5</v>
      </c>
      <c r="AK2" s="37"/>
      <c r="AL2" s="4">
        <f>[1]!s_dq_preclose(AB2,"",1)</f>
        <v>3698.0472</v>
      </c>
      <c r="AM2"/>
      <c r="AO2" s="1">
        <v>0.1</v>
      </c>
      <c r="AP2" s="1">
        <v>0.5</v>
      </c>
      <c r="AQ2" s="30">
        <v>1</v>
      </c>
      <c r="AR2" s="98">
        <f ca="1">R2</f>
        <v>43916</v>
      </c>
      <c r="AS2" s="98"/>
      <c r="AT2" s="98"/>
      <c r="AU2" s="98"/>
      <c r="AV2" s="98"/>
      <c r="BA2" s="6">
        <v>2</v>
      </c>
      <c r="BB2" s="15">
        <v>1E-4</v>
      </c>
      <c r="BC2" s="3">
        <f>BA2*BB2</f>
        <v>2.0000000000000001E-4</v>
      </c>
      <c r="BD2" s="12" t="s">
        <v>15</v>
      </c>
      <c r="BE2" s="142" t="s">
        <v>395</v>
      </c>
      <c r="BG2">
        <v>0.12</v>
      </c>
      <c r="BI2" s="142" t="s">
        <v>396</v>
      </c>
      <c r="BK2" s="23">
        <v>0.01</v>
      </c>
      <c r="BN2" s="6">
        <v>2</v>
      </c>
      <c r="BO2" s="15">
        <v>1E-4</v>
      </c>
      <c r="BP2" s="3">
        <f>BN2*BO2</f>
        <v>2.0000000000000001E-4</v>
      </c>
      <c r="BQ2" s="12" t="s">
        <v>15</v>
      </c>
      <c r="BR2" s="142" t="s">
        <v>395</v>
      </c>
      <c r="BT2">
        <v>0.12</v>
      </c>
      <c r="BV2" s="142" t="s">
        <v>396</v>
      </c>
      <c r="BX2" s="23">
        <v>-6.0000000000000001E-3</v>
      </c>
    </row>
    <row r="3" spans="1:90">
      <c r="A3" s="63"/>
      <c r="B3" s="2">
        <f>AG2/G2*1000-1</f>
        <v>999</v>
      </c>
      <c r="D3" s="32"/>
      <c r="G3" s="22">
        <f>SUM(G6:G553)/$AI$2</f>
        <v>12776</v>
      </c>
      <c r="H3" s="6">
        <f>[1]!w_info_strikeratio(#REF!,"")</f>
        <v>0</v>
      </c>
      <c r="I3" s="22">
        <f>SUM(I6:I553)</f>
        <v>264</v>
      </c>
      <c r="J3" s="5"/>
      <c r="K3" s="22">
        <f>SUM(K6:K553)</f>
        <v>187</v>
      </c>
      <c r="O3"/>
      <c r="P3" s="6"/>
      <c r="R3" s="22">
        <f ca="1">SUM(R6:R553)</f>
        <v>17435</v>
      </c>
      <c r="S3" s="22"/>
      <c r="T3" s="22"/>
      <c r="U3" s="22"/>
      <c r="V3" s="22"/>
      <c r="W3" s="22"/>
      <c r="X3" s="22"/>
      <c r="Y3" s="22"/>
      <c r="Z3" s="22"/>
      <c r="AA3" s="22"/>
      <c r="AB3" s="93">
        <f>AF3/AF2-1</f>
        <v>0</v>
      </c>
      <c r="AD3" s="31"/>
      <c r="AE3" s="18" t="s">
        <v>312</v>
      </c>
      <c r="AF3" s="4">
        <f>AF2</f>
        <v>3757.1</v>
      </c>
      <c r="AG3" s="22">
        <f>SUM(AG6:AG553)/$AI$2</f>
        <v>7482</v>
      </c>
      <c r="AH3" s="6">
        <v>100</v>
      </c>
      <c r="AI3" s="22">
        <v>1</v>
      </c>
      <c r="AJ3" s="38">
        <v>1.3</v>
      </c>
      <c r="AK3" s="22">
        <f>SUM(AK6:AK553)/$AI$2</f>
        <v>88</v>
      </c>
      <c r="AL3" s="7"/>
      <c r="AM3" s="1"/>
      <c r="AN3" s="1"/>
      <c r="AO3"/>
      <c r="AP3" s="6"/>
      <c r="AQ3" s="86">
        <v>1</v>
      </c>
      <c r="AR3" s="16">
        <f ca="1">SUM(AR6:AR553)</f>
        <v>12889</v>
      </c>
      <c r="AS3" s="22"/>
      <c r="AT3" s="22"/>
      <c r="AU3" s="22"/>
      <c r="AV3" s="22"/>
      <c r="BA3" s="6">
        <v>2</v>
      </c>
      <c r="BB3" s="15">
        <v>1E-4</v>
      </c>
      <c r="BC3" s="15">
        <f>BA3*BB3</f>
        <v>2.0000000000000001E-4</v>
      </c>
      <c r="BD3" s="12" t="s">
        <v>15</v>
      </c>
      <c r="BE3" s="23">
        <f t="shared" ref="BE3:BL3" ca="1" si="0">AVERAGE(BE6:BE553)</f>
        <v>9.1306395607351626E-3</v>
      </c>
      <c r="BF3" s="23">
        <f t="shared" ca="1" si="0"/>
        <v>-8.3905701765696911E-3</v>
      </c>
      <c r="BG3" s="23">
        <f t="shared" ca="1" si="0"/>
        <v>1.6064330114388539E-2</v>
      </c>
      <c r="BH3" s="24">
        <f t="shared" ca="1" si="0"/>
        <v>1.6064357890261852E-2</v>
      </c>
      <c r="BI3" s="23">
        <f t="shared" ca="1" si="0"/>
        <v>5.4877226183190084E-3</v>
      </c>
      <c r="BJ3" s="23">
        <f t="shared" ca="1" si="0"/>
        <v>-7.5609798989551016E-2</v>
      </c>
      <c r="BK3" s="23">
        <f t="shared" ca="1" si="0"/>
        <v>0.10819086489303609</v>
      </c>
      <c r="BL3" s="24">
        <f t="shared" ca="1" si="0"/>
        <v>0.10819112536768712</v>
      </c>
      <c r="BN3" s="6">
        <v>2</v>
      </c>
      <c r="BO3" s="15">
        <v>1E-4</v>
      </c>
      <c r="BP3" s="15">
        <f>BN3*BO3</f>
        <v>2.0000000000000001E-4</v>
      </c>
      <c r="BQ3" s="12" t="s">
        <v>15</v>
      </c>
      <c r="BR3" s="23">
        <f t="shared" ref="BR3:BY3" ca="1" si="1">AVERAGE(BR6:BR553)</f>
        <v>4.1914227155597005E-5</v>
      </c>
      <c r="BS3" s="23">
        <f t="shared" ca="1" si="1"/>
        <v>-4.4641452013768859E-2</v>
      </c>
      <c r="BT3" s="23">
        <f t="shared" ca="1" si="1"/>
        <v>5.3171317978940785E-2</v>
      </c>
      <c r="BU3" s="24">
        <f t="shared" ca="1" si="1"/>
        <v>5.3171424363706296E-2</v>
      </c>
      <c r="BV3" s="23">
        <f t="shared" ca="1" si="1"/>
        <v>8.9563830355747012E-2</v>
      </c>
      <c r="BW3" s="23">
        <f t="shared" ca="1" si="1"/>
        <v>-0.32937083382352222</v>
      </c>
      <c r="BX3" s="23">
        <f t="shared" ca="1" si="1"/>
        <v>0.49061386632354148</v>
      </c>
      <c r="BY3" s="24">
        <f t="shared" ca="1" si="1"/>
        <v>0.49061502730181822</v>
      </c>
    </row>
    <row r="4" spans="1:90">
      <c r="A4" s="62"/>
      <c r="B4" s="154" t="s">
        <v>231</v>
      </c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6"/>
      <c r="S4" s="20"/>
      <c r="T4" s="20"/>
      <c r="U4" s="20"/>
      <c r="V4" s="20"/>
      <c r="W4" s="20"/>
      <c r="X4" s="20"/>
      <c r="Y4" s="20"/>
      <c r="Z4" s="20"/>
      <c r="AA4" s="20"/>
      <c r="AB4" s="157" t="s">
        <v>232</v>
      </c>
      <c r="AC4" s="158"/>
      <c r="AD4" s="158"/>
      <c r="AE4" s="158"/>
      <c r="AF4" s="158"/>
      <c r="AG4" s="158"/>
      <c r="AH4" s="158"/>
      <c r="AI4" s="158"/>
      <c r="AJ4" s="158"/>
      <c r="AK4" s="158"/>
      <c r="AL4" s="158"/>
      <c r="AM4" s="158"/>
      <c r="AN4" s="158"/>
      <c r="AO4" s="158"/>
      <c r="AP4" s="158"/>
      <c r="AQ4" s="158"/>
      <c r="AR4" s="159"/>
      <c r="AS4" s="97"/>
      <c r="AT4" s="97"/>
      <c r="AU4" s="97"/>
      <c r="AV4" s="97"/>
      <c r="AW4" s="51"/>
      <c r="AX4" s="33"/>
      <c r="AY4" s="21"/>
      <c r="AZ4" s="21"/>
      <c r="BA4" s="148" t="s">
        <v>25</v>
      </c>
      <c r="BB4" s="148"/>
      <c r="BC4" s="148"/>
      <c r="BD4" s="149"/>
      <c r="BE4" s="150" t="s">
        <v>233</v>
      </c>
      <c r="BF4" s="148"/>
      <c r="BG4" s="148"/>
      <c r="BH4" s="149"/>
      <c r="BI4" s="150" t="s">
        <v>14</v>
      </c>
      <c r="BJ4" s="148"/>
      <c r="BK4" s="148"/>
      <c r="BL4" s="148"/>
      <c r="BM4" s="58"/>
      <c r="BN4" s="146" t="s">
        <v>234</v>
      </c>
      <c r="BO4" s="146"/>
      <c r="BP4" s="146"/>
      <c r="BQ4" s="147"/>
      <c r="BR4" s="145" t="s">
        <v>233</v>
      </c>
      <c r="BS4" s="146"/>
      <c r="BT4" s="146"/>
      <c r="BU4" s="147"/>
      <c r="BV4" s="145" t="s">
        <v>14</v>
      </c>
      <c r="BW4" s="146"/>
      <c r="BX4" s="146"/>
      <c r="BY4" s="147"/>
      <c r="CF4" s="39" t="str">
        <f>CI4&amp;LEFT(CK4,8)&amp;CJ4*1000&amp;".CFE"</f>
        <v>C2020-03-3300.CFE</v>
      </c>
      <c r="CG4" s="39" t="str">
        <f>IF(CI4="C","P","C")&amp;MID(CF4,2,99)</f>
        <v>P2020-03-3300.CFE</v>
      </c>
      <c r="CH4" s="95" t="s">
        <v>218</v>
      </c>
      <c r="CI4" s="100" t="str">
        <f>IF([1]!w_info_callput(CH4)="认购","C","P")</f>
        <v>C</v>
      </c>
      <c r="CJ4" s="101">
        <f>[1]!w_info_strikeprice(CH4,"")</f>
        <v>3.3</v>
      </c>
      <c r="CK4" s="102" t="str">
        <f>[1]!w_info_lasttradingdate(CH4)</f>
        <v>2020-03-25</v>
      </c>
      <c r="CL4" s="39" t="e">
        <f>VLOOKUP(CG4,CF:CH,3,0)</f>
        <v>#N/A</v>
      </c>
    </row>
    <row r="5" spans="1:90" ht="41.4">
      <c r="A5" s="41" t="s">
        <v>235</v>
      </c>
      <c r="B5" s="42" t="s">
        <v>26</v>
      </c>
      <c r="C5" s="64" t="s">
        <v>29</v>
      </c>
      <c r="D5" s="65" t="s">
        <v>1</v>
      </c>
      <c r="E5" s="44" t="s">
        <v>11</v>
      </c>
      <c r="F5" s="42" t="s">
        <v>16</v>
      </c>
      <c r="G5" s="45" t="s">
        <v>17</v>
      </c>
      <c r="H5" s="42" t="s">
        <v>18</v>
      </c>
      <c r="I5" s="45" t="s">
        <v>19</v>
      </c>
      <c r="J5" s="42" t="s">
        <v>20</v>
      </c>
      <c r="K5" s="45" t="s">
        <v>21</v>
      </c>
      <c r="L5" s="46" t="s">
        <v>2</v>
      </c>
      <c r="M5" s="47" t="s">
        <v>8</v>
      </c>
      <c r="N5" s="42" t="s">
        <v>22</v>
      </c>
      <c r="O5" s="46" t="s">
        <v>23</v>
      </c>
      <c r="P5" s="42" t="s">
        <v>24</v>
      </c>
      <c r="Q5" s="47" t="s">
        <v>4</v>
      </c>
      <c r="R5" s="48" t="s">
        <v>7</v>
      </c>
      <c r="S5" s="42"/>
      <c r="T5" s="42"/>
      <c r="U5" s="42"/>
      <c r="V5" s="42"/>
      <c r="W5" s="42"/>
      <c r="X5" s="42"/>
      <c r="Y5" s="42"/>
      <c r="Z5" s="42"/>
      <c r="AA5" s="42"/>
      <c r="AB5" s="60" t="s">
        <v>27</v>
      </c>
      <c r="AC5" s="64" t="s">
        <v>29</v>
      </c>
      <c r="AD5" s="43" t="s">
        <v>1</v>
      </c>
      <c r="AE5" s="65" t="s">
        <v>11</v>
      </c>
      <c r="AF5" s="42" t="s">
        <v>16</v>
      </c>
      <c r="AG5" s="45" t="s">
        <v>17</v>
      </c>
      <c r="AH5" s="42" t="s">
        <v>18</v>
      </c>
      <c r="AI5" s="45" t="s">
        <v>19</v>
      </c>
      <c r="AJ5" s="42" t="s">
        <v>20</v>
      </c>
      <c r="AK5" s="45" t="s">
        <v>21</v>
      </c>
      <c r="AL5" s="46" t="s">
        <v>2</v>
      </c>
      <c r="AM5" s="47" t="s">
        <v>8</v>
      </c>
      <c r="AN5" s="42" t="s">
        <v>22</v>
      </c>
      <c r="AO5" s="46" t="s">
        <v>23</v>
      </c>
      <c r="AP5" s="42" t="s">
        <v>24</v>
      </c>
      <c r="AQ5" s="47" t="s">
        <v>4</v>
      </c>
      <c r="AR5" s="48" t="s">
        <v>7</v>
      </c>
      <c r="AS5" s="103"/>
      <c r="AT5" s="103"/>
      <c r="AU5" s="103"/>
      <c r="AV5" s="103"/>
      <c r="AW5" s="25"/>
      <c r="AX5" s="49"/>
      <c r="AY5" s="50"/>
      <c r="AZ5" s="50"/>
      <c r="BA5" s="87" t="s">
        <v>241</v>
      </c>
      <c r="BB5" s="87" t="s">
        <v>242</v>
      </c>
      <c r="BC5" s="87" t="str">
        <f>"本方
一档
 + "&amp;BA2&amp;" 跳"</f>
        <v>本方
一档
 + 2 跳</v>
      </c>
      <c r="BD5" s="88" t="s">
        <v>240</v>
      </c>
      <c r="BE5" s="87" t="str">
        <f>BA5</f>
        <v>最新
价</v>
      </c>
      <c r="BF5" s="87" t="str">
        <f>BB5</f>
        <v>对手
盘</v>
      </c>
      <c r="BG5" s="87" t="str">
        <f>BC5</f>
        <v>本方
一档
 + 2 跳</v>
      </c>
      <c r="BH5" s="88" t="str">
        <f>BD5</f>
        <v>本方
一档</v>
      </c>
      <c r="BI5" s="87" t="str">
        <f>BA5</f>
        <v>最新
价</v>
      </c>
      <c r="BJ5" s="87" t="str">
        <f>BB5</f>
        <v>对手
盘</v>
      </c>
      <c r="BK5" s="87" t="str">
        <f>BC5</f>
        <v>本方
一档
 + 2 跳</v>
      </c>
      <c r="BL5" s="89" t="str">
        <f>BD5</f>
        <v>本方
一档</v>
      </c>
      <c r="BM5" s="90"/>
      <c r="BN5" s="87" t="s">
        <v>241</v>
      </c>
      <c r="BO5" s="87" t="s">
        <v>242</v>
      </c>
      <c r="BP5" s="87" t="str">
        <f>"本方
一档
 + "&amp;BN2&amp;" 跳"</f>
        <v>本方
一档
 + 2 跳</v>
      </c>
      <c r="BQ5" s="88" t="s">
        <v>240</v>
      </c>
      <c r="BR5" s="87" t="str">
        <f>BN5</f>
        <v>最新
价</v>
      </c>
      <c r="BS5" s="87" t="str">
        <f>BO5</f>
        <v>对手
盘</v>
      </c>
      <c r="BT5" s="87" t="str">
        <f>BP5</f>
        <v>本方
一档
 + 2 跳</v>
      </c>
      <c r="BU5" s="88" t="str">
        <f>BQ5</f>
        <v>本方
一档</v>
      </c>
      <c r="BV5" s="87" t="str">
        <f>BN5</f>
        <v>最新
价</v>
      </c>
      <c r="BW5" s="87" t="str">
        <f>BO5</f>
        <v>对手
盘</v>
      </c>
      <c r="BX5" s="87" t="str">
        <f>BP5</f>
        <v>本方
一档
 + 2 跳</v>
      </c>
      <c r="BY5" s="88" t="str">
        <f>BQ5</f>
        <v>本方
一档</v>
      </c>
      <c r="CF5" s="103"/>
      <c r="CG5" s="103"/>
      <c r="CH5" s="103"/>
      <c r="CI5" s="103"/>
      <c r="CJ5" s="103"/>
      <c r="CK5" s="103"/>
      <c r="CL5" s="103"/>
    </row>
    <row r="6" spans="1:90">
      <c r="A6" s="35">
        <f t="shared" ref="A6:A37" si="2">AND(D6=AD6,E6=AE6,C6&lt;&gt;AC6)+0</f>
        <v>1</v>
      </c>
      <c r="B6" s="112" t="s">
        <v>313</v>
      </c>
      <c r="C6" s="29" t="str">
        <f>IF([1]!w_info_callput(B6)="认购","C","P")</f>
        <v>C</v>
      </c>
      <c r="D6" s="96">
        <f>[1]!w_info_strikeprice(B6,"")</f>
        <v>3200</v>
      </c>
      <c r="E6" s="18" t="str">
        <f>[1]!w_info_lasttradingdate(B6)</f>
        <v>2020-04-17</v>
      </c>
      <c r="F6" s="4">
        <f>IF(G6&gt;0,RTD("wdf.rtq",,$B6,F$5),0)</f>
        <v>544.79999999999995</v>
      </c>
      <c r="G6" s="53">
        <f>RTD("wdf.rtq",,$B6,G$5)</f>
        <v>23</v>
      </c>
      <c r="H6" s="4">
        <f>RTD("wdf.rtq",,$B6,H$5)</f>
        <v>536</v>
      </c>
      <c r="I6" s="53">
        <f>RTD("wdf.rtq",,$B6,I$5)</f>
        <v>1</v>
      </c>
      <c r="J6" s="4">
        <f>RTD("wdf.rtq",,$B6,J$5)</f>
        <v>564</v>
      </c>
      <c r="K6" s="54">
        <f>RTD("wdf.rtq",,$B6,K$5)</f>
        <v>1</v>
      </c>
      <c r="L6" s="4">
        <f>[1]!s_dq_presettle(B6,"")</f>
        <v>480.6</v>
      </c>
      <c r="M6" s="6">
        <f>IF(C6="P",MAX($F$2-D6,0),MAX(0,D6-$F$2))</f>
        <v>0</v>
      </c>
      <c r="N6" s="3">
        <f>AH$2*AI$2*F6</f>
        <v>54479.999999999993</v>
      </c>
      <c r="O6" s="4">
        <f>($F$2*$O$2-M6)*H$2</f>
        <v>37571</v>
      </c>
      <c r="P6" s="4">
        <f>$O$2*$P$2*D6*H$2</f>
        <v>16000</v>
      </c>
      <c r="Q6" s="8">
        <f>I$2*(N6+MAX(O6,P6))*$Q$2+0.01</f>
        <v>92051.01</v>
      </c>
      <c r="R6" s="55">
        <f ca="1">IF(NOW()-TODAY()&gt;15/24, G6, [1]!s_dq_volume(B6,R$2,1))/$AI$2</f>
        <v>41</v>
      </c>
      <c r="AB6" s="39" t="s">
        <v>315</v>
      </c>
      <c r="AC6" s="29" t="str">
        <f>IF([1]!w_info_callput(AB6)="认购","C","P")</f>
        <v>P</v>
      </c>
      <c r="AD6" s="31">
        <f>[1]!w_info_strikeprice(AB6,"")</f>
        <v>3200</v>
      </c>
      <c r="AE6" s="18" t="str">
        <f>[1]!w_info_lasttradingdate(AB6)</f>
        <v>2020-04-17</v>
      </c>
      <c r="AF6" s="4">
        <f>RTD("wdf.rtq",,$AB6,F$5)</f>
        <v>12.8</v>
      </c>
      <c r="AG6" s="53">
        <f>RTD("wdf.rtq",,$AB6,G$5)</f>
        <v>333</v>
      </c>
      <c r="AH6" s="4">
        <f>RTD("wdf.rtq",,$AB6,H$5)</f>
        <v>12.6</v>
      </c>
      <c r="AI6" s="53">
        <f>RTD("wdf.rtq",,$AB6,I$5)</f>
        <v>8</v>
      </c>
      <c r="AJ6" s="4">
        <f>RTD("wdf.rtq",,$AB6,J$5)</f>
        <v>22.400000000000002</v>
      </c>
      <c r="AK6" s="54">
        <f>RTD("wdf.rtq",,$AB6,K$5)</f>
        <v>5</v>
      </c>
      <c r="AL6" s="4">
        <f>[1]!s_dq_presettle(AB6,"")</f>
        <v>19.2</v>
      </c>
      <c r="AM6" s="6">
        <f t="shared" ref="AM6" si="3">IF(AC6="P",MAX($AF$2-AD6,0),MAX(0,AD6-$AF$2))</f>
        <v>557.09999999999991</v>
      </c>
      <c r="AN6" s="6">
        <f t="shared" ref="AN6" si="4">AH$2*AI$2*AF6</f>
        <v>1280</v>
      </c>
      <c r="AO6" s="6">
        <f>($AF$2*$AO$2-AM6)*$AH$2</f>
        <v>-18138.999999999985</v>
      </c>
      <c r="AP6" s="4">
        <f>$AO$2*$AP$2*AD6*AH$2</f>
        <v>16000</v>
      </c>
      <c r="AQ6" s="8">
        <f>AI$2*(AN6+MAX(AO6,AP6))*$AQ$2+0.01</f>
        <v>17280.009999999998</v>
      </c>
      <c r="AR6" s="55">
        <f ca="1">IF(NOW()-TODAY()&gt;15/24, AG6, [1]!s_dq_volume(AB6,AR$2,1))/AI$2</f>
        <v>678</v>
      </c>
      <c r="AS6" s="110"/>
      <c r="AT6" s="110"/>
      <c r="AU6" s="110"/>
      <c r="AV6" s="110"/>
      <c r="AY6" s="10"/>
      <c r="AZ6" s="10"/>
      <c r="BA6" s="6">
        <f ca="1">IF(AND(F6&gt;0,AF6&gt;0),AH$2*AI$2*((F6-AF6)-($AF$3-D6)+$AF$3*$BK$2*(AE6+1-TODAY())/30)-2*$AI$2*$AJ$2-2*$AI$2*$AJ$2,0)</f>
        <v>179.20666666667557</v>
      </c>
      <c r="BB6" s="6">
        <f ca="1">IF(AND(H6&gt;0,AJ6&gt;0),AH$2*AI$2*((H6-AJ6)-($AF$3-D6)+$AF$3*$BK$2*(AE6+1-TODAY())/30)-2*$AI$2*$AJ$2-2*$AI$2*$AJ$2,0)</f>
        <v>-1660.7933333333222</v>
      </c>
      <c r="BC6" s="6">
        <f ca="1">IF(AND(J6&gt;0,AH6&gt;0),AH$2*AI$2*((J6-AH6)-($AF$3-D6)+$AF$3*$BK$2*(AE6+1-TODAY())/30)-2*$AI$2*$AJ$2-2*$AI$2*$AJ$2-H$2*I$2*$BC$2-AH$2*AI$2*$BC$3,0)</f>
        <v>2119.1666666666733</v>
      </c>
      <c r="BD6" s="12">
        <f ca="1">IF(AND(J6&gt;0,AH6&gt;0),AH$2*AI$2*((J6-AH6)-($AF$3-D6)+$AF$3*$BK$2*(AE6+1-TODAY())/30)-2*$AI$2*$AJ$2-2*$AI$2*$AJ$2,0)</f>
        <v>2119.2066666666733</v>
      </c>
      <c r="BE6" s="2">
        <f t="shared" ref="BE6:BE37" ca="1" si="5">BA6/(Q6+AH$2*AI$2*($AF$3+AF6))</f>
        <v>3.8207035812641538E-4</v>
      </c>
      <c r="BF6" s="2">
        <f t="shared" ref="BF6:BF37" ca="1" si="6">BB6/(Q6+AH$2*AI$2*($AF$3+AJ6))</f>
        <v>-3.5335952434087793E-3</v>
      </c>
      <c r="BG6" s="2">
        <f t="shared" ref="BG6:BG37" ca="1" si="7">BC6/(Q6+AH$2*AI$2*($AF$3+AH6+$BC$3))</f>
        <v>4.5182764335037883E-3</v>
      </c>
      <c r="BH6" s="13">
        <f t="shared" ref="BH6:BH37" ca="1" si="8">BD6/(Q6+AH$2*AI$2*($AF$3+AH6))</f>
        <v>4.5183619101981662E-3</v>
      </c>
      <c r="BI6" s="2">
        <f t="shared" ref="BI6:BI37" ca="1" si="9">BE6*365/(AE6+1-TODAY())</f>
        <v>6.3388945780064373E-3</v>
      </c>
      <c r="BJ6" s="2">
        <f t="shared" ref="BJ6:BJ37" ca="1" si="10">BF6*365/(AE6+1-TODAY())</f>
        <v>-5.8625557447463832E-2</v>
      </c>
      <c r="BK6" s="2">
        <f t="shared" ref="BK6:BK37" ca="1" si="11">BG6*365/(AE6+1-TODAY())</f>
        <v>7.4962313555858306E-2</v>
      </c>
      <c r="BL6" s="40">
        <f t="shared" ref="BL6:BL37" ca="1" si="12">BH6*365/(AE6+1-TODAY())</f>
        <v>7.4963731691924121E-2</v>
      </c>
      <c r="BN6" s="6">
        <f ca="1">IF(AND(F6&gt;0,AF6&gt;0),AH$2*AI$2*(-F6+AF6+($AF$3-D6)+$AF$3*$BX$2*(AE6+1-TODAY())/30)-2*$AI$2*$AJ$2-2*$AI$2*$AJ$2,0)</f>
        <v>790.87599999999088</v>
      </c>
      <c r="BO6" s="6">
        <f ca="1">IF(AND(J6&gt;0,AH6&gt;0),AH$2*AI$2*((-J6+AH6)+($AF$3-D6)+$AF$3*$BX$2*(AE6+1-TODAY())/30)-2*$AI$2*$AJ$2-2*$AI$2*$AJ$2,0)</f>
        <v>-1149.1240000000068</v>
      </c>
      <c r="BP6" s="6">
        <f ca="1">IF(AND(H6&gt;0,AJ6&gt;0),AH$2*AI$2*((-H6+AJ6)+($AF$3-D6)+$AF$3*$BX$2*(AE6+1-TODAY())/30)-2*$AI$2*$AJ$2-2*$AI$2*$AJ$2-AH$2*AI$2*$BC$2-AH$2*AI$2*$BC$3,0)</f>
        <v>2630.8359999999884</v>
      </c>
      <c r="BQ6" s="12">
        <f ca="1">IF(AND(H6&gt;0,AJ6&gt;0),AH$2*AI$2*((-H6+AJ6)+($AF$3-D6)+$AF$3*$BX$2*(AE6+1-TODAY())/30)-2*$AI$2*$AJ$2-2*$AI$2*$AJ$2,0)</f>
        <v>2630.8759999999884</v>
      </c>
      <c r="BR6" s="2">
        <f t="shared" ref="BR6:BR37" ca="1" si="13">BN6/(AQ6+AH$2*AI$2*(F6+0.12*$AF$3))</f>
        <v>6.768578703397349E-3</v>
      </c>
      <c r="BS6" s="2">
        <f t="shared" ref="BS6:BS37" ca="1" si="14">BO6/(AQ6+H$2*I$2*(J6+0.12*$AF$3))</f>
        <v>-9.6755943933413413E-3</v>
      </c>
      <c r="BT6" s="2">
        <f t="shared" ref="BT6:BT37" ca="1" si="15">BP6/(AQ6+H$2*I$2*(H6+$BP$3+0.12*$AF$3))</f>
        <v>2.2686420748701908E-2</v>
      </c>
      <c r="BU6" s="13">
        <f t="shared" ref="BU6:BU37" ca="1" si="16">BQ6/(AQ6+H$2*I$2*(H6+0.12*$AF$3))</f>
        <v>2.2686769592362991E-2</v>
      </c>
      <c r="BV6" s="2">
        <f t="shared" ref="BV6:BV37" ca="1" si="17">BR6*365/(AE6+1-TODAY())</f>
        <v>0.11229687394272875</v>
      </c>
      <c r="BW6" s="2">
        <f t="shared" ref="BW6:BW37" ca="1" si="18">BS6*365/(AE6+1-TODAY())</f>
        <v>-0.1605269069804359</v>
      </c>
      <c r="BX6" s="2">
        <f t="shared" ref="BX6:BX37" ca="1" si="19">BT6*365/(AE6+1-TODAY())</f>
        <v>0.37638834423982709</v>
      </c>
      <c r="BY6" s="13">
        <f t="shared" ref="BY6:BY37" ca="1" si="20">BU6*365/(AE6+1-TODAY())</f>
        <v>0.37639413187329507</v>
      </c>
      <c r="CF6" s="39" t="str">
        <f t="shared" ref="CF6:CF69" si="21">CI6&amp;LEFT(CK6,8)&amp;CJ6*1000&amp;".CFE"</f>
        <v>C2020-04-3200000.CFE</v>
      </c>
      <c r="CG6" s="39" t="str">
        <f t="shared" ref="CG6:CG69" si="22">IF(CI6="C","P","C")&amp;MID(CF6,2,99)</f>
        <v>P2020-04-3200000.CFE</v>
      </c>
      <c r="CH6" s="95" t="s">
        <v>313</v>
      </c>
      <c r="CI6" s="100" t="str">
        <f>IF([1]!w_info_callput(CH6)="认购","C","P")</f>
        <v>C</v>
      </c>
      <c r="CJ6" s="104">
        <f>[1]!w_info_strikeprice(CH6,"")</f>
        <v>3200</v>
      </c>
      <c r="CK6" s="102" t="str">
        <f>[1]!w_info_lasttradingdate(CH6)</f>
        <v>2020-04-17</v>
      </c>
      <c r="CL6" s="39" t="str">
        <f t="shared" ref="CL6:CL37" si="23">VLOOKUP(CG6,CF:CH,3,0)</f>
        <v>IO2004-P-3200.CFE</v>
      </c>
    </row>
    <row r="7" spans="1:90">
      <c r="A7" s="35">
        <f t="shared" si="2"/>
        <v>1</v>
      </c>
      <c r="B7" s="112" t="s">
        <v>314</v>
      </c>
      <c r="C7" s="29" t="str">
        <f>IF([1]!w_info_callput(B7)="认购","C","P")</f>
        <v>C</v>
      </c>
      <c r="D7" s="96">
        <f>[1]!w_info_strikeprice(B7,"")</f>
        <v>3250</v>
      </c>
      <c r="E7" s="18" t="str">
        <f>[1]!w_info_lasttradingdate(B7)</f>
        <v>2020-04-17</v>
      </c>
      <c r="F7" s="4">
        <f>IF(G7&gt;0,RTD("wdf.rtq",,$B7,F$5),0)</f>
        <v>484.8</v>
      </c>
      <c r="G7" s="53">
        <f>RTD("wdf.rtq",,$B7,G$5)</f>
        <v>4</v>
      </c>
      <c r="H7" s="4">
        <f>RTD("wdf.rtq",,$B7,H$5)</f>
        <v>0</v>
      </c>
      <c r="I7" s="53">
        <f>RTD("wdf.rtq",,$B7,I$5)</f>
        <v>0</v>
      </c>
      <c r="J7" s="4">
        <f>RTD("wdf.rtq",,$B7,J$5)</f>
        <v>0</v>
      </c>
      <c r="K7" s="54">
        <f>RTD("wdf.rtq",,$B7,K$5)</f>
        <v>0</v>
      </c>
      <c r="L7" s="4">
        <f>[1]!s_dq_presettle(B7,"")</f>
        <v>436.6</v>
      </c>
      <c r="M7" s="6">
        <f t="shared" ref="M7:M26" si="24">IF(C7="P",MAX($F$2-D7,0),MAX(0,D7-$F$2))</f>
        <v>0</v>
      </c>
      <c r="N7" s="3">
        <f t="shared" ref="N7:N25" si="25">AH$2*AI$2*F7</f>
        <v>48480</v>
      </c>
      <c r="O7" s="4">
        <f t="shared" ref="O7:O64" si="26">($F$2*$O$2-M7)*H$2</f>
        <v>37571</v>
      </c>
      <c r="P7" s="4">
        <f t="shared" ref="P7:P64" si="27">$O$2*$P$2*D7*H$2</f>
        <v>16250</v>
      </c>
      <c r="Q7" s="8">
        <f t="shared" ref="Q7:Q64" si="28">I$2*(N7+MAX(O7,P7))*$Q$2+0.01</f>
        <v>86051.01</v>
      </c>
      <c r="R7" s="55">
        <f ca="1">IF(NOW()-TODAY()&gt;15/24, G7, [1]!s_dq_volume(B7,R$2,1))/$AI$2</f>
        <v>16</v>
      </c>
      <c r="AB7" s="39" t="s">
        <v>316</v>
      </c>
      <c r="AC7" s="29" t="str">
        <f>IF([1]!w_info_callput(AB7)="认购","C","P")</f>
        <v>P</v>
      </c>
      <c r="AD7" s="31">
        <f>[1]!w_info_strikeprice(AB7,"")</f>
        <v>3250</v>
      </c>
      <c r="AE7" s="18" t="str">
        <f>[1]!w_info_lasttradingdate(AB7)</f>
        <v>2020-04-17</v>
      </c>
      <c r="AF7" s="4">
        <f>RTD("wdf.rtq",,$AB7,F$5)</f>
        <v>15.8</v>
      </c>
      <c r="AG7" s="53">
        <f>RTD("wdf.rtq",,$AB7,G$5)</f>
        <v>397</v>
      </c>
      <c r="AH7" s="4">
        <f>RTD("wdf.rtq",,$AB7,H$5)</f>
        <v>14.4</v>
      </c>
      <c r="AI7" s="53">
        <f>RTD("wdf.rtq",,$AB7,I$5)</f>
        <v>4</v>
      </c>
      <c r="AJ7" s="4">
        <f>RTD("wdf.rtq",,$AB7,J$5)</f>
        <v>22.400000000000002</v>
      </c>
      <c r="AK7" s="54">
        <f>RTD("wdf.rtq",,$AB7,K$5)</f>
        <v>1</v>
      </c>
      <c r="AL7" s="4">
        <f>[1]!s_dq_presettle(AB7,"")</f>
        <v>23.8</v>
      </c>
      <c r="AM7" s="6">
        <f t="shared" ref="AM7:AM64" si="29">IF(AC7="P",MAX($AF$2-AD7,0),MAX(0,AD7-$AF$2))</f>
        <v>507.09999999999991</v>
      </c>
      <c r="AN7" s="6">
        <f t="shared" ref="AN7:AN64" si="30">AH$2*AI$2*AF7</f>
        <v>1580</v>
      </c>
      <c r="AO7" s="6">
        <f t="shared" ref="AO7:AO64" si="31">($AF$2*$AO$2-AM7)*$AH$2</f>
        <v>-13138.999999999987</v>
      </c>
      <c r="AP7" s="4">
        <f t="shared" ref="AP7:AP64" si="32">$AO$2*$AP$2*AD7*AH$2</f>
        <v>16250</v>
      </c>
      <c r="AQ7" s="8">
        <f t="shared" ref="AQ7:AQ64" si="33">AI$2*(AN7+MAX(AO7,AP7))*$AQ$2+0.01</f>
        <v>17830.009999999998</v>
      </c>
      <c r="AR7" s="55">
        <f ca="1">IF(NOW()-TODAY()&gt;15/24, AG7, [1]!s_dq_volume(AB7,AR$2,1))/AI$2</f>
        <v>184</v>
      </c>
      <c r="AS7" s="110"/>
      <c r="AT7" s="110"/>
      <c r="AU7" s="110"/>
      <c r="AV7" s="110"/>
      <c r="AY7" s="10"/>
      <c r="AZ7" s="10"/>
      <c r="BA7" s="6">
        <f t="shared" ref="BA7:BA70" ca="1" si="34">IF(AND(F7&gt;0,AF7&gt;0),AH$2*AI$2*((F7-AF7)-($AF$3-D7)+$AF$3*$BK$2*(AE7+1-TODAY())/30)-2*$AI$2*$AJ$2-2*$AI$2*$AJ$2,0)</f>
        <v>-1120.7933333333244</v>
      </c>
      <c r="BB7" s="6">
        <f t="shared" ref="BB7:BB70" ca="1" si="35">IF(AND(H7&gt;0,AJ7&gt;0),AH$2*AI$2*((H7-AJ7)-($AF$3-D7)+$AF$3*$BK$2*(AE7+1-TODAY())/30)-2*$AI$2*$AJ$2-2*$AI$2*$AJ$2,0)</f>
        <v>0</v>
      </c>
      <c r="BC7" s="6">
        <f t="shared" ref="BC7:BC70" ca="1" si="36">IF(AND(J7&gt;0,AH7&gt;0),AH$2*AI$2*((J7-AH7)-($AF$3-D7)+$AF$3*$BK$2*(AE7+1-TODAY())/30)-2*$AI$2*$AJ$2-2*$AI$2*$AJ$2-H$2*I$2*$BC$2-AH$2*AI$2*$BC$3,0)</f>
        <v>0</v>
      </c>
      <c r="BD7" s="12">
        <f t="shared" ref="BD7:BD70" ca="1" si="37">IF(AND(J7&gt;0,AH7&gt;0),AH$2*AI$2*((J7-AH7)-($AF$3-D7)+$AF$3*$BK$2*(AE7+1-TODAY())/30)-2*$AI$2*$AJ$2-2*$AI$2*$AJ$2,0)</f>
        <v>0</v>
      </c>
      <c r="BE7" s="2">
        <f t="shared" ca="1" si="5"/>
        <v>-2.4189383394604426E-3</v>
      </c>
      <c r="BF7" s="2">
        <f t="shared" ca="1" si="6"/>
        <v>0</v>
      </c>
      <c r="BG7" s="2">
        <f t="shared" ca="1" si="7"/>
        <v>0</v>
      </c>
      <c r="BH7" s="13">
        <f t="shared" ca="1" si="8"/>
        <v>0</v>
      </c>
      <c r="BI7" s="2">
        <f t="shared" ca="1" si="9"/>
        <v>-4.0132386086502797E-2</v>
      </c>
      <c r="BJ7" s="2">
        <f t="shared" ca="1" si="10"/>
        <v>0</v>
      </c>
      <c r="BK7" s="2">
        <f t="shared" ca="1" si="11"/>
        <v>0</v>
      </c>
      <c r="BL7" s="40">
        <f t="shared" ca="1" si="12"/>
        <v>0</v>
      </c>
      <c r="BN7" s="6">
        <f t="shared" ref="BN7:BN70" ca="1" si="38">IF(AND(F7&gt;0,AF7&gt;0),AH$2*AI$2*(-F7+AF7+($AF$3-D7)+$AF$3*$BX$2*(AE7+1-TODAY())/30)-2*$AI$2*$AJ$2-2*$AI$2*$AJ$2,0)</f>
        <v>2090.8759999999907</v>
      </c>
      <c r="BO7" s="6">
        <f t="shared" ref="BO7:BO70" ca="1" si="39">IF(AND(J7&gt;0,AH7&gt;0),AH$2*AI$2*((-J7+AH7)+($AF$3-D7)+$AF$3*$BX$2*(AE7+1-TODAY())/30)-2*$AI$2*$AJ$2-2*$AI$2*$AJ$2,0)</f>
        <v>0</v>
      </c>
      <c r="BP7" s="6">
        <f t="shared" ref="BP7:BP70" ca="1" si="40">IF(AND(H7&gt;0,AJ7&gt;0),AH$2*AI$2*((-H7+AJ7)+($AF$3-D7)+$AF$3*$BX$2*(AE7+1-TODAY())/30)-2*$AI$2*$AJ$2-2*$AI$2*$AJ$2-AH$2*AI$2*$BC$2-AH$2*AI$2*$BC$3,0)</f>
        <v>0</v>
      </c>
      <c r="BQ7" s="12">
        <f t="shared" ref="BQ7:BQ70" ca="1" si="41">IF(AND(H7&gt;0,AJ7&gt;0),AH$2*AI$2*((-H7+AJ7)+($AF$3-D7)+$AF$3*$BX$2*(AE7+1-TODAY())/30)-2*$AI$2*$AJ$2-2*$AI$2*$AJ$2,0)</f>
        <v>0</v>
      </c>
      <c r="BR7" s="2">
        <f t="shared" ca="1" si="13"/>
        <v>1.8769891452244586E-2</v>
      </c>
      <c r="BS7" s="2">
        <f t="shared" ca="1" si="14"/>
        <v>0</v>
      </c>
      <c r="BT7" s="2">
        <f t="shared" ca="1" si="15"/>
        <v>0</v>
      </c>
      <c r="BU7" s="13">
        <f t="shared" ca="1" si="16"/>
        <v>0</v>
      </c>
      <c r="BV7" s="2">
        <f t="shared" ca="1" si="17"/>
        <v>0.31140956273042153</v>
      </c>
      <c r="BW7" s="2">
        <f t="shared" ca="1" si="18"/>
        <v>0</v>
      </c>
      <c r="BX7" s="2">
        <f t="shared" ca="1" si="19"/>
        <v>0</v>
      </c>
      <c r="BY7" s="13">
        <f t="shared" ca="1" si="20"/>
        <v>0</v>
      </c>
      <c r="CF7" s="39" t="str">
        <f t="shared" si="21"/>
        <v>C2020-04-3250000.CFE</v>
      </c>
      <c r="CG7" s="39" t="str">
        <f t="shared" si="22"/>
        <v>P2020-04-3250000.CFE</v>
      </c>
      <c r="CH7" s="95" t="s">
        <v>314</v>
      </c>
      <c r="CI7" s="100" t="str">
        <f>IF([1]!w_info_callput(CH7)="认购","C","P")</f>
        <v>C</v>
      </c>
      <c r="CJ7" s="104">
        <f>[1]!w_info_strikeprice(CH7,"")</f>
        <v>3250</v>
      </c>
      <c r="CK7" s="102" t="str">
        <f>[1]!w_info_lasttradingdate(CH7)</f>
        <v>2020-04-17</v>
      </c>
      <c r="CL7" s="39" t="str">
        <f t="shared" si="23"/>
        <v>IO2004-P-3250.CFE</v>
      </c>
    </row>
    <row r="8" spans="1:90">
      <c r="A8" s="35">
        <f t="shared" si="2"/>
        <v>1</v>
      </c>
      <c r="B8" s="112" t="s">
        <v>30</v>
      </c>
      <c r="C8" s="29" t="str">
        <f>IF([1]!w_info_callput(B8)="认购","C","P")</f>
        <v>C</v>
      </c>
      <c r="D8" s="96">
        <f>[1]!w_info_strikeprice(B8,"")</f>
        <v>3300</v>
      </c>
      <c r="E8" s="18" t="str">
        <f>[1]!w_info_lasttradingdate(B8)</f>
        <v>2020-04-17</v>
      </c>
      <c r="F8" s="4">
        <f>IF(G8&gt;0,RTD("wdf.rtq",,$B8,F$5),0)</f>
        <v>458.2</v>
      </c>
      <c r="G8" s="53">
        <f>RTD("wdf.rtq",,$B8,G$5)</f>
        <v>34</v>
      </c>
      <c r="H8" s="4">
        <f>RTD("wdf.rtq",,$B8,H$5)</f>
        <v>21.2</v>
      </c>
      <c r="I8" s="53">
        <f>RTD("wdf.rtq",,$B8,I$5)</f>
        <v>2</v>
      </c>
      <c r="J8" s="4">
        <f>RTD("wdf.rtq",,$B8,J$5)</f>
        <v>600</v>
      </c>
      <c r="K8" s="54">
        <f>RTD("wdf.rtq",,$B8,K$5)</f>
        <v>1</v>
      </c>
      <c r="L8" s="4">
        <f>[1]!s_dq_presettle(B8,"")</f>
        <v>390.8</v>
      </c>
      <c r="M8" s="6">
        <f t="shared" si="24"/>
        <v>0</v>
      </c>
      <c r="N8" s="3">
        <f t="shared" si="25"/>
        <v>45820</v>
      </c>
      <c r="O8" s="4">
        <f t="shared" si="26"/>
        <v>37571</v>
      </c>
      <c r="P8" s="4">
        <f t="shared" si="27"/>
        <v>16500</v>
      </c>
      <c r="Q8" s="8">
        <f t="shared" si="28"/>
        <v>83391.009999999995</v>
      </c>
      <c r="R8" s="55">
        <f ca="1">IF(NOW()-TODAY()&gt;15/24, G8, [1]!s_dq_volume(B8,R$2,1))/$AI$2</f>
        <v>43</v>
      </c>
      <c r="AB8" s="39" t="s">
        <v>58</v>
      </c>
      <c r="AC8" s="29" t="str">
        <f>IF([1]!w_info_callput(AB8)="认购","C","P")</f>
        <v>P</v>
      </c>
      <c r="AD8" s="31">
        <f>[1]!w_info_strikeprice(AB8,"")</f>
        <v>3300</v>
      </c>
      <c r="AE8" s="18" t="str">
        <f>[1]!w_info_lasttradingdate(AB8)</f>
        <v>2020-04-17</v>
      </c>
      <c r="AF8" s="4">
        <f>RTD("wdf.rtq",,$AB8,F$5)</f>
        <v>19.2</v>
      </c>
      <c r="AG8" s="53">
        <f>RTD("wdf.rtq",,$AB8,G$5)</f>
        <v>814</v>
      </c>
      <c r="AH8" s="4">
        <f>RTD("wdf.rtq",,$AB8,H$5)</f>
        <v>19</v>
      </c>
      <c r="AI8" s="53">
        <f>RTD("wdf.rtq",,$AB8,I$5)</f>
        <v>2</v>
      </c>
      <c r="AJ8" s="4">
        <f>RTD("wdf.rtq",,$AB8,J$5)</f>
        <v>19.400000000000002</v>
      </c>
      <c r="AK8" s="54">
        <f>RTD("wdf.rtq",,$AB8,K$5)</f>
        <v>7</v>
      </c>
      <c r="AL8" s="4">
        <f>[1]!s_dq_presettle(AB8,"")</f>
        <v>28.8</v>
      </c>
      <c r="AM8" s="6">
        <f t="shared" si="29"/>
        <v>457.09999999999991</v>
      </c>
      <c r="AN8" s="6">
        <f t="shared" si="30"/>
        <v>1920</v>
      </c>
      <c r="AO8" s="6">
        <f t="shared" si="31"/>
        <v>-8138.9999999999873</v>
      </c>
      <c r="AP8" s="4">
        <f t="shared" si="32"/>
        <v>16500</v>
      </c>
      <c r="AQ8" s="8">
        <f t="shared" si="33"/>
        <v>18420.009999999998</v>
      </c>
      <c r="AR8" s="55">
        <f ca="1">IF(NOW()-TODAY()&gt;15/24, AG8, [1]!s_dq_volume(AB8,AR$2,1))/AI$2</f>
        <v>1119</v>
      </c>
      <c r="AS8" s="110"/>
      <c r="AT8" s="110"/>
      <c r="AU8" s="110"/>
      <c r="AV8" s="110"/>
      <c r="AY8" s="10"/>
      <c r="AZ8" s="10"/>
      <c r="BA8" s="6">
        <f t="shared" ca="1" si="34"/>
        <v>879.20666666667557</v>
      </c>
      <c r="BB8" s="6">
        <f t="shared" ca="1" si="35"/>
        <v>-42840.79333333332</v>
      </c>
      <c r="BC8" s="6">
        <f t="shared" ca="1" si="36"/>
        <v>15079.166666666675</v>
      </c>
      <c r="BD8" s="12">
        <f t="shared" ca="1" si="37"/>
        <v>15079.206666666676</v>
      </c>
      <c r="BE8" s="2">
        <f t="shared" ca="1" si="5"/>
        <v>1.9070858975964579E-3</v>
      </c>
      <c r="BF8" s="2">
        <f t="shared" ca="1" si="6"/>
        <v>-9.2921871165719774E-2</v>
      </c>
      <c r="BG8" s="2">
        <f t="shared" ca="1" si="7"/>
        <v>3.270961599948416E-2</v>
      </c>
      <c r="BH8" s="13">
        <f t="shared" ca="1" si="8"/>
        <v>3.2709704186259105E-2</v>
      </c>
      <c r="BI8" s="2">
        <f t="shared" ca="1" si="9"/>
        <v>3.1640288755577596E-2</v>
      </c>
      <c r="BJ8" s="2">
        <f t="shared" ca="1" si="10"/>
        <v>-1.5416583170676235</v>
      </c>
      <c r="BK8" s="2">
        <f t="shared" ca="1" si="11"/>
        <v>0.54268226544598719</v>
      </c>
      <c r="BL8" s="40">
        <f t="shared" ca="1" si="12"/>
        <v>0.54268372854475333</v>
      </c>
      <c r="BN8" s="6">
        <f t="shared" ca="1" si="38"/>
        <v>90.875999999990881</v>
      </c>
      <c r="BO8" s="6">
        <f t="shared" ca="1" si="39"/>
        <v>-14109.124000000009</v>
      </c>
      <c r="BP8" s="6">
        <f t="shared" ca="1" si="40"/>
        <v>43810.835999999996</v>
      </c>
      <c r="BQ8" s="12">
        <f t="shared" ca="1" si="41"/>
        <v>43810.875999999989</v>
      </c>
      <c r="BR8" s="2">
        <f t="shared" ca="1" si="13"/>
        <v>8.3124468729573798E-4</v>
      </c>
      <c r="BS8" s="2">
        <f t="shared" ca="1" si="14"/>
        <v>-0.1142390997108544</v>
      </c>
      <c r="BT8" s="2">
        <f t="shared" ca="1" si="15"/>
        <v>0.66759135167983408</v>
      </c>
      <c r="BU8" s="13">
        <f t="shared" ca="1" si="16"/>
        <v>0.66759216465745397</v>
      </c>
      <c r="BV8" s="2">
        <f t="shared" ca="1" si="17"/>
        <v>1.3791105039224743E-2</v>
      </c>
      <c r="BW8" s="2">
        <f t="shared" ca="1" si="18"/>
        <v>-1.8953305179300843</v>
      </c>
      <c r="BX8" s="2">
        <f t="shared" ca="1" si="19"/>
        <v>11.075947425597247</v>
      </c>
      <c r="BY8" s="13">
        <f t="shared" ca="1" si="20"/>
        <v>11.075960913635031</v>
      </c>
      <c r="CF8" s="39" t="str">
        <f t="shared" si="21"/>
        <v>C2020-04-3300000.CFE</v>
      </c>
      <c r="CG8" s="39" t="str">
        <f t="shared" si="22"/>
        <v>P2020-04-3300000.CFE</v>
      </c>
      <c r="CH8" s="95" t="s">
        <v>30</v>
      </c>
      <c r="CI8" s="100" t="str">
        <f>IF([1]!w_info_callput(CH8)="认购","C","P")</f>
        <v>C</v>
      </c>
      <c r="CJ8" s="104">
        <f>[1]!w_info_strikeprice(CH8,"")</f>
        <v>3300</v>
      </c>
      <c r="CK8" s="102" t="str">
        <f>[1]!w_info_lasttradingdate(CH8)</f>
        <v>2020-04-17</v>
      </c>
      <c r="CL8" s="39" t="str">
        <f t="shared" si="23"/>
        <v>IO2004-P-3300.CFE</v>
      </c>
    </row>
    <row r="9" spans="1:90">
      <c r="A9" s="35">
        <f t="shared" si="2"/>
        <v>1</v>
      </c>
      <c r="B9" s="112" t="s">
        <v>31</v>
      </c>
      <c r="C9" s="29" t="str">
        <f>IF([1]!w_info_callput(B9)="认购","C","P")</f>
        <v>C</v>
      </c>
      <c r="D9" s="96">
        <f>[1]!w_info_strikeprice(B9,"")</f>
        <v>3350</v>
      </c>
      <c r="E9" s="18" t="str">
        <f>[1]!w_info_lasttradingdate(B9)</f>
        <v>2020-04-17</v>
      </c>
      <c r="F9" s="4">
        <f>IF(G9&gt;0,RTD("wdf.rtq",,$B9,F$5),0)</f>
        <v>407</v>
      </c>
      <c r="G9" s="53">
        <f>RTD("wdf.rtq",,$B9,G$5)</f>
        <v>16</v>
      </c>
      <c r="H9" s="4">
        <f>RTD("wdf.rtq",,$B9,H$5)</f>
        <v>327</v>
      </c>
      <c r="I9" s="53">
        <f>RTD("wdf.rtq",,$B9,I$5)</f>
        <v>1</v>
      </c>
      <c r="J9" s="4">
        <f>RTD("wdf.rtq",,$B9,J$5)</f>
        <v>427</v>
      </c>
      <c r="K9" s="54">
        <f>RTD("wdf.rtq",,$B9,K$5)</f>
        <v>1</v>
      </c>
      <c r="L9" s="4">
        <f>[1]!s_dq_presettle(B9,"")</f>
        <v>347.6</v>
      </c>
      <c r="M9" s="6">
        <f t="shared" si="24"/>
        <v>0</v>
      </c>
      <c r="N9" s="3">
        <f t="shared" si="25"/>
        <v>40700</v>
      </c>
      <c r="O9" s="4">
        <f t="shared" si="26"/>
        <v>37571</v>
      </c>
      <c r="P9" s="4">
        <f t="shared" si="27"/>
        <v>16750</v>
      </c>
      <c r="Q9" s="8">
        <f t="shared" si="28"/>
        <v>78271.009999999995</v>
      </c>
      <c r="R9" s="55">
        <f ca="1">IF(NOW()-TODAY()&gt;15/24, G9, [1]!s_dq_volume(B9,R$2,1))/$AI$2</f>
        <v>68</v>
      </c>
      <c r="AB9" s="39" t="s">
        <v>59</v>
      </c>
      <c r="AC9" s="29" t="str">
        <f>IF([1]!w_info_callput(AB9)="认购","C","P")</f>
        <v>P</v>
      </c>
      <c r="AD9" s="31">
        <f>[1]!w_info_strikeprice(AB9,"")</f>
        <v>3350</v>
      </c>
      <c r="AE9" s="18" t="str">
        <f>[1]!w_info_lasttradingdate(AB9)</f>
        <v>2020-04-17</v>
      </c>
      <c r="AF9" s="4">
        <f>RTD("wdf.rtq",,$AB9,F$5)</f>
        <v>24.2</v>
      </c>
      <c r="AG9" s="53">
        <f>RTD("wdf.rtq",,$AB9,G$5)</f>
        <v>204</v>
      </c>
      <c r="AH9" s="4">
        <f>RTD("wdf.rtq",,$AB9,H$5)</f>
        <v>21.2</v>
      </c>
      <c r="AI9" s="53">
        <f>RTD("wdf.rtq",,$AB9,I$5)</f>
        <v>2</v>
      </c>
      <c r="AJ9" s="4">
        <f>RTD("wdf.rtq",,$AB9,J$5)</f>
        <v>0</v>
      </c>
      <c r="AK9" s="54">
        <f>RTD("wdf.rtq",,$AB9,K$5)</f>
        <v>0</v>
      </c>
      <c r="AL9" s="4">
        <f>[1]!s_dq_presettle(AB9,"")</f>
        <v>36</v>
      </c>
      <c r="AM9" s="6">
        <f t="shared" si="29"/>
        <v>407.09999999999991</v>
      </c>
      <c r="AN9" s="6">
        <f t="shared" si="30"/>
        <v>2420</v>
      </c>
      <c r="AO9" s="6">
        <f t="shared" si="31"/>
        <v>-3138.9999999999873</v>
      </c>
      <c r="AP9" s="4">
        <f t="shared" si="32"/>
        <v>16750</v>
      </c>
      <c r="AQ9" s="8">
        <f t="shared" si="33"/>
        <v>19170.009999999998</v>
      </c>
      <c r="AR9" s="55">
        <f ca="1">IF(NOW()-TODAY()&gt;15/24, AG9, [1]!s_dq_volume(AB9,AR$2,1))/AI$2</f>
        <v>224</v>
      </c>
      <c r="AS9" s="110"/>
      <c r="AT9" s="110"/>
      <c r="AU9" s="110"/>
      <c r="AV9" s="110"/>
      <c r="AY9" s="10"/>
      <c r="AZ9" s="10"/>
      <c r="BA9" s="6">
        <f t="shared" ca="1" si="34"/>
        <v>259.20666666667671</v>
      </c>
      <c r="BB9" s="6">
        <f t="shared" ca="1" si="35"/>
        <v>0</v>
      </c>
      <c r="BC9" s="6">
        <f t="shared" ca="1" si="36"/>
        <v>2559.166666666677</v>
      </c>
      <c r="BD9" s="12">
        <f t="shared" ca="1" si="37"/>
        <v>2559.2066666666769</v>
      </c>
      <c r="BE9" s="2">
        <f t="shared" ca="1" si="5"/>
        <v>5.6793622491474482E-4</v>
      </c>
      <c r="BF9" s="2">
        <f t="shared" ca="1" si="6"/>
        <v>0</v>
      </c>
      <c r="BG9" s="2">
        <f t="shared" ca="1" si="7"/>
        <v>5.6109644537892783E-3</v>
      </c>
      <c r="BH9" s="13">
        <f t="shared" ca="1" si="8"/>
        <v>5.6110523997012791E-3</v>
      </c>
      <c r="BI9" s="2">
        <f t="shared" ca="1" si="9"/>
        <v>9.4225782769946295E-3</v>
      </c>
      <c r="BJ9" s="2">
        <f t="shared" ca="1" si="10"/>
        <v>0</v>
      </c>
      <c r="BK9" s="2">
        <f t="shared" ca="1" si="11"/>
        <v>9.3091001165140297E-2</v>
      </c>
      <c r="BL9" s="40">
        <f t="shared" ca="1" si="12"/>
        <v>9.3092460267771224E-2</v>
      </c>
      <c r="BN9" s="6">
        <f t="shared" ca="1" si="38"/>
        <v>710.87599999998974</v>
      </c>
      <c r="BO9" s="6">
        <f t="shared" ca="1" si="39"/>
        <v>-1589.1240000000103</v>
      </c>
      <c r="BP9" s="6">
        <f t="shared" ca="1" si="40"/>
        <v>0</v>
      </c>
      <c r="BQ9" s="12">
        <f t="shared" ca="1" si="41"/>
        <v>0</v>
      </c>
      <c r="BR9" s="2">
        <f t="shared" ca="1" si="13"/>
        <v>6.7731368457077052E-3</v>
      </c>
      <c r="BS9" s="2">
        <f t="shared" ca="1" si="14"/>
        <v>-1.485784563463538E-2</v>
      </c>
      <c r="BT9" s="2">
        <f t="shared" ca="1" si="15"/>
        <v>0</v>
      </c>
      <c r="BU9" s="13">
        <f t="shared" ca="1" si="16"/>
        <v>0</v>
      </c>
      <c r="BV9" s="2">
        <f t="shared" ca="1" si="17"/>
        <v>0.11237249766742329</v>
      </c>
      <c r="BW9" s="2">
        <f t="shared" ca="1" si="18"/>
        <v>-0.24650516621099608</v>
      </c>
      <c r="BX9" s="2">
        <f t="shared" ca="1" si="19"/>
        <v>0</v>
      </c>
      <c r="BY9" s="13">
        <f t="shared" ca="1" si="20"/>
        <v>0</v>
      </c>
      <c r="CF9" s="39" t="str">
        <f t="shared" si="21"/>
        <v>C2020-04-3350000.CFE</v>
      </c>
      <c r="CG9" s="39" t="str">
        <f t="shared" si="22"/>
        <v>P2020-04-3350000.CFE</v>
      </c>
      <c r="CH9" s="95" t="s">
        <v>31</v>
      </c>
      <c r="CI9" s="100" t="str">
        <f>IF([1]!w_info_callput(CH9)="认购","C","P")</f>
        <v>C</v>
      </c>
      <c r="CJ9" s="104">
        <f>[1]!w_info_strikeprice(CH9,"")</f>
        <v>3350</v>
      </c>
      <c r="CK9" s="102" t="str">
        <f>[1]!w_info_lasttradingdate(CH9)</f>
        <v>2020-04-17</v>
      </c>
      <c r="CL9" s="39" t="str">
        <f t="shared" si="23"/>
        <v>IO2004-P-3350.CFE</v>
      </c>
    </row>
    <row r="10" spans="1:90">
      <c r="A10" s="35">
        <f t="shared" si="2"/>
        <v>1</v>
      </c>
      <c r="B10" s="112" t="s">
        <v>32</v>
      </c>
      <c r="C10" s="29" t="str">
        <f>IF([1]!w_info_callput(B10)="认购","C","P")</f>
        <v>C</v>
      </c>
      <c r="D10" s="96">
        <f>[1]!w_info_strikeprice(B10,"")</f>
        <v>3400</v>
      </c>
      <c r="E10" s="18" t="str">
        <f>[1]!w_info_lasttradingdate(B10)</f>
        <v>2020-04-17</v>
      </c>
      <c r="F10" s="4">
        <f>IF(G10&gt;0,RTD("wdf.rtq",,$B10,F$5),0)</f>
        <v>368.6</v>
      </c>
      <c r="G10" s="53">
        <f>RTD("wdf.rtq",,$B10,G$5)</f>
        <v>80</v>
      </c>
      <c r="H10" s="4">
        <f>RTD("wdf.rtq",,$B10,H$5)</f>
        <v>7</v>
      </c>
      <c r="I10" s="53">
        <f>RTD("wdf.rtq",,$B10,I$5)</f>
        <v>3</v>
      </c>
      <c r="J10" s="4">
        <f>RTD("wdf.rtq",,$B10,J$5)</f>
        <v>0</v>
      </c>
      <c r="K10" s="54">
        <f>RTD("wdf.rtq",,$B10,K$5)</f>
        <v>0</v>
      </c>
      <c r="L10" s="4">
        <f>[1]!s_dq_presettle(B10,"")</f>
        <v>309.39999999999998</v>
      </c>
      <c r="M10" s="6">
        <f t="shared" si="24"/>
        <v>0</v>
      </c>
      <c r="N10" s="3">
        <f t="shared" si="25"/>
        <v>36860</v>
      </c>
      <c r="O10" s="4">
        <f t="shared" si="26"/>
        <v>37571</v>
      </c>
      <c r="P10" s="4">
        <f t="shared" si="27"/>
        <v>17000</v>
      </c>
      <c r="Q10" s="8">
        <f t="shared" si="28"/>
        <v>74431.009999999995</v>
      </c>
      <c r="R10" s="55">
        <f ca="1">IF(NOW()-TODAY()&gt;15/24, G10, [1]!s_dq_volume(B10,R$2,1))/$AI$2</f>
        <v>53</v>
      </c>
      <c r="AB10" s="39" t="s">
        <v>60</v>
      </c>
      <c r="AC10" s="29" t="str">
        <f>IF([1]!w_info_callput(AB10)="认购","C","P")</f>
        <v>P</v>
      </c>
      <c r="AD10" s="31">
        <f>[1]!w_info_strikeprice(AB10,"")</f>
        <v>3400</v>
      </c>
      <c r="AE10" s="18" t="str">
        <f>[1]!w_info_lasttradingdate(AB10)</f>
        <v>2020-04-17</v>
      </c>
      <c r="AF10" s="4">
        <f>RTD("wdf.rtq",,$AB10,F$5)</f>
        <v>30</v>
      </c>
      <c r="AG10" s="53">
        <f>RTD("wdf.rtq",,$AB10,G$5)</f>
        <v>260</v>
      </c>
      <c r="AH10" s="4">
        <f>RTD("wdf.rtq",,$AB10,H$5)</f>
        <v>28.8</v>
      </c>
      <c r="AI10" s="53">
        <f>RTD("wdf.rtq",,$AB10,I$5)</f>
        <v>1</v>
      </c>
      <c r="AJ10" s="4">
        <f>RTD("wdf.rtq",,$AB10,J$5)</f>
        <v>36.800000000000004</v>
      </c>
      <c r="AK10" s="54">
        <f>RTD("wdf.rtq",,$AB10,K$5)</f>
        <v>1</v>
      </c>
      <c r="AL10" s="4">
        <f>[1]!s_dq_presettle(AB10,"")</f>
        <v>44.4</v>
      </c>
      <c r="AM10" s="6">
        <f t="shared" si="29"/>
        <v>357.09999999999991</v>
      </c>
      <c r="AN10" s="6">
        <f t="shared" si="30"/>
        <v>3000</v>
      </c>
      <c r="AO10" s="6">
        <f t="shared" si="31"/>
        <v>1861.0000000000127</v>
      </c>
      <c r="AP10" s="4">
        <f t="shared" si="32"/>
        <v>17000</v>
      </c>
      <c r="AQ10" s="8">
        <f t="shared" si="33"/>
        <v>20000.009999999998</v>
      </c>
      <c r="AR10" s="55">
        <f ca="1">IF(NOW()-TODAY()&gt;15/24, AG10, [1]!s_dq_volume(AB10,AR$2,1))/AI$2</f>
        <v>505</v>
      </c>
      <c r="AS10" s="110"/>
      <c r="AT10" s="110"/>
      <c r="AU10" s="110"/>
      <c r="AV10" s="110"/>
      <c r="AY10" s="10"/>
      <c r="AZ10" s="10"/>
      <c r="BA10" s="6">
        <f t="shared" ca="1" si="34"/>
        <v>839.20666666667785</v>
      </c>
      <c r="BB10" s="6">
        <f t="shared" ca="1" si="35"/>
        <v>-36000.79333333332</v>
      </c>
      <c r="BC10" s="6">
        <f t="shared" ca="1" si="36"/>
        <v>0</v>
      </c>
      <c r="BD10" s="12">
        <f t="shared" ca="1" si="37"/>
        <v>0</v>
      </c>
      <c r="BE10" s="2">
        <f t="shared" ca="1" si="5"/>
        <v>1.851976864037704E-3</v>
      </c>
      <c r="BF10" s="2">
        <f t="shared" ca="1" si="6"/>
        <v>-7.9328176836355194E-2</v>
      </c>
      <c r="BG10" s="2">
        <f t="shared" ca="1" si="7"/>
        <v>0</v>
      </c>
      <c r="BH10" s="13">
        <f t="shared" ca="1" si="8"/>
        <v>0</v>
      </c>
      <c r="BI10" s="2">
        <f t="shared" ca="1" si="9"/>
        <v>3.0725979789716452E-2</v>
      </c>
      <c r="BJ10" s="2">
        <f t="shared" ca="1" si="10"/>
        <v>-1.3161265702395293</v>
      </c>
      <c r="BK10" s="2">
        <f t="shared" ca="1" si="11"/>
        <v>0</v>
      </c>
      <c r="BL10" s="40">
        <f t="shared" ca="1" si="12"/>
        <v>0</v>
      </c>
      <c r="BN10" s="6">
        <f t="shared" ca="1" si="38"/>
        <v>130.87599999998861</v>
      </c>
      <c r="BO10" s="6">
        <f t="shared" ca="1" si="39"/>
        <v>0</v>
      </c>
      <c r="BP10" s="6">
        <f t="shared" ca="1" si="40"/>
        <v>36970.835999999996</v>
      </c>
      <c r="BQ10" s="12">
        <f t="shared" ca="1" si="41"/>
        <v>36970.875999999989</v>
      </c>
      <c r="BR10" s="2">
        <f t="shared" ca="1" si="13"/>
        <v>1.2837876345537826E-3</v>
      </c>
      <c r="BS10" s="2">
        <f t="shared" ca="1" si="14"/>
        <v>0</v>
      </c>
      <c r="BT10" s="2">
        <f t="shared" ca="1" si="15"/>
        <v>0.56199295799376237</v>
      </c>
      <c r="BU10" s="13">
        <f t="shared" ca="1" si="16"/>
        <v>0.56199373689010024</v>
      </c>
      <c r="BV10" s="2">
        <f t="shared" ca="1" si="17"/>
        <v>2.1299203936915031E-2</v>
      </c>
      <c r="BW10" s="2">
        <f t="shared" ca="1" si="18"/>
        <v>0</v>
      </c>
      <c r="BX10" s="2">
        <f t="shared" ca="1" si="19"/>
        <v>9.3239740758056033</v>
      </c>
      <c r="BY10" s="13">
        <f t="shared" ca="1" si="20"/>
        <v>9.323986998403937</v>
      </c>
      <c r="CF10" s="39" t="str">
        <f t="shared" si="21"/>
        <v>C2020-04-3400000.CFE</v>
      </c>
      <c r="CG10" s="39" t="str">
        <f t="shared" si="22"/>
        <v>P2020-04-3400000.CFE</v>
      </c>
      <c r="CH10" s="95" t="s">
        <v>32</v>
      </c>
      <c r="CI10" s="100" t="str">
        <f>IF([1]!w_info_callput(CH10)="认购","C","P")</f>
        <v>C</v>
      </c>
      <c r="CJ10" s="104">
        <f>[1]!w_info_strikeprice(CH10,"")</f>
        <v>3400</v>
      </c>
      <c r="CK10" s="102" t="str">
        <f>[1]!w_info_lasttradingdate(CH10)</f>
        <v>2020-04-17</v>
      </c>
      <c r="CL10" s="39" t="str">
        <f t="shared" si="23"/>
        <v>IO2004-P-3400.CFE</v>
      </c>
    </row>
    <row r="11" spans="1:90">
      <c r="A11" s="35">
        <f t="shared" si="2"/>
        <v>1</v>
      </c>
      <c r="B11" s="112" t="s">
        <v>33</v>
      </c>
      <c r="C11" s="29" t="str">
        <f>IF([1]!w_info_callput(B11)="认购","C","P")</f>
        <v>C</v>
      </c>
      <c r="D11" s="96">
        <f>[1]!w_info_strikeprice(B11,"")</f>
        <v>3450</v>
      </c>
      <c r="E11" s="18" t="str">
        <f>[1]!w_info_lasttradingdate(B11)</f>
        <v>2020-04-17</v>
      </c>
      <c r="F11" s="4">
        <f>IF(G11&gt;0,RTD("wdf.rtq",,$B11,F$5),0)</f>
        <v>318</v>
      </c>
      <c r="G11" s="53">
        <f>RTD("wdf.rtq",,$B11,G$5)</f>
        <v>52</v>
      </c>
      <c r="H11" s="4">
        <f>RTD("wdf.rtq",,$B11,H$5)</f>
        <v>37</v>
      </c>
      <c r="I11" s="53">
        <f>RTD("wdf.rtq",,$B11,I$5)</f>
        <v>1</v>
      </c>
      <c r="J11" s="4">
        <f>RTD("wdf.rtq",,$B11,J$5)</f>
        <v>0</v>
      </c>
      <c r="K11" s="54">
        <f>RTD("wdf.rtq",,$B11,K$5)</f>
        <v>0</v>
      </c>
      <c r="L11" s="4">
        <f>[1]!s_dq_presettle(B11,"")</f>
        <v>267.60000000000002</v>
      </c>
      <c r="M11" s="6">
        <f t="shared" si="24"/>
        <v>0</v>
      </c>
      <c r="N11" s="3">
        <f t="shared" si="25"/>
        <v>31800</v>
      </c>
      <c r="O11" s="4">
        <f t="shared" si="26"/>
        <v>37571</v>
      </c>
      <c r="P11" s="4">
        <f t="shared" si="27"/>
        <v>17250</v>
      </c>
      <c r="Q11" s="8">
        <f t="shared" si="28"/>
        <v>69371.009999999995</v>
      </c>
      <c r="R11" s="55">
        <f ca="1">IF(NOW()-TODAY()&gt;15/24, G11, [1]!s_dq_volume(B11,R$2,1))/$AI$2</f>
        <v>145</v>
      </c>
      <c r="AB11" s="39" t="s">
        <v>61</v>
      </c>
      <c r="AC11" s="29" t="str">
        <f>IF([1]!w_info_callput(AB11)="认购","C","P")</f>
        <v>P</v>
      </c>
      <c r="AD11" s="31">
        <f>[1]!w_info_strikeprice(AB11,"")</f>
        <v>3450</v>
      </c>
      <c r="AE11" s="18" t="str">
        <f>[1]!w_info_lasttradingdate(AB11)</f>
        <v>2020-04-17</v>
      </c>
      <c r="AF11" s="4">
        <f>RTD("wdf.rtq",,$AB11,F$5)</f>
        <v>35.4</v>
      </c>
      <c r="AG11" s="53">
        <f>RTD("wdf.rtq",,$AB11,G$5)</f>
        <v>209</v>
      </c>
      <c r="AH11" s="4">
        <f>RTD("wdf.rtq",,$AB11,H$5)</f>
        <v>35</v>
      </c>
      <c r="AI11" s="53">
        <f>RTD("wdf.rtq",,$AB11,I$5)</f>
        <v>1</v>
      </c>
      <c r="AJ11" s="4">
        <f>RTD("wdf.rtq",,$AB11,J$5)</f>
        <v>38.800000000000004</v>
      </c>
      <c r="AK11" s="54">
        <f>RTD("wdf.rtq",,$AB11,K$5)</f>
        <v>6</v>
      </c>
      <c r="AL11" s="4">
        <f>[1]!s_dq_presettle(AB11,"")</f>
        <v>56.4</v>
      </c>
      <c r="AM11" s="6">
        <f t="shared" si="29"/>
        <v>307.09999999999991</v>
      </c>
      <c r="AN11" s="6">
        <f t="shared" si="30"/>
        <v>3540</v>
      </c>
      <c r="AO11" s="6">
        <f t="shared" si="31"/>
        <v>6861.0000000000127</v>
      </c>
      <c r="AP11" s="4">
        <f t="shared" si="32"/>
        <v>17250</v>
      </c>
      <c r="AQ11" s="8">
        <f t="shared" si="33"/>
        <v>20790.009999999998</v>
      </c>
      <c r="AR11" s="55">
        <f ca="1">IF(NOW()-TODAY()&gt;15/24, AG11, [1]!s_dq_volume(AB11,AR$2,1))/AI$2</f>
        <v>230</v>
      </c>
      <c r="AS11" s="110"/>
      <c r="AT11" s="110"/>
      <c r="AU11" s="110"/>
      <c r="AV11" s="110"/>
      <c r="AY11" s="10"/>
      <c r="AZ11" s="10"/>
      <c r="BA11" s="6">
        <f t="shared" ca="1" si="34"/>
        <v>239.20666666667785</v>
      </c>
      <c r="BB11" s="6">
        <f t="shared" ca="1" si="35"/>
        <v>-28200.793333333324</v>
      </c>
      <c r="BC11" s="6">
        <f t="shared" ca="1" si="36"/>
        <v>0</v>
      </c>
      <c r="BD11" s="12">
        <f t="shared" ca="1" si="37"/>
        <v>0</v>
      </c>
      <c r="BE11" s="2">
        <f t="shared" ca="1" si="5"/>
        <v>5.3320433357920052E-4</v>
      </c>
      <c r="BF11" s="2">
        <f t="shared" ca="1" si="6"/>
        <v>-6.2813457527933936E-2</v>
      </c>
      <c r="BG11" s="2">
        <f t="shared" ca="1" si="7"/>
        <v>0</v>
      </c>
      <c r="BH11" s="13">
        <f t="shared" ca="1" si="8"/>
        <v>0</v>
      </c>
      <c r="BI11" s="2">
        <f t="shared" ca="1" si="9"/>
        <v>8.8463446252912813E-3</v>
      </c>
      <c r="BJ11" s="2">
        <f t="shared" ca="1" si="10"/>
        <v>-1.0421323635316311</v>
      </c>
      <c r="BK11" s="2">
        <f t="shared" ca="1" si="11"/>
        <v>0</v>
      </c>
      <c r="BL11" s="40">
        <f t="shared" ca="1" si="12"/>
        <v>0</v>
      </c>
      <c r="BN11" s="6">
        <f t="shared" ca="1" si="38"/>
        <v>730.87599999998861</v>
      </c>
      <c r="BO11" s="6">
        <f t="shared" ca="1" si="39"/>
        <v>0</v>
      </c>
      <c r="BP11" s="6">
        <f t="shared" ca="1" si="40"/>
        <v>29170.835999999988</v>
      </c>
      <c r="BQ11" s="12">
        <f t="shared" ca="1" si="41"/>
        <v>29170.875999999989</v>
      </c>
      <c r="BR11" s="2">
        <f t="shared" ca="1" si="13"/>
        <v>7.482717467410499E-3</v>
      </c>
      <c r="BS11" s="2">
        <f t="shared" ca="1" si="14"/>
        <v>0</v>
      </c>
      <c r="BT11" s="2">
        <f t="shared" ca="1" si="15"/>
        <v>0.41927042138416198</v>
      </c>
      <c r="BU11" s="13">
        <f t="shared" ca="1" si="16"/>
        <v>0.41927111682451251</v>
      </c>
      <c r="BV11" s="2">
        <f t="shared" ca="1" si="17"/>
        <v>0.1241450852547651</v>
      </c>
      <c r="BW11" s="2">
        <f t="shared" ca="1" si="18"/>
        <v>0</v>
      </c>
      <c r="BX11" s="2">
        <f t="shared" ca="1" si="19"/>
        <v>6.9560774456917782</v>
      </c>
      <c r="BY11" s="13">
        <f t="shared" ca="1" si="20"/>
        <v>6.9560889836794129</v>
      </c>
      <c r="CF11" s="39" t="str">
        <f t="shared" si="21"/>
        <v>C2020-04-3450000.CFE</v>
      </c>
      <c r="CG11" s="39" t="str">
        <f t="shared" si="22"/>
        <v>P2020-04-3450000.CFE</v>
      </c>
      <c r="CH11" s="95" t="s">
        <v>33</v>
      </c>
      <c r="CI11" s="100" t="str">
        <f>IF([1]!w_info_callput(CH11)="认购","C","P")</f>
        <v>C</v>
      </c>
      <c r="CJ11" s="104">
        <f>[1]!w_info_strikeprice(CH11,"")</f>
        <v>3450</v>
      </c>
      <c r="CK11" s="102" t="str">
        <f>[1]!w_info_lasttradingdate(CH11)</f>
        <v>2020-04-17</v>
      </c>
      <c r="CL11" s="39" t="str">
        <f t="shared" si="23"/>
        <v>IO2004-P-3450.CFE</v>
      </c>
    </row>
    <row r="12" spans="1:90">
      <c r="A12" s="35">
        <f t="shared" si="2"/>
        <v>1</v>
      </c>
      <c r="B12" s="112" t="s">
        <v>34</v>
      </c>
      <c r="C12" s="29" t="str">
        <f>IF([1]!w_info_callput(B12)="认购","C","P")</f>
        <v>C</v>
      </c>
      <c r="D12" s="96">
        <f>[1]!w_info_strikeprice(B12,"")</f>
        <v>3500</v>
      </c>
      <c r="E12" s="18" t="str">
        <f>[1]!w_info_lasttradingdate(B12)</f>
        <v>2020-04-17</v>
      </c>
      <c r="F12" s="4">
        <f>IF(G12&gt;0,RTD("wdf.rtq",,$B12,F$5),0)</f>
        <v>285.60000000000002</v>
      </c>
      <c r="G12" s="53">
        <f>RTD("wdf.rtq",,$B12,G$5)</f>
        <v>245</v>
      </c>
      <c r="H12" s="4">
        <f>RTD("wdf.rtq",,$B12,H$5)</f>
        <v>270.2</v>
      </c>
      <c r="I12" s="53">
        <f>RTD("wdf.rtq",,$B12,I$5)</f>
        <v>2</v>
      </c>
      <c r="J12" s="4">
        <f>RTD("wdf.rtq",,$B12,J$5)</f>
        <v>0</v>
      </c>
      <c r="K12" s="54">
        <f>RTD("wdf.rtq",,$B12,K$5)</f>
        <v>0</v>
      </c>
      <c r="L12" s="4">
        <f>[1]!s_dq_presettle(B12,"")</f>
        <v>230.6</v>
      </c>
      <c r="M12" s="6">
        <f t="shared" si="24"/>
        <v>0</v>
      </c>
      <c r="N12" s="3">
        <f t="shared" si="25"/>
        <v>28560.000000000004</v>
      </c>
      <c r="O12" s="4">
        <f t="shared" si="26"/>
        <v>37571</v>
      </c>
      <c r="P12" s="4">
        <f t="shared" si="27"/>
        <v>17500</v>
      </c>
      <c r="Q12" s="8">
        <f t="shared" si="28"/>
        <v>66131.009999999995</v>
      </c>
      <c r="R12" s="55">
        <f ca="1">IF(NOW()-TODAY()&gt;15/24, G12, [1]!s_dq_volume(B12,R$2,1))/$AI$2</f>
        <v>182</v>
      </c>
      <c r="AB12" s="39" t="s">
        <v>62</v>
      </c>
      <c r="AC12" s="29" t="str">
        <f>IF([1]!w_info_callput(AB12)="认购","C","P")</f>
        <v>P</v>
      </c>
      <c r="AD12" s="31">
        <f>[1]!w_info_strikeprice(AB12,"")</f>
        <v>3500</v>
      </c>
      <c r="AE12" s="18" t="str">
        <f>[1]!w_info_lasttradingdate(AB12)</f>
        <v>2020-04-17</v>
      </c>
      <c r="AF12" s="4">
        <f>RTD("wdf.rtq",,$AB12,F$5)</f>
        <v>46</v>
      </c>
      <c r="AG12" s="53">
        <f>RTD("wdf.rtq",,$AB12,G$5)</f>
        <v>462</v>
      </c>
      <c r="AH12" s="4">
        <f>RTD("wdf.rtq",,$AB12,H$5)</f>
        <v>45.6</v>
      </c>
      <c r="AI12" s="53">
        <f>RTD("wdf.rtq",,$AB12,I$5)</f>
        <v>2</v>
      </c>
      <c r="AJ12" s="4">
        <f>RTD("wdf.rtq",,$AB12,J$5)</f>
        <v>46</v>
      </c>
      <c r="AK12" s="54">
        <f>RTD("wdf.rtq",,$AB12,K$5)</f>
        <v>1</v>
      </c>
      <c r="AL12" s="4">
        <f>[1]!s_dq_presettle(AB12,"")</f>
        <v>69.2</v>
      </c>
      <c r="AM12" s="6">
        <f t="shared" si="29"/>
        <v>257.09999999999991</v>
      </c>
      <c r="AN12" s="6">
        <f t="shared" si="30"/>
        <v>4600</v>
      </c>
      <c r="AO12" s="6">
        <f t="shared" si="31"/>
        <v>11861.000000000013</v>
      </c>
      <c r="AP12" s="4">
        <f t="shared" si="32"/>
        <v>17500</v>
      </c>
      <c r="AQ12" s="8">
        <f t="shared" si="33"/>
        <v>22100.01</v>
      </c>
      <c r="AR12" s="55">
        <f ca="1">IF(NOW()-TODAY()&gt;15/24, AG12, [1]!s_dq_volume(AB12,AR$2,1))/AI$2</f>
        <v>979</v>
      </c>
      <c r="AS12" s="110"/>
      <c r="AT12" s="110"/>
      <c r="AU12" s="110"/>
      <c r="AV12" s="110"/>
      <c r="AY12" s="10"/>
      <c r="AZ12" s="10"/>
      <c r="BA12" s="6">
        <f t="shared" ca="1" si="34"/>
        <v>939.20666666667785</v>
      </c>
      <c r="BB12" s="6">
        <f t="shared" ca="1" si="35"/>
        <v>-600.79333333332556</v>
      </c>
      <c r="BC12" s="6">
        <f t="shared" ca="1" si="36"/>
        <v>0</v>
      </c>
      <c r="BD12" s="12">
        <f t="shared" ca="1" si="37"/>
        <v>0</v>
      </c>
      <c r="BE12" s="2">
        <f t="shared" ca="1" si="5"/>
        <v>2.103764317410441E-3</v>
      </c>
      <c r="BF12" s="2">
        <f t="shared" ca="1" si="6"/>
        <v>-1.3457395711324225E-3</v>
      </c>
      <c r="BG12" s="2">
        <f t="shared" ca="1" si="7"/>
        <v>0</v>
      </c>
      <c r="BH12" s="13">
        <f t="shared" ca="1" si="8"/>
        <v>0</v>
      </c>
      <c r="BI12" s="2">
        <f t="shared" ca="1" si="9"/>
        <v>3.4903362538855044E-2</v>
      </c>
      <c r="BJ12" s="2">
        <f t="shared" ca="1" si="10"/>
        <v>-2.2327042884697008E-2</v>
      </c>
      <c r="BK12" s="2">
        <f t="shared" ca="1" si="11"/>
        <v>0</v>
      </c>
      <c r="BL12" s="40">
        <f t="shared" ca="1" si="12"/>
        <v>0</v>
      </c>
      <c r="BN12" s="6">
        <f t="shared" ca="1" si="38"/>
        <v>30.875999999988593</v>
      </c>
      <c r="BO12" s="6">
        <f t="shared" ca="1" si="39"/>
        <v>0</v>
      </c>
      <c r="BP12" s="6">
        <f t="shared" ca="1" si="40"/>
        <v>1570.8359999999921</v>
      </c>
      <c r="BQ12" s="12">
        <f t="shared" ca="1" si="41"/>
        <v>1570.875999999992</v>
      </c>
      <c r="BR12" s="2">
        <f t="shared" ca="1" si="13"/>
        <v>3.2248088442219297E-4</v>
      </c>
      <c r="BS12" s="2">
        <f t="shared" ca="1" si="14"/>
        <v>0</v>
      </c>
      <c r="BT12" s="2">
        <f t="shared" ca="1" si="15"/>
        <v>1.6674615623782162E-2</v>
      </c>
      <c r="BU12" s="13">
        <f t="shared" ca="1" si="16"/>
        <v>1.6675043768810582E-2</v>
      </c>
      <c r="BV12" s="2">
        <f t="shared" ca="1" si="17"/>
        <v>5.3502510370045655E-3</v>
      </c>
      <c r="BW12" s="2">
        <f t="shared" ca="1" si="18"/>
        <v>0</v>
      </c>
      <c r="BX12" s="2">
        <f t="shared" ca="1" si="19"/>
        <v>0.27664703194002221</v>
      </c>
      <c r="BY12" s="13">
        <f t="shared" ca="1" si="20"/>
        <v>0.2766541352552665</v>
      </c>
      <c r="CF12" s="39" t="str">
        <f t="shared" si="21"/>
        <v>C2020-04-3500000.CFE</v>
      </c>
      <c r="CG12" s="39" t="str">
        <f t="shared" si="22"/>
        <v>P2020-04-3500000.CFE</v>
      </c>
      <c r="CH12" s="95" t="s">
        <v>34</v>
      </c>
      <c r="CI12" s="100" t="str">
        <f>IF([1]!w_info_callput(CH12)="认购","C","P")</f>
        <v>C</v>
      </c>
      <c r="CJ12" s="104">
        <f>[1]!w_info_strikeprice(CH12,"")</f>
        <v>3500</v>
      </c>
      <c r="CK12" s="102" t="str">
        <f>[1]!w_info_lasttradingdate(CH12)</f>
        <v>2020-04-17</v>
      </c>
      <c r="CL12" s="39" t="str">
        <f t="shared" si="23"/>
        <v>IO2004-P-3500.CFE</v>
      </c>
    </row>
    <row r="13" spans="1:90">
      <c r="A13" s="35">
        <f t="shared" si="2"/>
        <v>1</v>
      </c>
      <c r="B13" s="112" t="s">
        <v>35</v>
      </c>
      <c r="C13" s="29" t="str">
        <f>IF([1]!w_info_callput(B13)="认购","C","P")</f>
        <v>C</v>
      </c>
      <c r="D13" s="96">
        <f>[1]!w_info_strikeprice(B13,"")</f>
        <v>3550</v>
      </c>
      <c r="E13" s="18" t="str">
        <f>[1]!w_info_lasttradingdate(B13)</f>
        <v>2020-04-17</v>
      </c>
      <c r="F13" s="4">
        <f>IF(G13&gt;0,RTD("wdf.rtq",,$B13,F$5),0)</f>
        <v>246</v>
      </c>
      <c r="G13" s="53">
        <f>RTD("wdf.rtq",,$B13,G$5)</f>
        <v>65</v>
      </c>
      <c r="H13" s="4">
        <f>RTD("wdf.rtq",,$B13,H$5)</f>
        <v>226</v>
      </c>
      <c r="I13" s="53">
        <f>RTD("wdf.rtq",,$B13,I$5)</f>
        <v>1</v>
      </c>
      <c r="J13" s="4">
        <f>RTD("wdf.rtq",,$B13,J$5)</f>
        <v>301</v>
      </c>
      <c r="K13" s="54">
        <f>RTD("wdf.rtq",,$B13,K$5)</f>
        <v>5</v>
      </c>
      <c r="L13" s="4">
        <f>[1]!s_dq_presettle(B13,"")</f>
        <v>196.6</v>
      </c>
      <c r="M13" s="6">
        <f t="shared" si="24"/>
        <v>0</v>
      </c>
      <c r="N13" s="3">
        <f t="shared" si="25"/>
        <v>24600</v>
      </c>
      <c r="O13" s="4">
        <f t="shared" si="26"/>
        <v>37571</v>
      </c>
      <c r="P13" s="4">
        <f t="shared" si="27"/>
        <v>17750</v>
      </c>
      <c r="Q13" s="8">
        <f t="shared" si="28"/>
        <v>62171.01</v>
      </c>
      <c r="R13" s="55">
        <f ca="1">IF(NOW()-TODAY()&gt;15/24, G13, [1]!s_dq_volume(B13,R$2,1))/$AI$2</f>
        <v>297</v>
      </c>
      <c r="AB13" s="39" t="s">
        <v>63</v>
      </c>
      <c r="AC13" s="29" t="str">
        <f>IF([1]!w_info_callput(AB13)="认购","C","P")</f>
        <v>P</v>
      </c>
      <c r="AD13" s="31">
        <f>[1]!w_info_strikeprice(AB13,"")</f>
        <v>3550</v>
      </c>
      <c r="AE13" s="18" t="str">
        <f>[1]!w_info_lasttradingdate(AB13)</f>
        <v>2020-04-17</v>
      </c>
      <c r="AF13" s="4">
        <f>RTD("wdf.rtq",,$AB13,F$5)</f>
        <v>56.800000000000004</v>
      </c>
      <c r="AG13" s="53">
        <f>RTD("wdf.rtq",,$AB13,G$5)</f>
        <v>238</v>
      </c>
      <c r="AH13" s="4">
        <f>RTD("wdf.rtq",,$AB13,H$5)</f>
        <v>55</v>
      </c>
      <c r="AI13" s="53">
        <f>RTD("wdf.rtq",,$AB13,I$5)</f>
        <v>1</v>
      </c>
      <c r="AJ13" s="4">
        <f>RTD("wdf.rtq",,$AB13,J$5)</f>
        <v>56.800000000000004</v>
      </c>
      <c r="AK13" s="54">
        <f>RTD("wdf.rtq",,$AB13,K$5)</f>
        <v>1</v>
      </c>
      <c r="AL13" s="4">
        <f>[1]!s_dq_presettle(AB13,"")</f>
        <v>84</v>
      </c>
      <c r="AM13" s="6">
        <f t="shared" si="29"/>
        <v>207.09999999999991</v>
      </c>
      <c r="AN13" s="6">
        <f t="shared" si="30"/>
        <v>5680</v>
      </c>
      <c r="AO13" s="6">
        <f t="shared" si="31"/>
        <v>16861.000000000015</v>
      </c>
      <c r="AP13" s="4">
        <f t="shared" si="32"/>
        <v>17750</v>
      </c>
      <c r="AQ13" s="8">
        <f t="shared" si="33"/>
        <v>23430.01</v>
      </c>
      <c r="AR13" s="55">
        <f ca="1">IF(NOW()-TODAY()&gt;15/24, AG13, [1]!s_dq_volume(AB13,AR$2,1))/AI$2</f>
        <v>643</v>
      </c>
      <c r="AS13" s="110"/>
      <c r="AT13" s="110"/>
      <c r="AU13" s="110"/>
      <c r="AV13" s="110"/>
      <c r="AY13" s="10"/>
      <c r="AZ13" s="10"/>
      <c r="BA13" s="6">
        <f t="shared" ca="1" si="34"/>
        <v>899.20666666667444</v>
      </c>
      <c r="BB13" s="6">
        <f t="shared" ca="1" si="35"/>
        <v>-1100.7933333333256</v>
      </c>
      <c r="BC13" s="6">
        <f t="shared" ca="1" si="36"/>
        <v>6579.1666666666742</v>
      </c>
      <c r="BD13" s="12">
        <f t="shared" ca="1" si="37"/>
        <v>6579.2066666666751</v>
      </c>
      <c r="BE13" s="2">
        <f t="shared" ca="1" si="5"/>
        <v>2.0272446098602635E-3</v>
      </c>
      <c r="BF13" s="2">
        <f t="shared" ca="1" si="6"/>
        <v>-2.4817179790742327E-3</v>
      </c>
      <c r="BG13" s="2">
        <f t="shared" ca="1" si="7"/>
        <v>1.4838629128239146E-2</v>
      </c>
      <c r="BH13" s="13">
        <f t="shared" ca="1" si="8"/>
        <v>1.4838720013440979E-2</v>
      </c>
      <c r="BI13" s="2">
        <f t="shared" ca="1" si="9"/>
        <v>3.3633831027227098E-2</v>
      </c>
      <c r="BJ13" s="2">
        <f t="shared" ca="1" si="10"/>
        <v>-4.1173957380095223E-2</v>
      </c>
      <c r="BK13" s="2">
        <f t="shared" ca="1" si="11"/>
        <v>0.24618634690033128</v>
      </c>
      <c r="BL13" s="40">
        <f t="shared" ca="1" si="12"/>
        <v>0.24618785476845259</v>
      </c>
      <c r="BN13" s="6">
        <f t="shared" ca="1" si="38"/>
        <v>70.875999999992018</v>
      </c>
      <c r="BO13" s="6">
        <f t="shared" ca="1" si="39"/>
        <v>-5609.1240000000089</v>
      </c>
      <c r="BP13" s="6">
        <f t="shared" ca="1" si="40"/>
        <v>2070.8359999999921</v>
      </c>
      <c r="BQ13" s="12">
        <f t="shared" ca="1" si="41"/>
        <v>2070.875999999992</v>
      </c>
      <c r="BR13" s="2">
        <f t="shared" ca="1" si="13"/>
        <v>7.6116458310078472E-4</v>
      </c>
      <c r="BS13" s="2">
        <f t="shared" ca="1" si="14"/>
        <v>-5.6878893225497461E-2</v>
      </c>
      <c r="BT13" s="2">
        <f t="shared" ca="1" si="15"/>
        <v>2.2727660348330264E-2</v>
      </c>
      <c r="BU13" s="13">
        <f t="shared" ca="1" si="16"/>
        <v>2.2728104341744833E-2</v>
      </c>
      <c r="BV13" s="2">
        <f t="shared" ca="1" si="17"/>
        <v>1.2628412401444838E-2</v>
      </c>
      <c r="BW13" s="2">
        <f t="shared" ca="1" si="18"/>
        <v>-0.94367254669575329</v>
      </c>
      <c r="BX13" s="2">
        <f t="shared" ca="1" si="19"/>
        <v>0.37707254668820661</v>
      </c>
      <c r="BY13" s="13">
        <f t="shared" ca="1" si="20"/>
        <v>0.37707991294258475</v>
      </c>
      <c r="CF13" s="39" t="str">
        <f t="shared" si="21"/>
        <v>C2020-04-3550000.CFE</v>
      </c>
      <c r="CG13" s="39" t="str">
        <f t="shared" si="22"/>
        <v>P2020-04-3550000.CFE</v>
      </c>
      <c r="CH13" s="95" t="s">
        <v>35</v>
      </c>
      <c r="CI13" s="100" t="str">
        <f>IF([1]!w_info_callput(CH13)="认购","C","P")</f>
        <v>C</v>
      </c>
      <c r="CJ13" s="104">
        <f>[1]!w_info_strikeprice(CH13,"")</f>
        <v>3550</v>
      </c>
      <c r="CK13" s="102" t="str">
        <f>[1]!w_info_lasttradingdate(CH13)</f>
        <v>2020-04-17</v>
      </c>
      <c r="CL13" s="39" t="str">
        <f t="shared" si="23"/>
        <v>IO2004-P-3550.CFE</v>
      </c>
    </row>
    <row r="14" spans="1:90">
      <c r="A14" s="35">
        <f t="shared" si="2"/>
        <v>1</v>
      </c>
      <c r="B14" s="112" t="s">
        <v>36</v>
      </c>
      <c r="C14" s="29" t="str">
        <f>IF([1]!w_info_callput(B14)="认购","C","P")</f>
        <v>C</v>
      </c>
      <c r="D14" s="96">
        <f>[1]!w_info_strikeprice(B14,"")</f>
        <v>3600</v>
      </c>
      <c r="E14" s="18" t="str">
        <f>[1]!w_info_lasttradingdate(B14)</f>
        <v>2020-04-17</v>
      </c>
      <c r="F14" s="4">
        <f>IF(G14&gt;0,RTD("wdf.rtq",,$B14,F$5),0)</f>
        <v>213.4</v>
      </c>
      <c r="G14" s="53">
        <f>RTD("wdf.rtq",,$B14,G$5)</f>
        <v>584</v>
      </c>
      <c r="H14" s="4">
        <f>RTD("wdf.rtq",,$B14,H$5)</f>
        <v>200</v>
      </c>
      <c r="I14" s="53">
        <f>RTD("wdf.rtq",,$B14,I$5)</f>
        <v>1</v>
      </c>
      <c r="J14" s="4">
        <f>RTD("wdf.rtq",,$B14,J$5)</f>
        <v>213.6</v>
      </c>
      <c r="K14" s="54">
        <f>RTD("wdf.rtq",,$B14,K$5)</f>
        <v>2</v>
      </c>
      <c r="L14" s="4">
        <f>[1]!s_dq_presettle(B14,"")</f>
        <v>168</v>
      </c>
      <c r="M14" s="6">
        <f t="shared" si="24"/>
        <v>0</v>
      </c>
      <c r="N14" s="3">
        <f t="shared" si="25"/>
        <v>21340</v>
      </c>
      <c r="O14" s="4">
        <f t="shared" si="26"/>
        <v>37571</v>
      </c>
      <c r="P14" s="4">
        <f t="shared" si="27"/>
        <v>18000</v>
      </c>
      <c r="Q14" s="8">
        <f t="shared" si="28"/>
        <v>58911.01</v>
      </c>
      <c r="R14" s="55">
        <f ca="1">IF(NOW()-TODAY()&gt;15/24, G14, [1]!s_dq_volume(B14,R$2,1))/$AI$2</f>
        <v>580</v>
      </c>
      <c r="AB14" s="39" t="s">
        <v>64</v>
      </c>
      <c r="AC14" s="29" t="str">
        <f>IF([1]!w_info_callput(AB14)="认购","C","P")</f>
        <v>P</v>
      </c>
      <c r="AD14" s="31">
        <f>[1]!w_info_strikeprice(AB14,"")</f>
        <v>3600</v>
      </c>
      <c r="AE14" s="18" t="str">
        <f>[1]!w_info_lasttradingdate(AB14)</f>
        <v>2020-04-17</v>
      </c>
      <c r="AF14" s="4">
        <f>RTD("wdf.rtq",,$AB14,F$5)</f>
        <v>70</v>
      </c>
      <c r="AG14" s="53">
        <f>RTD("wdf.rtq",,$AB14,G$5)</f>
        <v>1097</v>
      </c>
      <c r="AH14" s="4">
        <f>RTD("wdf.rtq",,$AB14,H$5)</f>
        <v>70</v>
      </c>
      <c r="AI14" s="53">
        <f>RTD("wdf.rtq",,$AB14,I$5)</f>
        <v>2</v>
      </c>
      <c r="AJ14" s="4">
        <f>RTD("wdf.rtq",,$AB14,J$5)</f>
        <v>71</v>
      </c>
      <c r="AK14" s="54">
        <f>RTD("wdf.rtq",,$AB14,K$5)</f>
        <v>16</v>
      </c>
      <c r="AL14" s="4">
        <f>[1]!s_dq_presettle(AB14,"")</f>
        <v>103.8</v>
      </c>
      <c r="AM14" s="6">
        <f t="shared" si="29"/>
        <v>157.09999999999991</v>
      </c>
      <c r="AN14" s="6">
        <f t="shared" si="30"/>
        <v>7000</v>
      </c>
      <c r="AO14" s="6">
        <f t="shared" si="31"/>
        <v>21861.000000000015</v>
      </c>
      <c r="AP14" s="4">
        <f t="shared" si="32"/>
        <v>18000</v>
      </c>
      <c r="AQ14" s="8">
        <f t="shared" si="33"/>
        <v>28861.010000000013</v>
      </c>
      <c r="AR14" s="55">
        <f ca="1">IF(NOW()-TODAY()&gt;15/24, AG14, [1]!s_dq_volume(AB14,AR$2,1))/AI$2</f>
        <v>2548</v>
      </c>
      <c r="AS14" s="110"/>
      <c r="AT14" s="110"/>
      <c r="AU14" s="110"/>
      <c r="AV14" s="110"/>
      <c r="AY14" s="10"/>
      <c r="AZ14" s="10"/>
      <c r="BA14" s="6">
        <f t="shared" ca="1" si="34"/>
        <v>1319.2066666666763</v>
      </c>
      <c r="BB14" s="6">
        <f t="shared" ca="1" si="35"/>
        <v>-120.79333333332441</v>
      </c>
      <c r="BC14" s="6">
        <f t="shared" ca="1" si="36"/>
        <v>1339.1666666666752</v>
      </c>
      <c r="BD14" s="12">
        <f t="shared" ca="1" si="37"/>
        <v>1339.2066666666751</v>
      </c>
      <c r="BE14" s="2">
        <f t="shared" ca="1" si="5"/>
        <v>2.9871918155947252E-3</v>
      </c>
      <c r="BF14" s="2">
        <f t="shared" ca="1" si="6"/>
        <v>-2.7346069260623219E-4</v>
      </c>
      <c r="BG14" s="2">
        <f t="shared" ca="1" si="7"/>
        <v>3.0323888032838366E-3</v>
      </c>
      <c r="BH14" s="13">
        <f t="shared" ca="1" si="8"/>
        <v>3.0324795160145916E-3</v>
      </c>
      <c r="BI14" s="2">
        <f t="shared" ca="1" si="9"/>
        <v>4.956022784963976E-2</v>
      </c>
      <c r="BJ14" s="2">
        <f t="shared" ca="1" si="10"/>
        <v>-4.5369614909670335E-3</v>
      </c>
      <c r="BK14" s="2">
        <f t="shared" ca="1" si="11"/>
        <v>5.0310086963572746E-2</v>
      </c>
      <c r="BL14" s="40">
        <f t="shared" ca="1" si="12"/>
        <v>5.0311591970242084E-2</v>
      </c>
      <c r="BN14" s="6">
        <f t="shared" ca="1" si="38"/>
        <v>-349.12400000000969</v>
      </c>
      <c r="BO14" s="6">
        <f t="shared" ca="1" si="39"/>
        <v>-369.12400000000855</v>
      </c>
      <c r="BP14" s="6">
        <f t="shared" ca="1" si="40"/>
        <v>1090.8359999999909</v>
      </c>
      <c r="BQ14" s="12">
        <f t="shared" ca="1" si="41"/>
        <v>1090.8759999999909</v>
      </c>
      <c r="BR14" s="2">
        <f t="shared" ca="1" si="13"/>
        <v>-3.6639509536585584E-3</v>
      </c>
      <c r="BS14" s="2">
        <f t="shared" ca="1" si="14"/>
        <v>-3.8730319881569997E-3</v>
      </c>
      <c r="BT14" s="2">
        <f t="shared" ca="1" si="15"/>
        <v>1.1611280197193551E-2</v>
      </c>
      <c r="BU14" s="13">
        <f t="shared" ca="1" si="16"/>
        <v>1.1611708444651368E-2</v>
      </c>
      <c r="BV14" s="2">
        <f t="shared" ca="1" si="17"/>
        <v>-6.0788277185698812E-2</v>
      </c>
      <c r="BW14" s="2">
        <f t="shared" ca="1" si="18"/>
        <v>-6.4257121621695668E-2</v>
      </c>
      <c r="BX14" s="2">
        <f t="shared" ca="1" si="19"/>
        <v>0.1926416941807112</v>
      </c>
      <c r="BY14" s="13">
        <f t="shared" ca="1" si="20"/>
        <v>0.19264879919535224</v>
      </c>
      <c r="CF14" s="39" t="str">
        <f t="shared" si="21"/>
        <v>C2020-04-3600000.CFE</v>
      </c>
      <c r="CG14" s="39" t="str">
        <f t="shared" si="22"/>
        <v>P2020-04-3600000.CFE</v>
      </c>
      <c r="CH14" s="95" t="s">
        <v>36</v>
      </c>
      <c r="CI14" s="100" t="str">
        <f>IF([1]!w_info_callput(CH14)="认购","C","P")</f>
        <v>C</v>
      </c>
      <c r="CJ14" s="104">
        <f>[1]!w_info_strikeprice(CH14,"")</f>
        <v>3600</v>
      </c>
      <c r="CK14" s="102" t="str">
        <f>[1]!w_info_lasttradingdate(CH14)</f>
        <v>2020-04-17</v>
      </c>
      <c r="CL14" s="39" t="str">
        <f t="shared" si="23"/>
        <v>IO2004-P-3600.CFE</v>
      </c>
    </row>
    <row r="15" spans="1:90">
      <c r="A15" s="35">
        <f t="shared" si="2"/>
        <v>1</v>
      </c>
      <c r="B15" s="112" t="s">
        <v>37</v>
      </c>
      <c r="C15" s="29" t="str">
        <f>IF([1]!w_info_callput(B15)="认购","C","P")</f>
        <v>C</v>
      </c>
      <c r="D15" s="96">
        <f>[1]!w_info_strikeprice(B15,"")</f>
        <v>3650</v>
      </c>
      <c r="E15" s="18" t="str">
        <f>[1]!w_info_lasttradingdate(B15)</f>
        <v>2020-04-17</v>
      </c>
      <c r="F15" s="4">
        <f>IF(G15&gt;0,RTD("wdf.rtq",,$B15,F$5),0)</f>
        <v>174.4</v>
      </c>
      <c r="G15" s="53">
        <f>RTD("wdf.rtq",,$B15,G$5)</f>
        <v>165</v>
      </c>
      <c r="H15" s="4">
        <f>RTD("wdf.rtq",,$B15,H$5)</f>
        <v>177</v>
      </c>
      <c r="I15" s="53">
        <f>RTD("wdf.rtq",,$B15,I$5)</f>
        <v>4</v>
      </c>
      <c r="J15" s="4">
        <f>RTD("wdf.rtq",,$B15,J$5)</f>
        <v>199.8</v>
      </c>
      <c r="K15" s="54">
        <f>RTD("wdf.rtq",,$B15,K$5)</f>
        <v>1</v>
      </c>
      <c r="L15" s="4">
        <f>[1]!s_dq_presettle(B15,"")</f>
        <v>138</v>
      </c>
      <c r="M15" s="6">
        <f t="shared" si="24"/>
        <v>0</v>
      </c>
      <c r="N15" s="3">
        <f t="shared" si="25"/>
        <v>17440</v>
      </c>
      <c r="O15" s="4">
        <f t="shared" si="26"/>
        <v>37571</v>
      </c>
      <c r="P15" s="4">
        <f t="shared" si="27"/>
        <v>18250</v>
      </c>
      <c r="Q15" s="8">
        <f t="shared" si="28"/>
        <v>55011.01</v>
      </c>
      <c r="R15" s="55">
        <f ca="1">IF(NOW()-TODAY()&gt;15/24, G15, [1]!s_dq_volume(B15,R$2,1))/$AI$2</f>
        <v>458</v>
      </c>
      <c r="AB15" s="39" t="s">
        <v>65</v>
      </c>
      <c r="AC15" s="29" t="str">
        <f>IF([1]!w_info_callput(AB15)="认购","C","P")</f>
        <v>P</v>
      </c>
      <c r="AD15" s="31">
        <f>[1]!w_info_strikeprice(AB15,"")</f>
        <v>3650</v>
      </c>
      <c r="AE15" s="18" t="str">
        <f>[1]!w_info_lasttradingdate(AB15)</f>
        <v>2020-04-17</v>
      </c>
      <c r="AF15" s="4">
        <f>RTD("wdf.rtq",,$AB15,F$5)</f>
        <v>90.600000000000009</v>
      </c>
      <c r="AG15" s="53">
        <f>RTD("wdf.rtq",,$AB15,G$5)</f>
        <v>322</v>
      </c>
      <c r="AH15" s="4">
        <f>RTD("wdf.rtq",,$AB15,H$5)</f>
        <v>87</v>
      </c>
      <c r="AI15" s="53">
        <f>RTD("wdf.rtq",,$AB15,I$5)</f>
        <v>2</v>
      </c>
      <c r="AJ15" s="4">
        <f>RTD("wdf.rtq",,$AB15,J$5)</f>
        <v>110.60000000000001</v>
      </c>
      <c r="AK15" s="54">
        <f>RTD("wdf.rtq",,$AB15,K$5)</f>
        <v>1</v>
      </c>
      <c r="AL15" s="4">
        <f>[1]!s_dq_presettle(AB15,"")</f>
        <v>127.8</v>
      </c>
      <c r="AM15" s="6">
        <f t="shared" si="29"/>
        <v>107.09999999999991</v>
      </c>
      <c r="AN15" s="6">
        <f t="shared" si="30"/>
        <v>9060</v>
      </c>
      <c r="AO15" s="6">
        <f t="shared" si="31"/>
        <v>26861.000000000015</v>
      </c>
      <c r="AP15" s="4">
        <f t="shared" si="32"/>
        <v>18250</v>
      </c>
      <c r="AQ15" s="8">
        <f t="shared" si="33"/>
        <v>35921.010000000017</v>
      </c>
      <c r="AR15" s="55">
        <f ca="1">IF(NOW()-TODAY()&gt;15/24, AG15, [1]!s_dq_volume(AB15,AR$2,1))/AI$2</f>
        <v>583</v>
      </c>
      <c r="AS15" s="110"/>
      <c r="AT15" s="110"/>
      <c r="AU15" s="110"/>
      <c r="AV15" s="110"/>
      <c r="AY15" s="10"/>
      <c r="AZ15" s="10"/>
      <c r="BA15" s="6">
        <f t="shared" ca="1" si="34"/>
        <v>359.20666666667529</v>
      </c>
      <c r="BB15" s="6">
        <f t="shared" ca="1" si="35"/>
        <v>-1380.7933333333253</v>
      </c>
      <c r="BC15" s="6">
        <f t="shared" ca="1" si="36"/>
        <v>3259.1666666666765</v>
      </c>
      <c r="BD15" s="12">
        <f t="shared" ca="1" si="37"/>
        <v>3259.2066666666765</v>
      </c>
      <c r="BE15" s="2">
        <f t="shared" ca="1" si="5"/>
        <v>8.1678530563808406E-4</v>
      </c>
      <c r="BF15" s="2">
        <f t="shared" ca="1" si="6"/>
        <v>-3.125515361860677E-3</v>
      </c>
      <c r="BG15" s="2">
        <f t="shared" ca="1" si="7"/>
        <v>7.4169565044865443E-3</v>
      </c>
      <c r="BH15" s="13">
        <f t="shared" ca="1" si="8"/>
        <v>7.4170478709397088E-3</v>
      </c>
      <c r="BI15" s="2">
        <f t="shared" ca="1" si="9"/>
        <v>1.3551210752631849E-2</v>
      </c>
      <c r="BJ15" s="2">
        <f t="shared" ca="1" si="10"/>
        <v>-5.1855141230870323E-2</v>
      </c>
      <c r="BK15" s="2">
        <f t="shared" ca="1" si="11"/>
        <v>0.12305405109716312</v>
      </c>
      <c r="BL15" s="40">
        <f t="shared" ca="1" si="12"/>
        <v>0.12305556694968155</v>
      </c>
      <c r="BN15" s="6">
        <f t="shared" ca="1" si="38"/>
        <v>610.87599999999111</v>
      </c>
      <c r="BO15" s="6">
        <f t="shared" ca="1" si="39"/>
        <v>-2289.1240000000103</v>
      </c>
      <c r="BP15" s="6">
        <f t="shared" ca="1" si="40"/>
        <v>2350.8359999999916</v>
      </c>
      <c r="BQ15" s="12">
        <f t="shared" ca="1" si="41"/>
        <v>2350.8759999999916</v>
      </c>
      <c r="BR15" s="2">
        <f t="shared" ca="1" si="13"/>
        <v>6.2051753947662486E-3</v>
      </c>
      <c r="BS15" s="2">
        <f t="shared" ca="1" si="14"/>
        <v>-2.2667688984466392E-2</v>
      </c>
      <c r="BT15" s="2">
        <f t="shared" ca="1" si="15"/>
        <v>2.3816490610572314E-2</v>
      </c>
      <c r="BU15" s="13">
        <f t="shared" ca="1" si="16"/>
        <v>2.3816900679298609E-2</v>
      </c>
      <c r="BV15" s="2">
        <f t="shared" ca="1" si="17"/>
        <v>0.10294950086771276</v>
      </c>
      <c r="BW15" s="2">
        <f t="shared" ca="1" si="18"/>
        <v>-0.37607756724228331</v>
      </c>
      <c r="BX15" s="2">
        <f t="shared" ca="1" si="19"/>
        <v>0.39513723058449524</v>
      </c>
      <c r="BY15" s="13">
        <f t="shared" ca="1" si="20"/>
        <v>0.39514403399745424</v>
      </c>
      <c r="CF15" s="39" t="str">
        <f t="shared" si="21"/>
        <v>C2020-04-3650000.CFE</v>
      </c>
      <c r="CG15" s="39" t="str">
        <f t="shared" si="22"/>
        <v>P2020-04-3650000.CFE</v>
      </c>
      <c r="CH15" s="95" t="s">
        <v>37</v>
      </c>
      <c r="CI15" s="100" t="str">
        <f>IF([1]!w_info_callput(CH15)="认购","C","P")</f>
        <v>C</v>
      </c>
      <c r="CJ15" s="104">
        <f>[1]!w_info_strikeprice(CH15,"")</f>
        <v>3650</v>
      </c>
      <c r="CK15" s="102" t="str">
        <f>[1]!w_info_lasttradingdate(CH15)</f>
        <v>2020-04-17</v>
      </c>
      <c r="CL15" s="39" t="str">
        <f t="shared" si="23"/>
        <v>IO2004-P-3650.CFE</v>
      </c>
    </row>
    <row r="16" spans="1:90">
      <c r="A16" s="35">
        <f t="shared" si="2"/>
        <v>1</v>
      </c>
      <c r="B16" s="112" t="s">
        <v>38</v>
      </c>
      <c r="C16" s="29" t="str">
        <f>IF([1]!w_info_callput(B16)="认购","C","P")</f>
        <v>C</v>
      </c>
      <c r="D16" s="96">
        <f>[1]!w_info_strikeprice(B16,"")</f>
        <v>3700</v>
      </c>
      <c r="E16" s="18" t="str">
        <f>[1]!w_info_lasttradingdate(B16)</f>
        <v>2020-04-17</v>
      </c>
      <c r="F16" s="4">
        <f>IF(G16&gt;0,RTD("wdf.rtq",,$B16,F$5),0)</f>
        <v>151.80000000000001</v>
      </c>
      <c r="G16" s="53">
        <f>RTD("wdf.rtq",,$B16,G$5)</f>
        <v>1343</v>
      </c>
      <c r="H16" s="4">
        <f>RTD("wdf.rtq",,$B16,H$5)</f>
        <v>146.6</v>
      </c>
      <c r="I16" s="53">
        <f>RTD("wdf.rtq",,$B16,I$5)</f>
        <v>3</v>
      </c>
      <c r="J16" s="4">
        <f>RTD("wdf.rtq",,$B16,J$5)</f>
        <v>152</v>
      </c>
      <c r="K16" s="54">
        <f>RTD("wdf.rtq",,$B16,K$5)</f>
        <v>1</v>
      </c>
      <c r="L16" s="4">
        <f>[1]!s_dq_presettle(B16,"")</f>
        <v>114</v>
      </c>
      <c r="M16" s="6">
        <f t="shared" si="24"/>
        <v>0</v>
      </c>
      <c r="N16" s="3">
        <f t="shared" si="25"/>
        <v>15180.000000000002</v>
      </c>
      <c r="O16" s="4">
        <f t="shared" si="26"/>
        <v>37571</v>
      </c>
      <c r="P16" s="4">
        <f t="shared" si="27"/>
        <v>18500</v>
      </c>
      <c r="Q16" s="8">
        <f t="shared" si="28"/>
        <v>52751.01</v>
      </c>
      <c r="R16" s="55">
        <f ca="1">IF(NOW()-TODAY()&gt;15/24, G16, [1]!s_dq_volume(B16,R$2,1))/$AI$2</f>
        <v>2512</v>
      </c>
      <c r="AB16" s="39" t="s">
        <v>66</v>
      </c>
      <c r="AC16" s="29" t="str">
        <f>IF([1]!w_info_callput(AB16)="认购","C","P")</f>
        <v>P</v>
      </c>
      <c r="AD16" s="31">
        <f>[1]!w_info_strikeprice(AB16,"")</f>
        <v>3700</v>
      </c>
      <c r="AE16" s="18" t="str">
        <f>[1]!w_info_lasttradingdate(AB16)</f>
        <v>2020-04-17</v>
      </c>
      <c r="AF16" s="4">
        <f>RTD("wdf.rtq",,$AB16,F$5)</f>
        <v>108.4</v>
      </c>
      <c r="AG16" s="53">
        <f>RTD("wdf.rtq",,$AB16,G$5)</f>
        <v>934</v>
      </c>
      <c r="AH16" s="4">
        <f>RTD("wdf.rtq",,$AB16,H$5)</f>
        <v>107.2</v>
      </c>
      <c r="AI16" s="53">
        <f>RTD("wdf.rtq",,$AB16,I$5)</f>
        <v>1</v>
      </c>
      <c r="AJ16" s="4">
        <f>RTD("wdf.rtq",,$AB16,J$5)</f>
        <v>113</v>
      </c>
      <c r="AK16" s="54">
        <f>RTD("wdf.rtq",,$AB16,K$5)</f>
        <v>3</v>
      </c>
      <c r="AL16" s="4">
        <f>[1]!s_dq_presettle(AB16,"")</f>
        <v>149.6</v>
      </c>
      <c r="AM16" s="6">
        <f t="shared" si="29"/>
        <v>57.099999999999909</v>
      </c>
      <c r="AN16" s="6">
        <f t="shared" si="30"/>
        <v>10840</v>
      </c>
      <c r="AO16" s="6">
        <f t="shared" si="31"/>
        <v>31861.000000000015</v>
      </c>
      <c r="AP16" s="4">
        <f t="shared" si="32"/>
        <v>18500</v>
      </c>
      <c r="AQ16" s="8">
        <f t="shared" si="33"/>
        <v>42701.010000000017</v>
      </c>
      <c r="AR16" s="55">
        <f ca="1">IF(NOW()-TODAY()&gt;15/24, AG16, [1]!s_dq_volume(AB16,AR$2,1))/AI$2</f>
        <v>1711</v>
      </c>
      <c r="AS16" s="110"/>
      <c r="AT16" s="110"/>
      <c r="AU16" s="110"/>
      <c r="AV16" s="110"/>
      <c r="AY16" s="10"/>
      <c r="AZ16" s="10"/>
      <c r="BA16" s="6">
        <f t="shared" ca="1" si="34"/>
        <v>1319.2066666666763</v>
      </c>
      <c r="BB16" s="6">
        <f t="shared" ca="1" si="35"/>
        <v>339.20666666667501</v>
      </c>
      <c r="BC16" s="6">
        <f t="shared" ca="1" si="36"/>
        <v>1459.1666666666754</v>
      </c>
      <c r="BD16" s="12">
        <f t="shared" ca="1" si="37"/>
        <v>1459.2066666666753</v>
      </c>
      <c r="BE16" s="2">
        <f t="shared" ca="1" si="5"/>
        <v>3.0029675248565359E-3</v>
      </c>
      <c r="BF16" s="2">
        <f t="shared" ca="1" si="6"/>
        <v>7.7134320449799543E-4</v>
      </c>
      <c r="BG16" s="2">
        <f t="shared" ca="1" si="7"/>
        <v>3.3224719807835859E-3</v>
      </c>
      <c r="BH16" s="13">
        <f t="shared" ca="1" si="8"/>
        <v>3.3225632107059351E-3</v>
      </c>
      <c r="BI16" s="2">
        <f t="shared" ca="1" si="9"/>
        <v>4.9821961207847071E-2</v>
      </c>
      <c r="BJ16" s="2">
        <f t="shared" ca="1" si="10"/>
        <v>1.2797284983716741E-2</v>
      </c>
      <c r="BK16" s="2">
        <f t="shared" ca="1" si="11"/>
        <v>5.5122830590273127E-2</v>
      </c>
      <c r="BL16" s="40">
        <f t="shared" ca="1" si="12"/>
        <v>5.5124344177621194E-2</v>
      </c>
      <c r="BN16" s="6">
        <f t="shared" ca="1" si="38"/>
        <v>-349.12400000000969</v>
      </c>
      <c r="BO16" s="6">
        <f t="shared" ca="1" si="39"/>
        <v>-489.12400000000883</v>
      </c>
      <c r="BP16" s="6">
        <f t="shared" ca="1" si="40"/>
        <v>630.83599999999149</v>
      </c>
      <c r="BQ16" s="12">
        <f t="shared" ca="1" si="41"/>
        <v>630.87599999999145</v>
      </c>
      <c r="BR16" s="2">
        <f t="shared" ca="1" si="13"/>
        <v>-3.3906657339335847E-3</v>
      </c>
      <c r="BS16" s="2">
        <f t="shared" ca="1" si="14"/>
        <v>-4.7494125669835675E-3</v>
      </c>
      <c r="BT16" s="2">
        <f t="shared" ca="1" si="15"/>
        <v>6.1577278148741187E-3</v>
      </c>
      <c r="BU16" s="13">
        <f t="shared" ca="1" si="16"/>
        <v>6.1581194658151955E-3</v>
      </c>
      <c r="BV16" s="2">
        <f t="shared" ca="1" si="17"/>
        <v>-5.625422694935265E-2</v>
      </c>
      <c r="BW16" s="2">
        <f t="shared" ca="1" si="18"/>
        <v>-7.8797072134045548E-2</v>
      </c>
      <c r="BX16" s="2">
        <f t="shared" ca="1" si="19"/>
        <v>0.10216230238313879</v>
      </c>
      <c r="BY16" s="13">
        <f t="shared" ca="1" si="20"/>
        <v>0.10216880022829757</v>
      </c>
      <c r="CF16" s="39" t="str">
        <f t="shared" si="21"/>
        <v>C2020-04-3700000.CFE</v>
      </c>
      <c r="CG16" s="39" t="str">
        <f t="shared" si="22"/>
        <v>P2020-04-3700000.CFE</v>
      </c>
      <c r="CH16" s="95" t="s">
        <v>38</v>
      </c>
      <c r="CI16" s="100" t="str">
        <f>IF([1]!w_info_callput(CH16)="认购","C","P")</f>
        <v>C</v>
      </c>
      <c r="CJ16" s="104">
        <f>[1]!w_info_strikeprice(CH16,"")</f>
        <v>3700</v>
      </c>
      <c r="CK16" s="102" t="str">
        <f>[1]!w_info_lasttradingdate(CH16)</f>
        <v>2020-04-17</v>
      </c>
      <c r="CL16" s="39" t="str">
        <f t="shared" si="23"/>
        <v>IO2004-P-3700.CFE</v>
      </c>
    </row>
    <row r="17" spans="1:90">
      <c r="A17" s="35">
        <f t="shared" si="2"/>
        <v>1</v>
      </c>
      <c r="B17" s="112" t="s">
        <v>39</v>
      </c>
      <c r="C17" s="29" t="str">
        <f>IF([1]!w_info_callput(B17)="认购","C","P")</f>
        <v>C</v>
      </c>
      <c r="D17" s="96">
        <f>[1]!w_info_strikeprice(B17,"")</f>
        <v>3750</v>
      </c>
      <c r="E17" s="18" t="str">
        <f>[1]!w_info_lasttradingdate(B17)</f>
        <v>2020-04-17</v>
      </c>
      <c r="F17" s="4">
        <f>IF(G17&gt;0,RTD("wdf.rtq",,$B17,F$5),0)</f>
        <v>124</v>
      </c>
      <c r="G17" s="53">
        <f>RTD("wdf.rtq",,$B17,G$5)</f>
        <v>820</v>
      </c>
      <c r="H17" s="4">
        <f>RTD("wdf.rtq",,$B17,H$5)</f>
        <v>100</v>
      </c>
      <c r="I17" s="53">
        <f>RTD("wdf.rtq",,$B17,I$5)</f>
        <v>2</v>
      </c>
      <c r="J17" s="4">
        <f>RTD("wdf.rtq",,$B17,J$5)</f>
        <v>125.8</v>
      </c>
      <c r="K17" s="54">
        <f>RTD("wdf.rtq",,$B17,K$5)</f>
        <v>8</v>
      </c>
      <c r="L17" s="4">
        <f>[1]!s_dq_presettle(B17,"")</f>
        <v>91</v>
      </c>
      <c r="M17" s="6">
        <f t="shared" si="24"/>
        <v>0</v>
      </c>
      <c r="N17" s="3">
        <f t="shared" si="25"/>
        <v>12400</v>
      </c>
      <c r="O17" s="4">
        <f t="shared" si="26"/>
        <v>37571</v>
      </c>
      <c r="P17" s="4">
        <f t="shared" si="27"/>
        <v>18750</v>
      </c>
      <c r="Q17" s="8">
        <f t="shared" si="28"/>
        <v>49971.01</v>
      </c>
      <c r="R17" s="55">
        <f ca="1">IF(NOW()-TODAY()&gt;15/24, G17, [1]!s_dq_volume(B17,R$2,1))/$AI$2</f>
        <v>703</v>
      </c>
      <c r="AB17" s="39" t="s">
        <v>67</v>
      </c>
      <c r="AC17" s="29" t="str">
        <f>IF([1]!w_info_callput(AB17)="认购","C","P")</f>
        <v>P</v>
      </c>
      <c r="AD17" s="31">
        <f>[1]!w_info_strikeprice(AB17,"")</f>
        <v>3750</v>
      </c>
      <c r="AE17" s="18" t="str">
        <f>[1]!w_info_lasttradingdate(AB17)</f>
        <v>2020-04-17</v>
      </c>
      <c r="AF17" s="4">
        <f>RTD("wdf.rtq",,$AB17,F$5)</f>
        <v>130</v>
      </c>
      <c r="AG17" s="53">
        <f>RTD("wdf.rtq",,$AB17,G$5)</f>
        <v>252</v>
      </c>
      <c r="AH17" s="4">
        <f>RTD("wdf.rtq",,$AB17,H$5)</f>
        <v>130</v>
      </c>
      <c r="AI17" s="53">
        <f>RTD("wdf.rtq",,$AB17,I$5)</f>
        <v>2</v>
      </c>
      <c r="AJ17" s="4">
        <f>RTD("wdf.rtq",,$AB17,J$5)</f>
        <v>144</v>
      </c>
      <c r="AK17" s="54">
        <f>RTD("wdf.rtq",,$AB17,K$5)</f>
        <v>1</v>
      </c>
      <c r="AL17" s="4">
        <f>[1]!s_dq_presettle(AB17,"")</f>
        <v>179.2</v>
      </c>
      <c r="AM17" s="6">
        <f t="shared" si="29"/>
        <v>7.0999999999999091</v>
      </c>
      <c r="AN17" s="6">
        <f t="shared" si="30"/>
        <v>13000</v>
      </c>
      <c r="AO17" s="6">
        <f t="shared" si="31"/>
        <v>36861.000000000015</v>
      </c>
      <c r="AP17" s="4">
        <f t="shared" si="32"/>
        <v>18750</v>
      </c>
      <c r="AQ17" s="8">
        <f t="shared" si="33"/>
        <v>49861.010000000017</v>
      </c>
      <c r="AR17" s="55">
        <f ca="1">IF(NOW()-TODAY()&gt;15/24, AG17, [1]!s_dq_volume(AB17,AR$2,1))/AI$2</f>
        <v>291</v>
      </c>
      <c r="AS17" s="110"/>
      <c r="AT17" s="110"/>
      <c r="AU17" s="110"/>
      <c r="AV17" s="110"/>
      <c r="AY17" s="10"/>
      <c r="AZ17" s="10"/>
      <c r="BA17" s="6">
        <f t="shared" ca="1" si="34"/>
        <v>1379.2066666666756</v>
      </c>
      <c r="BB17" s="6">
        <f t="shared" ca="1" si="35"/>
        <v>-2420.7933333333244</v>
      </c>
      <c r="BC17" s="6">
        <f t="shared" ca="1" si="36"/>
        <v>1559.1666666666754</v>
      </c>
      <c r="BD17" s="12">
        <f t="shared" ca="1" si="37"/>
        <v>1559.2066666666753</v>
      </c>
      <c r="BE17" s="2">
        <f t="shared" ca="1" si="5"/>
        <v>3.1439853452208373E-3</v>
      </c>
      <c r="BF17" s="2">
        <f t="shared" ca="1" si="6"/>
        <v>-5.5007902598054031E-3</v>
      </c>
      <c r="BG17" s="2">
        <f t="shared" ca="1" si="7"/>
        <v>3.5542149307588602E-3</v>
      </c>
      <c r="BH17" s="13">
        <f t="shared" ca="1" si="8"/>
        <v>3.5543062752287254E-3</v>
      </c>
      <c r="BI17" s="2">
        <f t="shared" ca="1" si="9"/>
        <v>5.2161575045709348E-2</v>
      </c>
      <c r="BJ17" s="2">
        <f t="shared" ca="1" si="10"/>
        <v>-9.1263111128589633E-2</v>
      </c>
      <c r="BK17" s="2">
        <f t="shared" ca="1" si="11"/>
        <v>5.8967656805771991E-2</v>
      </c>
      <c r="BL17" s="40">
        <f t="shared" ca="1" si="12"/>
        <v>5.896917229356749E-2</v>
      </c>
      <c r="BN17" s="6">
        <f t="shared" ca="1" si="38"/>
        <v>-409.12400000000912</v>
      </c>
      <c r="BO17" s="6">
        <f t="shared" ca="1" si="39"/>
        <v>-589.12400000000889</v>
      </c>
      <c r="BP17" s="6">
        <f t="shared" ca="1" si="40"/>
        <v>3390.8359999999911</v>
      </c>
      <c r="BQ17" s="12">
        <f t="shared" ca="1" si="41"/>
        <v>3390.8759999999911</v>
      </c>
      <c r="BR17" s="2">
        <f t="shared" ca="1" si="13"/>
        <v>-3.8112570532300026E-3</v>
      </c>
      <c r="BS17" s="2">
        <f t="shared" ca="1" si="14"/>
        <v>-5.478887426609836E-3</v>
      </c>
      <c r="BT17" s="2">
        <f t="shared" ca="1" si="15"/>
        <v>3.2310222101356006E-2</v>
      </c>
      <c r="BU17" s="13">
        <f t="shared" ca="1" si="16"/>
        <v>3.2310609406475857E-2</v>
      </c>
      <c r="BV17" s="2">
        <f t="shared" ca="1" si="17"/>
        <v>-6.3232219292225042E-2</v>
      </c>
      <c r="BW17" s="2">
        <f t="shared" ca="1" si="18"/>
        <v>-9.0899723214208639E-2</v>
      </c>
      <c r="BX17" s="2">
        <f t="shared" ca="1" si="19"/>
        <v>0.53605595759067914</v>
      </c>
      <c r="BY17" s="13">
        <f t="shared" ca="1" si="20"/>
        <v>0.53606238333471312</v>
      </c>
      <c r="CF17" s="39" t="str">
        <f t="shared" si="21"/>
        <v>C2020-04-3750000.CFE</v>
      </c>
      <c r="CG17" s="39" t="str">
        <f t="shared" si="22"/>
        <v>P2020-04-3750000.CFE</v>
      </c>
      <c r="CH17" s="95" t="s">
        <v>39</v>
      </c>
      <c r="CI17" s="100" t="str">
        <f>IF([1]!w_info_callput(CH17)="认购","C","P")</f>
        <v>C</v>
      </c>
      <c r="CJ17" s="104">
        <f>[1]!w_info_strikeprice(CH17,"")</f>
        <v>3750</v>
      </c>
      <c r="CK17" s="102" t="str">
        <f>[1]!w_info_lasttradingdate(CH17)</f>
        <v>2020-04-17</v>
      </c>
      <c r="CL17" s="39" t="str">
        <f t="shared" si="23"/>
        <v>IO2004-P-3750.CFE</v>
      </c>
    </row>
    <row r="18" spans="1:90">
      <c r="A18" s="35">
        <f t="shared" si="2"/>
        <v>1</v>
      </c>
      <c r="B18" s="112" t="s">
        <v>40</v>
      </c>
      <c r="C18" s="29" t="str">
        <f>IF([1]!w_info_callput(B18)="认购","C","P")</f>
        <v>C</v>
      </c>
      <c r="D18" s="96">
        <f>[1]!w_info_strikeprice(B18,"")</f>
        <v>3800</v>
      </c>
      <c r="E18" s="18" t="str">
        <f>[1]!w_info_lasttradingdate(B18)</f>
        <v>2020-04-17</v>
      </c>
      <c r="F18" s="4">
        <f>IF(G18&gt;0,RTD("wdf.rtq",,$B18,F$5),0)</f>
        <v>101.2</v>
      </c>
      <c r="G18" s="53">
        <f>RTD("wdf.rtq",,$B18,G$5)</f>
        <v>1598</v>
      </c>
      <c r="H18" s="4">
        <f>RTD("wdf.rtq",,$B18,H$5)</f>
        <v>101.2</v>
      </c>
      <c r="I18" s="53">
        <f>RTD("wdf.rtq",,$B18,I$5)</f>
        <v>5</v>
      </c>
      <c r="J18" s="4">
        <f>RTD("wdf.rtq",,$B18,J$5)</f>
        <v>101.4</v>
      </c>
      <c r="K18" s="54">
        <f>RTD("wdf.rtq",,$B18,K$5)</f>
        <v>1</v>
      </c>
      <c r="L18" s="4">
        <f>[1]!s_dq_presettle(B18,"")</f>
        <v>76.2</v>
      </c>
      <c r="M18" s="6">
        <f t="shared" si="24"/>
        <v>42.900000000000091</v>
      </c>
      <c r="N18" s="3">
        <f t="shared" si="25"/>
        <v>10120</v>
      </c>
      <c r="O18" s="4">
        <f t="shared" si="26"/>
        <v>33280.999999999993</v>
      </c>
      <c r="P18" s="4">
        <f t="shared" si="27"/>
        <v>19000</v>
      </c>
      <c r="Q18" s="8">
        <f t="shared" si="28"/>
        <v>43401.009999999995</v>
      </c>
      <c r="R18" s="55">
        <f ca="1">IF(NOW()-TODAY()&gt;15/24, G18, [1]!s_dq_volume(B18,R$2,1))/$AI$2</f>
        <v>1681</v>
      </c>
      <c r="AB18" s="39" t="s">
        <v>68</v>
      </c>
      <c r="AC18" s="29" t="str">
        <f>IF([1]!w_info_callput(AB18)="认购","C","P")</f>
        <v>P</v>
      </c>
      <c r="AD18" s="31">
        <f>[1]!w_info_strikeprice(AB18,"")</f>
        <v>3800</v>
      </c>
      <c r="AE18" s="18" t="str">
        <f>[1]!w_info_lasttradingdate(AB18)</f>
        <v>2020-04-17</v>
      </c>
      <c r="AF18" s="4">
        <f>RTD("wdf.rtq",,$AB18,F$5)</f>
        <v>158</v>
      </c>
      <c r="AG18" s="53">
        <f>RTD("wdf.rtq",,$AB18,G$5)</f>
        <v>185</v>
      </c>
      <c r="AH18" s="4">
        <f>RTD("wdf.rtq",,$AB18,H$5)</f>
        <v>24</v>
      </c>
      <c r="AI18" s="53">
        <f>RTD("wdf.rtq",,$AB18,I$5)</f>
        <v>1</v>
      </c>
      <c r="AJ18" s="4">
        <f>RTD("wdf.rtq",,$AB18,J$5)</f>
        <v>0</v>
      </c>
      <c r="AK18" s="54">
        <f>RTD("wdf.rtq",,$AB18,K$5)</f>
        <v>0</v>
      </c>
      <c r="AL18" s="4">
        <f>[1]!s_dq_presettle(AB18,"")</f>
        <v>210.2</v>
      </c>
      <c r="AM18" s="6">
        <f t="shared" si="29"/>
        <v>0</v>
      </c>
      <c r="AN18" s="6">
        <f t="shared" si="30"/>
        <v>15800</v>
      </c>
      <c r="AO18" s="6">
        <f t="shared" si="31"/>
        <v>37571</v>
      </c>
      <c r="AP18" s="4">
        <f t="shared" si="32"/>
        <v>19000</v>
      </c>
      <c r="AQ18" s="8">
        <f t="shared" si="33"/>
        <v>53371.01</v>
      </c>
      <c r="AR18" s="55">
        <f ca="1">IF(NOW()-TODAY()&gt;15/24, AG18, [1]!s_dq_volume(AB18,AR$2,1))/AI$2</f>
        <v>331</v>
      </c>
      <c r="AS18" s="110"/>
      <c r="AT18" s="110"/>
      <c r="AU18" s="110"/>
      <c r="AV18" s="110"/>
      <c r="AY18" s="10"/>
      <c r="AZ18" s="10"/>
      <c r="BA18" s="6">
        <f t="shared" ca="1" si="34"/>
        <v>1299.2066666666758</v>
      </c>
      <c r="BB18" s="6">
        <f t="shared" ca="1" si="35"/>
        <v>0</v>
      </c>
      <c r="BC18" s="6">
        <f t="shared" ca="1" si="36"/>
        <v>14719.166666666675</v>
      </c>
      <c r="BD18" s="12">
        <f t="shared" ca="1" si="37"/>
        <v>14719.206666666676</v>
      </c>
      <c r="BE18" s="2">
        <f t="shared" ca="1" si="5"/>
        <v>2.9872931169681719E-3</v>
      </c>
      <c r="BF18" s="2">
        <f t="shared" ca="1" si="6"/>
        <v>0</v>
      </c>
      <c r="BG18" s="2">
        <f t="shared" ca="1" si="7"/>
        <v>3.4920003556411505E-2</v>
      </c>
      <c r="BH18" s="13">
        <f t="shared" ca="1" si="8"/>
        <v>3.4920100109998728E-2</v>
      </c>
      <c r="BI18" s="2">
        <f t="shared" ca="1" si="9"/>
        <v>4.9561908531517401E-2</v>
      </c>
      <c r="BJ18" s="2">
        <f t="shared" ca="1" si="10"/>
        <v>0</v>
      </c>
      <c r="BK18" s="2">
        <f t="shared" ca="1" si="11"/>
        <v>0.57935460445864539</v>
      </c>
      <c r="BL18" s="40">
        <f t="shared" ca="1" si="12"/>
        <v>0.5793562063704335</v>
      </c>
      <c r="BN18" s="6">
        <f t="shared" ca="1" si="38"/>
        <v>-329.1240000000094</v>
      </c>
      <c r="BO18" s="6">
        <f t="shared" ca="1" si="39"/>
        <v>-13749.124000000009</v>
      </c>
      <c r="BP18" s="6">
        <f t="shared" ca="1" si="40"/>
        <v>0</v>
      </c>
      <c r="BQ18" s="12">
        <f t="shared" ca="1" si="41"/>
        <v>0</v>
      </c>
      <c r="BR18" s="2">
        <f t="shared" ca="1" si="13"/>
        <v>-3.0312717675447447E-3</v>
      </c>
      <c r="BS18" s="2">
        <f t="shared" ca="1" si="14"/>
        <v>-0.12660777019750513</v>
      </c>
      <c r="BT18" s="2">
        <f t="shared" ca="1" si="15"/>
        <v>0</v>
      </c>
      <c r="BU18" s="13">
        <f t="shared" ca="1" si="16"/>
        <v>0</v>
      </c>
      <c r="BV18" s="2">
        <f t="shared" ca="1" si="17"/>
        <v>-5.0291554325174175E-2</v>
      </c>
      <c r="BW18" s="2">
        <f t="shared" ca="1" si="18"/>
        <v>-2.1005380055495171</v>
      </c>
      <c r="BX18" s="2">
        <f t="shared" ca="1" si="19"/>
        <v>0</v>
      </c>
      <c r="BY18" s="13">
        <f t="shared" ca="1" si="20"/>
        <v>0</v>
      </c>
      <c r="CF18" s="39" t="str">
        <f t="shared" si="21"/>
        <v>C2020-04-3800000.CFE</v>
      </c>
      <c r="CG18" s="39" t="str">
        <f t="shared" si="22"/>
        <v>P2020-04-3800000.CFE</v>
      </c>
      <c r="CH18" s="95" t="s">
        <v>40</v>
      </c>
      <c r="CI18" s="100" t="str">
        <f>IF([1]!w_info_callput(CH18)="认购","C","P")</f>
        <v>C</v>
      </c>
      <c r="CJ18" s="104">
        <f>[1]!w_info_strikeprice(CH18,"")</f>
        <v>3800</v>
      </c>
      <c r="CK18" s="102" t="str">
        <f>[1]!w_info_lasttradingdate(CH18)</f>
        <v>2020-04-17</v>
      </c>
      <c r="CL18" s="39" t="str">
        <f t="shared" si="23"/>
        <v>IO2004-P-3800.CFE</v>
      </c>
    </row>
    <row r="19" spans="1:90">
      <c r="A19" s="35">
        <f t="shared" si="2"/>
        <v>1</v>
      </c>
      <c r="B19" s="112" t="s">
        <v>41</v>
      </c>
      <c r="C19" s="29" t="str">
        <f>IF([1]!w_info_callput(B19)="认购","C","P")</f>
        <v>C</v>
      </c>
      <c r="D19" s="96">
        <f>[1]!w_info_strikeprice(B19,"")</f>
        <v>3850</v>
      </c>
      <c r="E19" s="18" t="str">
        <f>[1]!w_info_lasttradingdate(B19)</f>
        <v>2020-04-17</v>
      </c>
      <c r="F19" s="4">
        <f>IF(G19&gt;0,RTD("wdf.rtq",,$B19,F$5),0)</f>
        <v>80.600000000000009</v>
      </c>
      <c r="G19" s="53">
        <f>RTD("wdf.rtq",,$B19,G$5)</f>
        <v>446</v>
      </c>
      <c r="H19" s="4">
        <f>RTD("wdf.rtq",,$B19,H$5)</f>
        <v>70</v>
      </c>
      <c r="I19" s="53">
        <f>RTD("wdf.rtq",,$B19,I$5)</f>
        <v>1</v>
      </c>
      <c r="J19" s="4">
        <f>RTD("wdf.rtq",,$B19,J$5)</f>
        <v>82.600000000000009</v>
      </c>
      <c r="K19" s="54">
        <f>RTD("wdf.rtq",,$B19,K$5)</f>
        <v>1</v>
      </c>
      <c r="L19" s="4">
        <f>[1]!s_dq_presettle(B19,"")</f>
        <v>60.4</v>
      </c>
      <c r="M19" s="6">
        <f t="shared" si="24"/>
        <v>92.900000000000091</v>
      </c>
      <c r="N19" s="3">
        <f t="shared" si="25"/>
        <v>8060.0000000000009</v>
      </c>
      <c r="O19" s="4">
        <f t="shared" si="26"/>
        <v>28280.999999999993</v>
      </c>
      <c r="P19" s="4">
        <f t="shared" si="27"/>
        <v>19250</v>
      </c>
      <c r="Q19" s="8">
        <f t="shared" si="28"/>
        <v>36341.009999999995</v>
      </c>
      <c r="R19" s="55">
        <f ca="1">IF(NOW()-TODAY()&gt;15/24, G19, [1]!s_dq_volume(B19,R$2,1))/$AI$2</f>
        <v>346</v>
      </c>
      <c r="AB19" s="39" t="s">
        <v>69</v>
      </c>
      <c r="AC19" s="29" t="str">
        <f>IF([1]!w_info_callput(AB19)="认购","C","P")</f>
        <v>P</v>
      </c>
      <c r="AD19" s="31">
        <f>[1]!w_info_strikeprice(AB19,"")</f>
        <v>3850</v>
      </c>
      <c r="AE19" s="18" t="str">
        <f>[1]!w_info_lasttradingdate(AB19)</f>
        <v>2020-04-17</v>
      </c>
      <c r="AF19" s="4">
        <f>RTD("wdf.rtq",,$AB19,F$5)</f>
        <v>188</v>
      </c>
      <c r="AG19" s="53">
        <f>RTD("wdf.rtq",,$AB19,G$5)</f>
        <v>131</v>
      </c>
      <c r="AH19" s="4">
        <f>RTD("wdf.rtq",,$AB19,H$5)</f>
        <v>50</v>
      </c>
      <c r="AI19" s="53">
        <f>RTD("wdf.rtq",,$AB19,I$5)</f>
        <v>1</v>
      </c>
      <c r="AJ19" s="4">
        <f>RTD("wdf.rtq",,$AB19,J$5)</f>
        <v>222</v>
      </c>
      <c r="AK19" s="54">
        <f>RTD("wdf.rtq",,$AB19,K$5)</f>
        <v>1</v>
      </c>
      <c r="AL19" s="4">
        <f>[1]!s_dq_presettle(AB19,"")</f>
        <v>244.8</v>
      </c>
      <c r="AM19" s="6">
        <f t="shared" si="29"/>
        <v>0</v>
      </c>
      <c r="AN19" s="6">
        <f t="shared" si="30"/>
        <v>18800</v>
      </c>
      <c r="AO19" s="6">
        <f t="shared" si="31"/>
        <v>37571</v>
      </c>
      <c r="AP19" s="4">
        <f t="shared" si="32"/>
        <v>19250</v>
      </c>
      <c r="AQ19" s="8">
        <f t="shared" si="33"/>
        <v>56371.01</v>
      </c>
      <c r="AR19" s="55">
        <f ca="1">IF(NOW()-TODAY()&gt;15/24, AG19, [1]!s_dq_volume(AB19,AR$2,1))/AI$2</f>
        <v>160</v>
      </c>
      <c r="AS19" s="110"/>
      <c r="AT19" s="110"/>
      <c r="AU19" s="110"/>
      <c r="AV19" s="110"/>
      <c r="AY19" s="10"/>
      <c r="AZ19" s="10"/>
      <c r="BA19" s="6">
        <f t="shared" ca="1" si="34"/>
        <v>1239.2066666666765</v>
      </c>
      <c r="BB19" s="6">
        <f t="shared" ca="1" si="35"/>
        <v>-3220.7933333333244</v>
      </c>
      <c r="BC19" s="6">
        <f t="shared" ca="1" si="36"/>
        <v>15239.166666666677</v>
      </c>
      <c r="BD19" s="12">
        <f t="shared" ca="1" si="37"/>
        <v>15239.206666666678</v>
      </c>
      <c r="BE19" s="2">
        <f t="shared" ca="1" si="5"/>
        <v>2.8761837338310441E-3</v>
      </c>
      <c r="BF19" s="2">
        <f t="shared" ca="1" si="6"/>
        <v>-7.4168931313097564E-3</v>
      </c>
      <c r="BG19" s="2">
        <f t="shared" ca="1" si="7"/>
        <v>3.6540292603201768E-2</v>
      </c>
      <c r="BH19" s="13">
        <f t="shared" ca="1" si="8"/>
        <v>3.6540390267048334E-2</v>
      </c>
      <c r="BI19" s="2">
        <f t="shared" ca="1" si="9"/>
        <v>4.7718502856742326E-2</v>
      </c>
      <c r="BJ19" s="2">
        <f t="shared" ca="1" si="10"/>
        <v>-0.12305299967854823</v>
      </c>
      <c r="BK19" s="2">
        <f t="shared" ca="1" si="11"/>
        <v>0.60623667273493842</v>
      </c>
      <c r="BL19" s="40">
        <f t="shared" ca="1" si="12"/>
        <v>0.60623829306693822</v>
      </c>
      <c r="BN19" s="6">
        <f t="shared" ca="1" si="38"/>
        <v>-269.12400000000997</v>
      </c>
      <c r="BO19" s="6">
        <f t="shared" ca="1" si="39"/>
        <v>-14269.124000000011</v>
      </c>
      <c r="BP19" s="6">
        <f t="shared" ca="1" si="40"/>
        <v>4190.8359999999902</v>
      </c>
      <c r="BQ19" s="12">
        <f t="shared" ca="1" si="41"/>
        <v>4190.8759999999911</v>
      </c>
      <c r="BR19" s="2">
        <f t="shared" ca="1" si="13"/>
        <v>-2.4573896412230663E-3</v>
      </c>
      <c r="BS19" s="2">
        <f t="shared" ca="1" si="14"/>
        <v>-0.13005483875172147</v>
      </c>
      <c r="BT19" s="2">
        <f t="shared" ca="1" si="15"/>
        <v>3.8640804682220559E-2</v>
      </c>
      <c r="BU19" s="13">
        <f t="shared" ca="1" si="16"/>
        <v>3.8641180620270534E-2</v>
      </c>
      <c r="BV19" s="2">
        <f t="shared" ca="1" si="17"/>
        <v>-4.0770328138473595E-2</v>
      </c>
      <c r="BW19" s="2">
        <f t="shared" ca="1" si="18"/>
        <v>-2.1577280065626514</v>
      </c>
      <c r="BX19" s="2">
        <f t="shared" ca="1" si="19"/>
        <v>0.64108607768229564</v>
      </c>
      <c r="BY19" s="13">
        <f t="shared" ca="1" si="20"/>
        <v>0.64109231483630658</v>
      </c>
      <c r="CF19" s="39" t="str">
        <f t="shared" si="21"/>
        <v>C2020-04-3850000.CFE</v>
      </c>
      <c r="CG19" s="39" t="str">
        <f t="shared" si="22"/>
        <v>P2020-04-3850000.CFE</v>
      </c>
      <c r="CH19" s="95" t="s">
        <v>41</v>
      </c>
      <c r="CI19" s="100" t="str">
        <f>IF([1]!w_info_callput(CH19)="认购","C","P")</f>
        <v>C</v>
      </c>
      <c r="CJ19" s="104">
        <f>[1]!w_info_strikeprice(CH19,"")</f>
        <v>3850</v>
      </c>
      <c r="CK19" s="102" t="str">
        <f>[1]!w_info_lasttradingdate(CH19)</f>
        <v>2020-04-17</v>
      </c>
      <c r="CL19" s="39" t="str">
        <f t="shared" si="23"/>
        <v>IO2004-P-3850.CFE</v>
      </c>
    </row>
    <row r="20" spans="1:90">
      <c r="A20" s="35">
        <f t="shared" si="2"/>
        <v>1</v>
      </c>
      <c r="B20" s="112" t="s">
        <v>42</v>
      </c>
      <c r="C20" s="29" t="str">
        <f>IF([1]!w_info_callput(B20)="认购","C","P")</f>
        <v>C</v>
      </c>
      <c r="D20" s="96">
        <f>[1]!w_info_strikeprice(B20,"")</f>
        <v>3900</v>
      </c>
      <c r="E20" s="18" t="str">
        <f>[1]!w_info_lasttradingdate(B20)</f>
        <v>2020-04-17</v>
      </c>
      <c r="F20" s="4">
        <f>IF(G20&gt;0,RTD("wdf.rtq",,$B20,F$5),0)</f>
        <v>68.2</v>
      </c>
      <c r="G20" s="53">
        <f>RTD("wdf.rtq",,$B20,G$5)</f>
        <v>901</v>
      </c>
      <c r="H20" s="4">
        <f>RTD("wdf.rtq",,$B20,H$5)</f>
        <v>64.599999999999994</v>
      </c>
      <c r="I20" s="53">
        <f>RTD("wdf.rtq",,$B20,I$5)</f>
        <v>1</v>
      </c>
      <c r="J20" s="4">
        <f>RTD("wdf.rtq",,$B20,J$5)</f>
        <v>69.2</v>
      </c>
      <c r="K20" s="54">
        <f>RTD("wdf.rtq",,$B20,K$5)</f>
        <v>5</v>
      </c>
      <c r="L20" s="4">
        <f>[1]!s_dq_presettle(B20,"")</f>
        <v>47</v>
      </c>
      <c r="M20" s="6">
        <f t="shared" si="24"/>
        <v>142.90000000000009</v>
      </c>
      <c r="N20" s="3">
        <f t="shared" si="25"/>
        <v>6820</v>
      </c>
      <c r="O20" s="4">
        <f t="shared" si="26"/>
        <v>23280.999999999993</v>
      </c>
      <c r="P20" s="4">
        <f t="shared" si="27"/>
        <v>19500</v>
      </c>
      <c r="Q20" s="8">
        <f t="shared" si="28"/>
        <v>30101.009999999991</v>
      </c>
      <c r="R20" s="55">
        <f ca="1">IF(NOW()-TODAY()&gt;15/24, G20, [1]!s_dq_volume(B20,R$2,1))/$AI$2</f>
        <v>950</v>
      </c>
      <c r="AB20" s="39" t="s">
        <v>70</v>
      </c>
      <c r="AC20" s="29" t="str">
        <f>IF([1]!w_info_callput(AB20)="认购","C","P")</f>
        <v>P</v>
      </c>
      <c r="AD20" s="31">
        <f>[1]!w_info_strikeprice(AB20,"")</f>
        <v>3900</v>
      </c>
      <c r="AE20" s="18" t="str">
        <f>[1]!w_info_lasttradingdate(AB20)</f>
        <v>2020-04-17</v>
      </c>
      <c r="AF20" s="4">
        <f>RTD("wdf.rtq",,$AB20,F$5)</f>
        <v>222</v>
      </c>
      <c r="AG20" s="53">
        <f>RTD("wdf.rtq",,$AB20,G$5)</f>
        <v>60</v>
      </c>
      <c r="AH20" s="4">
        <f>RTD("wdf.rtq",,$AB20,H$5)</f>
        <v>186</v>
      </c>
      <c r="AI20" s="53">
        <f>RTD("wdf.rtq",,$AB20,I$5)</f>
        <v>1</v>
      </c>
      <c r="AJ20" s="4">
        <f>RTD("wdf.rtq",,$AB20,J$5)</f>
        <v>0</v>
      </c>
      <c r="AK20" s="54">
        <f>RTD("wdf.rtq",,$AB20,K$5)</f>
        <v>0</v>
      </c>
      <c r="AL20" s="4">
        <f>[1]!s_dq_presettle(AB20,"")</f>
        <v>284.60000000000002</v>
      </c>
      <c r="AM20" s="6">
        <f t="shared" si="29"/>
        <v>0</v>
      </c>
      <c r="AN20" s="6">
        <f t="shared" si="30"/>
        <v>22200</v>
      </c>
      <c r="AO20" s="6">
        <f t="shared" si="31"/>
        <v>37571</v>
      </c>
      <c r="AP20" s="4">
        <f t="shared" si="32"/>
        <v>19500</v>
      </c>
      <c r="AQ20" s="8">
        <f t="shared" si="33"/>
        <v>59771.01</v>
      </c>
      <c r="AR20" s="55">
        <f ca="1">IF(NOW()-TODAY()&gt;15/24, AG20, [1]!s_dq_volume(AB20,AR$2,1))/AI$2</f>
        <v>90</v>
      </c>
      <c r="AS20" s="110"/>
      <c r="AT20" s="110"/>
      <c r="AU20" s="110"/>
      <c r="AV20" s="110"/>
      <c r="AY20" s="10"/>
      <c r="AZ20" s="10"/>
      <c r="BA20" s="6">
        <f t="shared" ca="1" si="34"/>
        <v>1599.2066666666744</v>
      </c>
      <c r="BB20" s="6">
        <f t="shared" ca="1" si="35"/>
        <v>0</v>
      </c>
      <c r="BC20" s="6">
        <f t="shared" ca="1" si="36"/>
        <v>5299.1666666666742</v>
      </c>
      <c r="BD20" s="12">
        <f t="shared" ca="1" si="37"/>
        <v>5299.2066666666751</v>
      </c>
      <c r="BE20" s="2">
        <f t="shared" ca="1" si="5"/>
        <v>3.7363680590054783E-3</v>
      </c>
      <c r="BF20" s="2">
        <f t="shared" ca="1" si="6"/>
        <v>0</v>
      </c>
      <c r="BG20" s="2">
        <f t="shared" ca="1" si="7"/>
        <v>1.2485930600499885E-2</v>
      </c>
      <c r="BH20" s="13">
        <f t="shared" ca="1" si="8"/>
        <v>1.2486025437150359E-2</v>
      </c>
      <c r="BI20" s="2">
        <f t="shared" ca="1" si="9"/>
        <v>6.1989742797136343E-2</v>
      </c>
      <c r="BJ20" s="2">
        <f t="shared" ca="1" si="10"/>
        <v>0</v>
      </c>
      <c r="BK20" s="2">
        <f t="shared" ca="1" si="11"/>
        <v>0.20715293950829358</v>
      </c>
      <c r="BL20" s="40">
        <f t="shared" ca="1" si="12"/>
        <v>0.20715451293454004</v>
      </c>
      <c r="BN20" s="6">
        <f t="shared" ca="1" si="38"/>
        <v>-629.12400000000798</v>
      </c>
      <c r="BO20" s="6">
        <f t="shared" ca="1" si="39"/>
        <v>-4329.1240000000089</v>
      </c>
      <c r="BP20" s="6">
        <f t="shared" ca="1" si="40"/>
        <v>0</v>
      </c>
      <c r="BQ20" s="12">
        <f t="shared" ca="1" si="41"/>
        <v>0</v>
      </c>
      <c r="BR20" s="2">
        <f t="shared" ca="1" si="13"/>
        <v>-5.6334648176187925E-3</v>
      </c>
      <c r="BS20" s="2">
        <f t="shared" ca="1" si="14"/>
        <v>-3.8730280799465368E-2</v>
      </c>
      <c r="BT20" s="2">
        <f t="shared" ca="1" si="15"/>
        <v>0</v>
      </c>
      <c r="BU20" s="13">
        <f t="shared" ca="1" si="16"/>
        <v>0</v>
      </c>
      <c r="BV20" s="2">
        <f t="shared" ca="1" si="17"/>
        <v>-9.3464302655948156E-2</v>
      </c>
      <c r="BW20" s="2">
        <f t="shared" ca="1" si="18"/>
        <v>-0.64257056780931177</v>
      </c>
      <c r="BX20" s="2">
        <f t="shared" ca="1" si="19"/>
        <v>0</v>
      </c>
      <c r="BY20" s="13">
        <f t="shared" ca="1" si="20"/>
        <v>0</v>
      </c>
      <c r="CF20" s="39" t="str">
        <f t="shared" si="21"/>
        <v>C2020-04-3900000.CFE</v>
      </c>
      <c r="CG20" s="39" t="str">
        <f t="shared" si="22"/>
        <v>P2020-04-3900000.CFE</v>
      </c>
      <c r="CH20" s="95" t="s">
        <v>42</v>
      </c>
      <c r="CI20" s="100" t="str">
        <f>IF([1]!w_info_callput(CH20)="认购","C","P")</f>
        <v>C</v>
      </c>
      <c r="CJ20" s="104">
        <f>[1]!w_info_strikeprice(CH20,"")</f>
        <v>3900</v>
      </c>
      <c r="CK20" s="102" t="str">
        <f>[1]!w_info_lasttradingdate(CH20)</f>
        <v>2020-04-17</v>
      </c>
      <c r="CL20" s="39" t="str">
        <f t="shared" si="23"/>
        <v>IO2004-P-3900.CFE</v>
      </c>
    </row>
    <row r="21" spans="1:90">
      <c r="A21" s="35">
        <f t="shared" si="2"/>
        <v>1</v>
      </c>
      <c r="B21" s="112" t="s">
        <v>43</v>
      </c>
      <c r="C21" s="29" t="str">
        <f>IF([1]!w_info_callput(B21)="认购","C","P")</f>
        <v>C</v>
      </c>
      <c r="D21" s="96">
        <f>[1]!w_info_strikeprice(B21,"")</f>
        <v>3950</v>
      </c>
      <c r="E21" s="18" t="str">
        <f>[1]!w_info_lasttradingdate(B21)</f>
        <v>2020-04-17</v>
      </c>
      <c r="F21" s="4">
        <f>IF(G21&gt;0,RTD("wdf.rtq",,$B21,F$5),0)</f>
        <v>50</v>
      </c>
      <c r="G21" s="53">
        <f>RTD("wdf.rtq",,$B21,G$5)</f>
        <v>225</v>
      </c>
      <c r="H21" s="4">
        <f>RTD("wdf.rtq",,$B21,H$5)</f>
        <v>45.800000000000004</v>
      </c>
      <c r="I21" s="53">
        <f>RTD("wdf.rtq",,$B21,I$5)</f>
        <v>6</v>
      </c>
      <c r="J21" s="4">
        <f>RTD("wdf.rtq",,$B21,J$5)</f>
        <v>52</v>
      </c>
      <c r="K21" s="54">
        <f>RTD("wdf.rtq",,$B21,K$5)</f>
        <v>3</v>
      </c>
      <c r="L21" s="4">
        <f>[1]!s_dq_presettle(B21,"")</f>
        <v>38</v>
      </c>
      <c r="M21" s="6">
        <f t="shared" si="24"/>
        <v>192.90000000000009</v>
      </c>
      <c r="N21" s="3">
        <f t="shared" si="25"/>
        <v>5000</v>
      </c>
      <c r="O21" s="4">
        <f t="shared" si="26"/>
        <v>18280.999999999993</v>
      </c>
      <c r="P21" s="4">
        <f t="shared" si="27"/>
        <v>19750</v>
      </c>
      <c r="Q21" s="8">
        <f t="shared" si="28"/>
        <v>24750.01</v>
      </c>
      <c r="R21" s="55">
        <f ca="1">IF(NOW()-TODAY()&gt;15/24, G21, [1]!s_dq_volume(B21,R$2,1))/$AI$2</f>
        <v>187</v>
      </c>
      <c r="AB21" s="39" t="s">
        <v>71</v>
      </c>
      <c r="AC21" s="29" t="str">
        <f>IF([1]!w_info_callput(AB21)="认购","C","P")</f>
        <v>P</v>
      </c>
      <c r="AD21" s="31">
        <f>[1]!w_info_strikeprice(AB21,"")</f>
        <v>3950</v>
      </c>
      <c r="AE21" s="18" t="str">
        <f>[1]!w_info_lasttradingdate(AB21)</f>
        <v>2020-04-17</v>
      </c>
      <c r="AF21" s="4">
        <f>RTD("wdf.rtq",,$AB21,F$5)</f>
        <v>259.2</v>
      </c>
      <c r="AG21" s="53">
        <f>RTD("wdf.rtq",,$AB21,G$5)</f>
        <v>48</v>
      </c>
      <c r="AH21" s="4">
        <f>RTD("wdf.rtq",,$AB21,H$5)</f>
        <v>7</v>
      </c>
      <c r="AI21" s="53">
        <f>RTD("wdf.rtq",,$AB21,I$5)</f>
        <v>3</v>
      </c>
      <c r="AJ21" s="4">
        <f>RTD("wdf.rtq",,$AB21,J$5)</f>
        <v>0</v>
      </c>
      <c r="AK21" s="54">
        <f>RTD("wdf.rtq",,$AB21,K$5)</f>
        <v>0</v>
      </c>
      <c r="AL21" s="4">
        <f>[1]!s_dq_presettle(AB21,"")</f>
        <v>323.39999999999998</v>
      </c>
      <c r="AM21" s="6">
        <f t="shared" si="29"/>
        <v>0</v>
      </c>
      <c r="AN21" s="6">
        <f t="shared" si="30"/>
        <v>25920</v>
      </c>
      <c r="AO21" s="6">
        <f t="shared" si="31"/>
        <v>37571</v>
      </c>
      <c r="AP21" s="4">
        <f t="shared" si="32"/>
        <v>19750</v>
      </c>
      <c r="AQ21" s="8">
        <f t="shared" si="33"/>
        <v>63491.01</v>
      </c>
      <c r="AR21" s="55">
        <f ca="1">IF(NOW()-TODAY()&gt;15/24, AG21, [1]!s_dq_volume(AB21,AR$2,1))/AI$2</f>
        <v>42</v>
      </c>
      <c r="AS21" s="110"/>
      <c r="AT21" s="110"/>
      <c r="AU21" s="110"/>
      <c r="AV21" s="110"/>
      <c r="AY21" s="10"/>
      <c r="AZ21" s="10"/>
      <c r="BA21" s="6">
        <f t="shared" ca="1" si="34"/>
        <v>1059.2066666666767</v>
      </c>
      <c r="BB21" s="6">
        <f t="shared" ca="1" si="35"/>
        <v>0</v>
      </c>
      <c r="BC21" s="6">
        <f t="shared" ca="1" si="36"/>
        <v>26479.166666666679</v>
      </c>
      <c r="BD21" s="12">
        <f t="shared" ca="1" si="37"/>
        <v>26479.20666666668</v>
      </c>
      <c r="BE21" s="2">
        <f t="shared" ca="1" si="5"/>
        <v>2.4841846283241015E-3</v>
      </c>
      <c r="BF21" s="2">
        <f t="shared" ca="1" si="6"/>
        <v>0</v>
      </c>
      <c r="BG21" s="2">
        <f t="shared" ca="1" si="7"/>
        <v>6.6006492886807988E-2</v>
      </c>
      <c r="BH21" s="13">
        <f t="shared" ca="1" si="8"/>
        <v>6.6006595888425362E-2</v>
      </c>
      <c r="BI21" s="2">
        <f t="shared" ca="1" si="9"/>
        <v>4.1214881333558953E-2</v>
      </c>
      <c r="BJ21" s="2">
        <f t="shared" ca="1" si="10"/>
        <v>0</v>
      </c>
      <c r="BK21" s="2">
        <f t="shared" ca="1" si="11"/>
        <v>1.0951077228947688</v>
      </c>
      <c r="BL21" s="40">
        <f t="shared" ca="1" si="12"/>
        <v>1.095109431785239</v>
      </c>
      <c r="BN21" s="6">
        <f t="shared" ca="1" si="38"/>
        <v>-89.12400000001027</v>
      </c>
      <c r="BO21" s="6">
        <f t="shared" ca="1" si="39"/>
        <v>-25509.124000000007</v>
      </c>
      <c r="BP21" s="6">
        <f t="shared" ca="1" si="40"/>
        <v>0</v>
      </c>
      <c r="BQ21" s="12">
        <f t="shared" ca="1" si="41"/>
        <v>0</v>
      </c>
      <c r="BR21" s="2">
        <f t="shared" ca="1" si="13"/>
        <v>-7.8470658600080314E-4</v>
      </c>
      <c r="BS21" s="2">
        <f t="shared" ca="1" si="14"/>
        <v>-0.22420437453488748</v>
      </c>
      <c r="BT21" s="2">
        <f t="shared" ca="1" si="15"/>
        <v>0</v>
      </c>
      <c r="BU21" s="13">
        <f t="shared" ca="1" si="16"/>
        <v>0</v>
      </c>
      <c r="BV21" s="2">
        <f t="shared" ca="1" si="17"/>
        <v>-1.3018995631376961E-2</v>
      </c>
      <c r="BW21" s="2">
        <f t="shared" ca="1" si="18"/>
        <v>-3.7197543956924517</v>
      </c>
      <c r="BX21" s="2">
        <f t="shared" ca="1" si="19"/>
        <v>0</v>
      </c>
      <c r="BY21" s="13">
        <f t="shared" ca="1" si="20"/>
        <v>0</v>
      </c>
      <c r="CF21" s="39" t="str">
        <f t="shared" si="21"/>
        <v>C2020-04-3950000.CFE</v>
      </c>
      <c r="CG21" s="39" t="str">
        <f t="shared" si="22"/>
        <v>P2020-04-3950000.CFE</v>
      </c>
      <c r="CH21" s="95" t="s">
        <v>43</v>
      </c>
      <c r="CI21" s="100" t="str">
        <f>IF([1]!w_info_callput(CH21)="认购","C","P")</f>
        <v>C</v>
      </c>
      <c r="CJ21" s="104">
        <f>[1]!w_info_strikeprice(CH21,"")</f>
        <v>3950</v>
      </c>
      <c r="CK21" s="102" t="str">
        <f>[1]!w_info_lasttradingdate(CH21)</f>
        <v>2020-04-17</v>
      </c>
      <c r="CL21" s="39" t="str">
        <f t="shared" si="23"/>
        <v>IO2004-P-3950.CFE</v>
      </c>
    </row>
    <row r="22" spans="1:90">
      <c r="A22" s="35">
        <f t="shared" si="2"/>
        <v>1</v>
      </c>
      <c r="B22" s="112" t="s">
        <v>44</v>
      </c>
      <c r="C22" s="29" t="str">
        <f>IF([1]!w_info_callput(B22)="认购","C","P")</f>
        <v>C</v>
      </c>
      <c r="D22" s="96">
        <f>[1]!w_info_strikeprice(B22,"")</f>
        <v>4000</v>
      </c>
      <c r="E22" s="18" t="str">
        <f>[1]!w_info_lasttradingdate(B22)</f>
        <v>2020-04-17</v>
      </c>
      <c r="F22" s="4">
        <f>IF(G22&gt;0,RTD("wdf.rtq",,$B22,F$5),0)</f>
        <v>39.800000000000004</v>
      </c>
      <c r="G22" s="53">
        <f>RTD("wdf.rtq",,$B22,G$5)</f>
        <v>1257</v>
      </c>
      <c r="H22" s="4">
        <f>RTD("wdf.rtq",,$B22,H$5)</f>
        <v>38.200000000000003</v>
      </c>
      <c r="I22" s="53">
        <f>RTD("wdf.rtq",,$B22,I$5)</f>
        <v>1</v>
      </c>
      <c r="J22" s="4">
        <f>RTD("wdf.rtq",,$B22,J$5)</f>
        <v>39.800000000000004</v>
      </c>
      <c r="K22" s="54">
        <f>RTD("wdf.rtq",,$B22,K$5)</f>
        <v>3</v>
      </c>
      <c r="L22" s="4">
        <f>[1]!s_dq_presettle(B22,"")</f>
        <v>29.8</v>
      </c>
      <c r="M22" s="6">
        <f t="shared" si="24"/>
        <v>242.90000000000009</v>
      </c>
      <c r="N22" s="3">
        <f t="shared" si="25"/>
        <v>3980.0000000000005</v>
      </c>
      <c r="O22" s="4">
        <f t="shared" si="26"/>
        <v>13280.999999999995</v>
      </c>
      <c r="P22" s="4">
        <f t="shared" si="27"/>
        <v>20000</v>
      </c>
      <c r="Q22" s="8">
        <f t="shared" si="28"/>
        <v>23980.01</v>
      </c>
      <c r="R22" s="55">
        <f ca="1">IF(NOW()-TODAY()&gt;15/24, G22, [1]!s_dq_volume(B22,R$2,1))/$AI$2</f>
        <v>1354</v>
      </c>
      <c r="AB22" s="39" t="s">
        <v>72</v>
      </c>
      <c r="AC22" s="29" t="str">
        <f>IF([1]!w_info_callput(AB22)="认购","C","P")</f>
        <v>P</v>
      </c>
      <c r="AD22" s="31">
        <f>[1]!w_info_strikeprice(AB22,"")</f>
        <v>4000</v>
      </c>
      <c r="AE22" s="18" t="str">
        <f>[1]!w_info_lasttradingdate(AB22)</f>
        <v>2020-04-17</v>
      </c>
      <c r="AF22" s="4">
        <f>RTD("wdf.rtq",,$AB22,F$5)</f>
        <v>300.8</v>
      </c>
      <c r="AG22" s="53">
        <f>RTD("wdf.rtq",,$AB22,G$5)</f>
        <v>51</v>
      </c>
      <c r="AH22" s="4">
        <f>RTD("wdf.rtq",,$AB22,H$5)</f>
        <v>7</v>
      </c>
      <c r="AI22" s="53">
        <f>RTD("wdf.rtq",,$AB22,I$5)</f>
        <v>3</v>
      </c>
      <c r="AJ22" s="4">
        <f>RTD("wdf.rtq",,$AB22,J$5)</f>
        <v>369</v>
      </c>
      <c r="AK22" s="54">
        <f>RTD("wdf.rtq",,$AB22,K$5)</f>
        <v>1</v>
      </c>
      <c r="AL22" s="4">
        <f>[1]!s_dq_presettle(AB22,"")</f>
        <v>362.6</v>
      </c>
      <c r="AM22" s="6">
        <f t="shared" si="29"/>
        <v>0</v>
      </c>
      <c r="AN22" s="6">
        <f t="shared" si="30"/>
        <v>30080</v>
      </c>
      <c r="AO22" s="6">
        <f t="shared" si="31"/>
        <v>37571</v>
      </c>
      <c r="AP22" s="4">
        <f t="shared" si="32"/>
        <v>20000</v>
      </c>
      <c r="AQ22" s="8">
        <f t="shared" si="33"/>
        <v>67651.009999999995</v>
      </c>
      <c r="AR22" s="55">
        <f ca="1">IF(NOW()-TODAY()&gt;15/24, AG22, [1]!s_dq_volume(AB22,AR$2,1))/AI$2</f>
        <v>47</v>
      </c>
      <c r="AS22" s="110"/>
      <c r="AT22" s="110"/>
      <c r="AU22" s="110"/>
      <c r="AV22" s="110"/>
      <c r="AY22" s="10"/>
      <c r="AZ22" s="10"/>
      <c r="BA22" s="6">
        <f t="shared" ca="1" si="34"/>
        <v>879.20666666667557</v>
      </c>
      <c r="BB22" s="6">
        <f t="shared" ca="1" si="35"/>
        <v>-6100.7933333333258</v>
      </c>
      <c r="BC22" s="6">
        <f t="shared" ca="1" si="36"/>
        <v>30259.166666666679</v>
      </c>
      <c r="BD22" s="12">
        <f t="shared" ca="1" si="37"/>
        <v>30259.20666666668</v>
      </c>
      <c r="BE22" s="2">
        <f t="shared" ca="1" si="5"/>
        <v>2.0457608632735345E-3</v>
      </c>
      <c r="BF22" s="2">
        <f t="shared" ca="1" si="6"/>
        <v>-1.3973735526686295E-2</v>
      </c>
      <c r="BG22" s="2">
        <f t="shared" ca="1" si="7"/>
        <v>7.5574226128124825E-2</v>
      </c>
      <c r="BH22" s="13">
        <f t="shared" ca="1" si="8"/>
        <v>7.5574329805747853E-2</v>
      </c>
      <c r="BI22" s="2">
        <f t="shared" ca="1" si="9"/>
        <v>3.3941032504310915E-2</v>
      </c>
      <c r="BJ22" s="2">
        <f t="shared" ca="1" si="10"/>
        <v>-0.23183697578365897</v>
      </c>
      <c r="BK22" s="2">
        <f t="shared" ca="1" si="11"/>
        <v>1.2538451153075256</v>
      </c>
      <c r="BL22" s="40">
        <f t="shared" ca="1" si="12"/>
        <v>1.2538468354135439</v>
      </c>
      <c r="BN22" s="6">
        <f t="shared" ca="1" si="38"/>
        <v>90.875999999990881</v>
      </c>
      <c r="BO22" s="6">
        <f t="shared" ca="1" si="39"/>
        <v>-29289.124000000014</v>
      </c>
      <c r="BP22" s="6">
        <f t="shared" ca="1" si="40"/>
        <v>7070.8359999999911</v>
      </c>
      <c r="BQ22" s="12">
        <f t="shared" ca="1" si="41"/>
        <v>7070.875999999992</v>
      </c>
      <c r="BR22" s="2">
        <f t="shared" ca="1" si="13"/>
        <v>7.7860650204449652E-4</v>
      </c>
      <c r="BS22" s="2">
        <f t="shared" ca="1" si="14"/>
        <v>-0.25094306951879275</v>
      </c>
      <c r="BT22" s="2">
        <f t="shared" ca="1" si="15"/>
        <v>6.0664590815952026E-2</v>
      </c>
      <c r="BU22" s="13">
        <f t="shared" ca="1" si="16"/>
        <v>6.0664944407509414E-2</v>
      </c>
      <c r="BV22" s="2">
        <f t="shared" ca="1" si="17"/>
        <v>1.2917789693010965E-2</v>
      </c>
      <c r="BW22" s="2">
        <f t="shared" ca="1" si="18"/>
        <v>-4.1633736533799706</v>
      </c>
      <c r="BX22" s="2">
        <f t="shared" ca="1" si="19"/>
        <v>1.0064807112646585</v>
      </c>
      <c r="BY22" s="13">
        <f t="shared" ca="1" si="20"/>
        <v>1.0064865776700425</v>
      </c>
      <c r="CF22" s="39" t="str">
        <f t="shared" si="21"/>
        <v>C2020-04-4000000.CFE</v>
      </c>
      <c r="CG22" s="39" t="str">
        <f t="shared" si="22"/>
        <v>P2020-04-4000000.CFE</v>
      </c>
      <c r="CH22" s="95" t="s">
        <v>44</v>
      </c>
      <c r="CI22" s="100" t="str">
        <f>IF([1]!w_info_callput(CH22)="认购","C","P")</f>
        <v>C</v>
      </c>
      <c r="CJ22" s="104">
        <f>[1]!w_info_strikeprice(CH22,"")</f>
        <v>4000</v>
      </c>
      <c r="CK22" s="102" t="str">
        <f>[1]!w_info_lasttradingdate(CH22)</f>
        <v>2020-04-17</v>
      </c>
      <c r="CL22" s="39" t="str">
        <f t="shared" si="23"/>
        <v>IO2004-P-4000.CFE</v>
      </c>
    </row>
    <row r="23" spans="1:90">
      <c r="A23" s="35">
        <f t="shared" si="2"/>
        <v>1</v>
      </c>
      <c r="B23" s="112" t="s">
        <v>45</v>
      </c>
      <c r="C23" s="29" t="str">
        <f>IF([1]!w_info_callput(B23)="认购","C","P")</f>
        <v>C</v>
      </c>
      <c r="D23" s="96">
        <f>[1]!w_info_strikeprice(B23,"")</f>
        <v>4050</v>
      </c>
      <c r="E23" s="18" t="str">
        <f>[1]!w_info_lasttradingdate(B23)</f>
        <v>2020-04-17</v>
      </c>
      <c r="F23" s="4">
        <f>IF(G23&gt;0,RTD("wdf.rtq",,$B23,F$5),0)</f>
        <v>30</v>
      </c>
      <c r="G23" s="53">
        <f>RTD("wdf.rtq",,$B23,G$5)</f>
        <v>130</v>
      </c>
      <c r="H23" s="4">
        <f>RTD("wdf.rtq",,$B23,H$5)</f>
        <v>29.400000000000002</v>
      </c>
      <c r="I23" s="53">
        <f>RTD("wdf.rtq",,$B23,I$5)</f>
        <v>1</v>
      </c>
      <c r="J23" s="4">
        <f>RTD("wdf.rtq",,$B23,J$5)</f>
        <v>30.8</v>
      </c>
      <c r="K23" s="54">
        <f>RTD("wdf.rtq",,$B23,K$5)</f>
        <v>5</v>
      </c>
      <c r="L23" s="4">
        <f>[1]!s_dq_presettle(B23,"")</f>
        <v>22.8</v>
      </c>
      <c r="M23" s="6">
        <f t="shared" si="24"/>
        <v>292.90000000000009</v>
      </c>
      <c r="N23" s="3">
        <f t="shared" si="25"/>
        <v>3000</v>
      </c>
      <c r="O23" s="4">
        <f t="shared" si="26"/>
        <v>8280.9999999999945</v>
      </c>
      <c r="P23" s="4">
        <f t="shared" si="27"/>
        <v>20250</v>
      </c>
      <c r="Q23" s="8">
        <f t="shared" si="28"/>
        <v>23250.01</v>
      </c>
      <c r="R23" s="55">
        <f ca="1">IF(NOW()-TODAY()&gt;15/24, G23, [1]!s_dq_volume(B23,R$2,1))/$AI$2</f>
        <v>249</v>
      </c>
      <c r="AB23" s="39" t="s">
        <v>73</v>
      </c>
      <c r="AC23" s="29" t="str">
        <f>IF([1]!w_info_callput(AB23)="认购","C","P")</f>
        <v>P</v>
      </c>
      <c r="AD23" s="31">
        <f>[1]!w_info_strikeprice(AB23,"")</f>
        <v>4050</v>
      </c>
      <c r="AE23" s="18" t="str">
        <f>[1]!w_info_lasttradingdate(AB23)</f>
        <v>2020-04-17</v>
      </c>
      <c r="AF23" s="4">
        <f>RTD("wdf.rtq",,$AB23,F$5)</f>
        <v>345</v>
      </c>
      <c r="AG23" s="53">
        <f>RTD("wdf.rtq",,$AB23,G$5)</f>
        <v>12</v>
      </c>
      <c r="AH23" s="4">
        <f>RTD("wdf.rtq",,$AB23,H$5)</f>
        <v>0</v>
      </c>
      <c r="AI23" s="53">
        <f>RTD("wdf.rtq",,$AB23,I$5)</f>
        <v>0</v>
      </c>
      <c r="AJ23" s="4">
        <f>RTD("wdf.rtq",,$AB23,J$5)</f>
        <v>0</v>
      </c>
      <c r="AK23" s="54">
        <f>RTD("wdf.rtq",,$AB23,K$5)</f>
        <v>0</v>
      </c>
      <c r="AL23" s="4">
        <f>[1]!s_dq_presettle(AB23,"")</f>
        <v>407.6</v>
      </c>
      <c r="AM23" s="6">
        <f t="shared" si="29"/>
        <v>0</v>
      </c>
      <c r="AN23" s="6">
        <f t="shared" si="30"/>
        <v>34500</v>
      </c>
      <c r="AO23" s="6">
        <f t="shared" si="31"/>
        <v>37571</v>
      </c>
      <c r="AP23" s="4">
        <f t="shared" si="32"/>
        <v>20250</v>
      </c>
      <c r="AQ23" s="8">
        <f t="shared" si="33"/>
        <v>72071.009999999995</v>
      </c>
      <c r="AR23" s="55">
        <f ca="1">IF(NOW()-TODAY()&gt;15/24, AG23, [1]!s_dq_volume(AB23,AR$2,1))/AI$2</f>
        <v>22</v>
      </c>
      <c r="AS23" s="110"/>
      <c r="AT23" s="110"/>
      <c r="AU23" s="110"/>
      <c r="AV23" s="110"/>
      <c r="AY23" s="10"/>
      <c r="AZ23" s="10"/>
      <c r="BA23" s="6">
        <f t="shared" ca="1" si="34"/>
        <v>479.20666666667557</v>
      </c>
      <c r="BB23" s="6">
        <f t="shared" ca="1" si="35"/>
        <v>0</v>
      </c>
      <c r="BC23" s="6">
        <f t="shared" ca="1" si="36"/>
        <v>0</v>
      </c>
      <c r="BD23" s="12">
        <f t="shared" ca="1" si="37"/>
        <v>0</v>
      </c>
      <c r="BE23" s="2">
        <f t="shared" ca="1" si="5"/>
        <v>1.105538355583657E-3</v>
      </c>
      <c r="BF23" s="2">
        <f t="shared" ca="1" si="6"/>
        <v>0</v>
      </c>
      <c r="BG23" s="2">
        <f t="shared" ca="1" si="7"/>
        <v>0</v>
      </c>
      <c r="BH23" s="13">
        <f t="shared" ca="1" si="8"/>
        <v>0</v>
      </c>
      <c r="BI23" s="2">
        <f t="shared" ca="1" si="9"/>
        <v>1.8341886354001583E-2</v>
      </c>
      <c r="BJ23" s="2">
        <f t="shared" ca="1" si="10"/>
        <v>0</v>
      </c>
      <c r="BK23" s="2">
        <f t="shared" ca="1" si="11"/>
        <v>0</v>
      </c>
      <c r="BL23" s="40">
        <f t="shared" ca="1" si="12"/>
        <v>0</v>
      </c>
      <c r="BN23" s="6">
        <f t="shared" ca="1" si="38"/>
        <v>490.87599999999088</v>
      </c>
      <c r="BO23" s="6">
        <f t="shared" ca="1" si="39"/>
        <v>0</v>
      </c>
      <c r="BP23" s="6">
        <f t="shared" ca="1" si="40"/>
        <v>0</v>
      </c>
      <c r="BQ23" s="12">
        <f t="shared" ca="1" si="41"/>
        <v>0</v>
      </c>
      <c r="BR23" s="2">
        <f t="shared" ca="1" si="13"/>
        <v>4.0853152741751001E-3</v>
      </c>
      <c r="BS23" s="2">
        <f t="shared" ca="1" si="14"/>
        <v>0</v>
      </c>
      <c r="BT23" s="2">
        <f t="shared" ca="1" si="15"/>
        <v>0</v>
      </c>
      <c r="BU23" s="13">
        <f t="shared" ca="1" si="16"/>
        <v>0</v>
      </c>
      <c r="BV23" s="2">
        <f t="shared" ca="1" si="17"/>
        <v>6.777909432154143E-2</v>
      </c>
      <c r="BW23" s="2">
        <f t="shared" ca="1" si="18"/>
        <v>0</v>
      </c>
      <c r="BX23" s="2">
        <f t="shared" ca="1" si="19"/>
        <v>0</v>
      </c>
      <c r="BY23" s="13">
        <f t="shared" ca="1" si="20"/>
        <v>0</v>
      </c>
      <c r="CF23" s="39" t="str">
        <f t="shared" si="21"/>
        <v>C2020-04-4050000.CFE</v>
      </c>
      <c r="CG23" s="39" t="str">
        <f t="shared" si="22"/>
        <v>P2020-04-4050000.CFE</v>
      </c>
      <c r="CH23" s="95" t="s">
        <v>45</v>
      </c>
      <c r="CI23" s="100" t="str">
        <f>IF([1]!w_info_callput(CH23)="认购","C","P")</f>
        <v>C</v>
      </c>
      <c r="CJ23" s="104">
        <f>[1]!w_info_strikeprice(CH23,"")</f>
        <v>4050</v>
      </c>
      <c r="CK23" s="102" t="str">
        <f>[1]!w_info_lasttradingdate(CH23)</f>
        <v>2020-04-17</v>
      </c>
      <c r="CL23" s="39" t="str">
        <f t="shared" si="23"/>
        <v>IO2004-P-4050.CFE</v>
      </c>
    </row>
    <row r="24" spans="1:90">
      <c r="A24" s="35">
        <f t="shared" si="2"/>
        <v>1</v>
      </c>
      <c r="B24" s="112" t="s">
        <v>46</v>
      </c>
      <c r="C24" s="29" t="str">
        <f>IF([1]!w_info_callput(B24)="认购","C","P")</f>
        <v>C</v>
      </c>
      <c r="D24" s="96">
        <f>[1]!w_info_strikeprice(B24,"")</f>
        <v>4100</v>
      </c>
      <c r="E24" s="18" t="str">
        <f>[1]!w_info_lasttradingdate(B24)</f>
        <v>2020-04-17</v>
      </c>
      <c r="F24" s="4">
        <f>IF(G24&gt;0,RTD("wdf.rtq",,$B24,F$5),0)</f>
        <v>23</v>
      </c>
      <c r="G24" s="53">
        <f>RTD("wdf.rtq",,$B24,G$5)</f>
        <v>456</v>
      </c>
      <c r="H24" s="4">
        <f>RTD("wdf.rtq",,$B24,H$5)</f>
        <v>21.6</v>
      </c>
      <c r="I24" s="53">
        <f>RTD("wdf.rtq",,$B24,I$5)</f>
        <v>1</v>
      </c>
      <c r="J24" s="4">
        <f>RTD("wdf.rtq",,$B24,J$5)</f>
        <v>24.2</v>
      </c>
      <c r="K24" s="54">
        <f>RTD("wdf.rtq",,$B24,K$5)</f>
        <v>1</v>
      </c>
      <c r="L24" s="4">
        <f>[1]!s_dq_presettle(B24,"")</f>
        <v>18</v>
      </c>
      <c r="M24" s="6">
        <f t="shared" si="24"/>
        <v>342.90000000000009</v>
      </c>
      <c r="N24" s="3">
        <f t="shared" si="25"/>
        <v>2300</v>
      </c>
      <c r="O24" s="4">
        <f t="shared" si="26"/>
        <v>3280.9999999999945</v>
      </c>
      <c r="P24" s="4">
        <f t="shared" si="27"/>
        <v>20500</v>
      </c>
      <c r="Q24" s="8">
        <f t="shared" si="28"/>
        <v>22800.01</v>
      </c>
      <c r="R24" s="55">
        <f ca="1">IF(NOW()-TODAY()&gt;15/24, G24, [1]!s_dq_volume(B24,R$2,1))/$AI$2</f>
        <v>563</v>
      </c>
      <c r="AB24" s="39" t="s">
        <v>74</v>
      </c>
      <c r="AC24" s="29" t="str">
        <f>IF([1]!w_info_callput(AB24)="认购","C","P")</f>
        <v>P</v>
      </c>
      <c r="AD24" s="31">
        <f>[1]!w_info_strikeprice(AB24,"")</f>
        <v>4100</v>
      </c>
      <c r="AE24" s="18" t="str">
        <f>[1]!w_info_lasttradingdate(AB24)</f>
        <v>2020-04-17</v>
      </c>
      <c r="AF24" s="4">
        <f>RTD("wdf.rtq",,$AB24,F$5)</f>
        <v>385</v>
      </c>
      <c r="AG24" s="53">
        <f>RTD("wdf.rtq",,$AB24,G$5)</f>
        <v>29</v>
      </c>
      <c r="AH24" s="4">
        <f>RTD("wdf.rtq",,$AB24,H$5)</f>
        <v>0</v>
      </c>
      <c r="AI24" s="53">
        <f>RTD("wdf.rtq",,$AB24,I$5)</f>
        <v>0</v>
      </c>
      <c r="AJ24" s="4">
        <f>RTD("wdf.rtq",,$AB24,J$5)</f>
        <v>0</v>
      </c>
      <c r="AK24" s="54">
        <f>RTD("wdf.rtq",,$AB24,K$5)</f>
        <v>0</v>
      </c>
      <c r="AL24" s="4">
        <f>[1]!s_dq_presettle(AB24,"")</f>
        <v>455</v>
      </c>
      <c r="AM24" s="6">
        <f t="shared" si="29"/>
        <v>0</v>
      </c>
      <c r="AN24" s="6">
        <f t="shared" si="30"/>
        <v>38500</v>
      </c>
      <c r="AO24" s="6">
        <f t="shared" si="31"/>
        <v>37571</v>
      </c>
      <c r="AP24" s="4">
        <f t="shared" si="32"/>
        <v>20500</v>
      </c>
      <c r="AQ24" s="8">
        <f t="shared" si="33"/>
        <v>76071.009999999995</v>
      </c>
      <c r="AR24" s="55">
        <f ca="1">IF(NOW()-TODAY()&gt;15/24, AG24, [1]!s_dq_volume(AB24,AR$2,1))/AI$2</f>
        <v>19</v>
      </c>
      <c r="AS24" s="110"/>
      <c r="AT24" s="110"/>
      <c r="AU24" s="110"/>
      <c r="AV24" s="110"/>
      <c r="AY24" s="10"/>
      <c r="AZ24" s="10"/>
      <c r="BA24" s="6">
        <f t="shared" ca="1" si="34"/>
        <v>779.20666666667557</v>
      </c>
      <c r="BB24" s="6">
        <f t="shared" ca="1" si="35"/>
        <v>0</v>
      </c>
      <c r="BC24" s="6">
        <f t="shared" ca="1" si="36"/>
        <v>0</v>
      </c>
      <c r="BD24" s="12">
        <f t="shared" ca="1" si="37"/>
        <v>0</v>
      </c>
      <c r="BE24" s="2">
        <f t="shared" ca="1" si="5"/>
        <v>1.7830407744359802E-3</v>
      </c>
      <c r="BF24" s="2">
        <f t="shared" ca="1" si="6"/>
        <v>0</v>
      </c>
      <c r="BG24" s="2">
        <f t="shared" ca="1" si="7"/>
        <v>0</v>
      </c>
      <c r="BH24" s="13">
        <f t="shared" ca="1" si="8"/>
        <v>0</v>
      </c>
      <c r="BI24" s="2">
        <f t="shared" ca="1" si="9"/>
        <v>2.9582267394051488E-2</v>
      </c>
      <c r="BJ24" s="2">
        <f t="shared" ca="1" si="10"/>
        <v>0</v>
      </c>
      <c r="BK24" s="2">
        <f t="shared" ca="1" si="11"/>
        <v>0</v>
      </c>
      <c r="BL24" s="40">
        <f t="shared" ca="1" si="12"/>
        <v>0</v>
      </c>
      <c r="BN24" s="6">
        <f t="shared" ca="1" si="38"/>
        <v>190.87599999999088</v>
      </c>
      <c r="BO24" s="6">
        <f t="shared" ca="1" si="39"/>
        <v>0</v>
      </c>
      <c r="BP24" s="6">
        <f t="shared" ca="1" si="40"/>
        <v>0</v>
      </c>
      <c r="BQ24" s="12">
        <f t="shared" ca="1" si="41"/>
        <v>0</v>
      </c>
      <c r="BR24" s="2">
        <f t="shared" ca="1" si="13"/>
        <v>1.5461028651372894E-3</v>
      </c>
      <c r="BS24" s="2">
        <f t="shared" ca="1" si="14"/>
        <v>0</v>
      </c>
      <c r="BT24" s="2">
        <f t="shared" ca="1" si="15"/>
        <v>0</v>
      </c>
      <c r="BU24" s="13">
        <f t="shared" ca="1" si="16"/>
        <v>0</v>
      </c>
      <c r="BV24" s="2">
        <f t="shared" ca="1" si="17"/>
        <v>2.5651252080686849E-2</v>
      </c>
      <c r="BW24" s="2">
        <f t="shared" ca="1" si="18"/>
        <v>0</v>
      </c>
      <c r="BX24" s="2">
        <f t="shared" ca="1" si="19"/>
        <v>0</v>
      </c>
      <c r="BY24" s="13">
        <f t="shared" ca="1" si="20"/>
        <v>0</v>
      </c>
      <c r="CF24" s="39" t="str">
        <f t="shared" si="21"/>
        <v>C2020-04-4100000.CFE</v>
      </c>
      <c r="CG24" s="39" t="str">
        <f t="shared" si="22"/>
        <v>P2020-04-4100000.CFE</v>
      </c>
      <c r="CH24" s="95" t="s">
        <v>46</v>
      </c>
      <c r="CI24" s="100" t="str">
        <f>IF([1]!w_info_callput(CH24)="认购","C","P")</f>
        <v>C</v>
      </c>
      <c r="CJ24" s="104">
        <f>[1]!w_info_strikeprice(CH24,"")</f>
        <v>4100</v>
      </c>
      <c r="CK24" s="102" t="str">
        <f>[1]!w_info_lasttradingdate(CH24)</f>
        <v>2020-04-17</v>
      </c>
      <c r="CL24" s="39" t="str">
        <f t="shared" si="23"/>
        <v>IO2004-P-4100.CFE</v>
      </c>
    </row>
    <row r="25" spans="1:90">
      <c r="A25" s="35">
        <f t="shared" si="2"/>
        <v>1</v>
      </c>
      <c r="B25" s="112" t="s">
        <v>47</v>
      </c>
      <c r="C25" s="29" t="str">
        <f>IF([1]!w_info_callput(B25)="认购","C","P")</f>
        <v>C</v>
      </c>
      <c r="D25" s="96">
        <f>[1]!w_info_strikeprice(B25,"")</f>
        <v>4150</v>
      </c>
      <c r="E25" s="18" t="str">
        <f>[1]!w_info_lasttradingdate(B25)</f>
        <v>2020-04-17</v>
      </c>
      <c r="F25" s="4">
        <f>IF(G25&gt;0,RTD("wdf.rtq",,$B25,F$5),0)</f>
        <v>17.600000000000001</v>
      </c>
      <c r="G25" s="53">
        <f>RTD("wdf.rtq",,$B25,G$5)</f>
        <v>210</v>
      </c>
      <c r="H25" s="4">
        <f>RTD("wdf.rtq",,$B25,H$5)</f>
        <v>14.200000000000001</v>
      </c>
      <c r="I25" s="53">
        <f>RTD("wdf.rtq",,$B25,I$5)</f>
        <v>1</v>
      </c>
      <c r="J25" s="4">
        <f>RTD("wdf.rtq",,$B25,J$5)</f>
        <v>18</v>
      </c>
      <c r="K25" s="54">
        <f>RTD("wdf.rtq",,$B25,K$5)</f>
        <v>1</v>
      </c>
      <c r="L25" s="4">
        <f>[1]!s_dq_presettle(B25,"")</f>
        <v>14.6</v>
      </c>
      <c r="M25" s="6">
        <f t="shared" si="24"/>
        <v>392.90000000000009</v>
      </c>
      <c r="N25" s="3">
        <f t="shared" si="25"/>
        <v>1760.0000000000002</v>
      </c>
      <c r="O25" s="4">
        <f t="shared" si="26"/>
        <v>-1719.0000000000055</v>
      </c>
      <c r="P25" s="4">
        <f t="shared" si="27"/>
        <v>20750</v>
      </c>
      <c r="Q25" s="8">
        <f t="shared" si="28"/>
        <v>22510.01</v>
      </c>
      <c r="R25" s="55">
        <f ca="1">IF(NOW()-TODAY()&gt;15/24, G25, [1]!s_dq_volume(B25,R$2,1))/$AI$2</f>
        <v>257</v>
      </c>
      <c r="AB25" s="39" t="s">
        <v>75</v>
      </c>
      <c r="AC25" s="29" t="str">
        <f>IF([1]!w_info_callput(AB25)="认购","C","P")</f>
        <v>P</v>
      </c>
      <c r="AD25" s="31">
        <f>[1]!w_info_strikeprice(AB25,"")</f>
        <v>4150</v>
      </c>
      <c r="AE25" s="18" t="str">
        <f>[1]!w_info_lasttradingdate(AB25)</f>
        <v>2020-04-17</v>
      </c>
      <c r="AF25" s="4">
        <f>RTD("wdf.rtq",,$AB25,F$5)</f>
        <v>436</v>
      </c>
      <c r="AG25" s="53">
        <f>RTD("wdf.rtq",,$AB25,G$5)</f>
        <v>6</v>
      </c>
      <c r="AH25" s="4">
        <f>RTD("wdf.rtq",,$AB25,H$5)</f>
        <v>0</v>
      </c>
      <c r="AI25" s="53">
        <f>RTD("wdf.rtq",,$AB25,I$5)</f>
        <v>0</v>
      </c>
      <c r="AJ25" s="4">
        <f>RTD("wdf.rtq",,$AB25,J$5)</f>
        <v>427.6</v>
      </c>
      <c r="AK25" s="54">
        <f>RTD("wdf.rtq",,$AB25,K$5)</f>
        <v>3</v>
      </c>
      <c r="AL25" s="4">
        <f>[1]!s_dq_presettle(AB25,"")</f>
        <v>501.4</v>
      </c>
      <c r="AM25" s="6">
        <f t="shared" si="29"/>
        <v>0</v>
      </c>
      <c r="AN25" s="6">
        <f t="shared" si="30"/>
        <v>43600</v>
      </c>
      <c r="AO25" s="6">
        <f t="shared" si="31"/>
        <v>37571</v>
      </c>
      <c r="AP25" s="4">
        <f t="shared" si="32"/>
        <v>20750</v>
      </c>
      <c r="AQ25" s="8">
        <f t="shared" si="33"/>
        <v>81171.009999999995</v>
      </c>
      <c r="AR25" s="55">
        <f ca="1">IF(NOW()-TODAY()&gt;15/24, AG25, [1]!s_dq_volume(AB25,AR$2,1))/AI$2</f>
        <v>20</v>
      </c>
      <c r="AS25" s="110"/>
      <c r="AT25" s="110"/>
      <c r="AU25" s="110"/>
      <c r="AV25" s="110"/>
      <c r="AY25" s="10"/>
      <c r="AZ25" s="10"/>
      <c r="BA25" s="6">
        <f t="shared" ca="1" si="34"/>
        <v>139.20666666667785</v>
      </c>
      <c r="BB25" s="6">
        <f t="shared" ca="1" si="35"/>
        <v>639.20666666667216</v>
      </c>
      <c r="BC25" s="6">
        <f t="shared" ca="1" si="36"/>
        <v>0</v>
      </c>
      <c r="BD25" s="12">
        <f t="shared" ca="1" si="37"/>
        <v>0</v>
      </c>
      <c r="BE25" s="2">
        <f t="shared" ca="1" si="5"/>
        <v>3.1507551381993273E-4</v>
      </c>
      <c r="BF25" s="2">
        <f t="shared" ca="1" si="6"/>
        <v>1.4495139284582813E-3</v>
      </c>
      <c r="BG25" s="2">
        <f t="shared" ca="1" si="7"/>
        <v>0</v>
      </c>
      <c r="BH25" s="13">
        <f t="shared" ca="1" si="8"/>
        <v>0</v>
      </c>
      <c r="BI25" s="2">
        <f t="shared" ca="1" si="9"/>
        <v>5.2273892065579745E-3</v>
      </c>
      <c r="BJ25" s="2">
        <f t="shared" ca="1" si="10"/>
        <v>2.4048753813057846E-2</v>
      </c>
      <c r="BK25" s="2">
        <f t="shared" ca="1" si="11"/>
        <v>0</v>
      </c>
      <c r="BL25" s="40">
        <f t="shared" ca="1" si="12"/>
        <v>0</v>
      </c>
      <c r="BN25" s="6">
        <f t="shared" ca="1" si="38"/>
        <v>830.87599999998861</v>
      </c>
      <c r="BO25" s="6">
        <f t="shared" ca="1" si="39"/>
        <v>0</v>
      </c>
      <c r="BP25" s="6">
        <f t="shared" ca="1" si="40"/>
        <v>330.83599999999433</v>
      </c>
      <c r="BQ25" s="12">
        <f t="shared" ca="1" si="41"/>
        <v>330.87599999999429</v>
      </c>
      <c r="BR25" s="2">
        <f t="shared" ca="1" si="13"/>
        <v>6.4903968020923967E-3</v>
      </c>
      <c r="BS25" s="2">
        <f t="shared" ca="1" si="14"/>
        <v>0</v>
      </c>
      <c r="BT25" s="2">
        <f t="shared" ca="1" si="15"/>
        <v>2.591210595738881E-3</v>
      </c>
      <c r="BU25" s="13">
        <f t="shared" ca="1" si="16"/>
        <v>2.5915242941499778E-3</v>
      </c>
      <c r="BV25" s="2">
        <f t="shared" ca="1" si="17"/>
        <v>0.10768158330744204</v>
      </c>
      <c r="BW25" s="2">
        <f t="shared" ca="1" si="18"/>
        <v>0</v>
      </c>
      <c r="BX25" s="2">
        <f t="shared" ca="1" si="19"/>
        <v>4.2990539429304163E-2</v>
      </c>
      <c r="BY25" s="13">
        <f t="shared" ca="1" si="20"/>
        <v>4.2995743971124628E-2</v>
      </c>
      <c r="CF25" s="39" t="str">
        <f t="shared" si="21"/>
        <v>C2020-04-4150000.CFE</v>
      </c>
      <c r="CG25" s="39" t="str">
        <f t="shared" si="22"/>
        <v>P2020-04-4150000.CFE</v>
      </c>
      <c r="CH25" s="95" t="s">
        <v>47</v>
      </c>
      <c r="CI25" s="100" t="str">
        <f>IF([1]!w_info_callput(CH25)="认购","C","P")</f>
        <v>C</v>
      </c>
      <c r="CJ25" s="104">
        <f>[1]!w_info_strikeprice(CH25,"")</f>
        <v>4150</v>
      </c>
      <c r="CK25" s="102" t="str">
        <f>[1]!w_info_lasttradingdate(CH25)</f>
        <v>2020-04-17</v>
      </c>
      <c r="CL25" s="39" t="str">
        <f t="shared" si="23"/>
        <v>IO2004-P-4150.CFE</v>
      </c>
    </row>
    <row r="26" spans="1:90">
      <c r="A26" s="35">
        <f t="shared" si="2"/>
        <v>1</v>
      </c>
      <c r="B26" s="112" t="s">
        <v>48</v>
      </c>
      <c r="C26" s="29" t="str">
        <f>IF([1]!w_info_callput(B26)="认购","C","P")</f>
        <v>C</v>
      </c>
      <c r="D26" s="96">
        <f>[1]!w_info_strikeprice(B26,"")</f>
        <v>4200</v>
      </c>
      <c r="E26" s="18" t="str">
        <f>[1]!w_info_lasttradingdate(B26)</f>
        <v>2020-04-17</v>
      </c>
      <c r="F26" s="4">
        <f>IF(G26&gt;0,RTD("wdf.rtq",,$B26,F$5),0)</f>
        <v>13.6</v>
      </c>
      <c r="G26" s="53">
        <f>RTD("wdf.rtq",,$B26,G$5)</f>
        <v>574</v>
      </c>
      <c r="H26" s="4">
        <f>RTD("wdf.rtq",,$B26,H$5)</f>
        <v>10.8</v>
      </c>
      <c r="I26" s="53">
        <f>RTD("wdf.rtq",,$B26,I$5)</f>
        <v>1</v>
      </c>
      <c r="J26" s="4">
        <f>RTD("wdf.rtq",,$B26,J$5)</f>
        <v>13.8</v>
      </c>
      <c r="K26" s="54">
        <f>RTD("wdf.rtq",,$B26,K$5)</f>
        <v>2</v>
      </c>
      <c r="L26" s="4">
        <f>[1]!s_dq_presettle(B26,"")</f>
        <v>11.4</v>
      </c>
      <c r="M26" s="6">
        <f t="shared" si="24"/>
        <v>442.90000000000009</v>
      </c>
      <c r="N26" s="3">
        <f t="shared" ref="N26:N64" si="42">AH$2*AI$2*AF26</f>
        <v>48880</v>
      </c>
      <c r="O26" s="4">
        <f t="shared" si="26"/>
        <v>-6719.0000000000055</v>
      </c>
      <c r="P26" s="4">
        <f t="shared" si="27"/>
        <v>21000</v>
      </c>
      <c r="Q26" s="8">
        <f t="shared" si="28"/>
        <v>69880.009999999995</v>
      </c>
      <c r="R26" s="55">
        <f ca="1">IF(NOW()-TODAY()&gt;15/24, G26, [1]!s_dq_volume(B26,R$2,1))/$AI$2</f>
        <v>810</v>
      </c>
      <c r="AB26" s="39" t="s">
        <v>76</v>
      </c>
      <c r="AC26" s="29" t="str">
        <f>IF([1]!w_info_callput(AB26)="认购","C","P")</f>
        <v>P</v>
      </c>
      <c r="AD26" s="31">
        <f>[1]!w_info_strikeprice(AB26,"")</f>
        <v>4200</v>
      </c>
      <c r="AE26" s="18" t="str">
        <f>[1]!w_info_lasttradingdate(AB26)</f>
        <v>2020-04-17</v>
      </c>
      <c r="AF26" s="4">
        <f>RTD("wdf.rtq",,$AB26,F$5)</f>
        <v>488.8</v>
      </c>
      <c r="AG26" s="53">
        <f>RTD("wdf.rtq",,$AB26,G$5)</f>
        <v>4</v>
      </c>
      <c r="AH26" s="4">
        <f>RTD("wdf.rtq",,$AB26,H$5)</f>
        <v>0</v>
      </c>
      <c r="AI26" s="53">
        <f>RTD("wdf.rtq",,$AB26,I$5)</f>
        <v>0</v>
      </c>
      <c r="AJ26" s="4">
        <f>RTD("wdf.rtq",,$AB26,J$5)</f>
        <v>0</v>
      </c>
      <c r="AK26" s="54">
        <f>RTD("wdf.rtq",,$AB26,K$5)</f>
        <v>0</v>
      </c>
      <c r="AL26" s="4">
        <f>[1]!s_dq_presettle(AB26,"")</f>
        <v>547</v>
      </c>
      <c r="AM26" s="6">
        <f t="shared" si="29"/>
        <v>0</v>
      </c>
      <c r="AN26" s="6">
        <f t="shared" si="30"/>
        <v>48880</v>
      </c>
      <c r="AO26" s="6">
        <f t="shared" si="31"/>
        <v>37571</v>
      </c>
      <c r="AP26" s="4">
        <f t="shared" si="32"/>
        <v>21000</v>
      </c>
      <c r="AQ26" s="8">
        <f t="shared" si="33"/>
        <v>86451.01</v>
      </c>
      <c r="AR26" s="55">
        <f ca="1">IF(NOW()-TODAY()&gt;15/24, AG26, [1]!s_dq_volume(AB26,AR$2,1))/AI$2</f>
        <v>4</v>
      </c>
      <c r="AS26" s="110"/>
      <c r="AT26" s="110"/>
      <c r="AU26" s="110"/>
      <c r="AV26" s="110"/>
      <c r="AY26" s="10"/>
      <c r="AZ26" s="10"/>
      <c r="BA26" s="6">
        <f t="shared" ca="1" si="34"/>
        <v>-540.79333333332329</v>
      </c>
      <c r="BB26" s="6">
        <f t="shared" ca="1" si="35"/>
        <v>0</v>
      </c>
      <c r="BC26" s="6">
        <f t="shared" ca="1" si="36"/>
        <v>0</v>
      </c>
      <c r="BD26" s="12">
        <f t="shared" ca="1" si="37"/>
        <v>0</v>
      </c>
      <c r="BE26" s="2">
        <f t="shared" ca="1" si="5"/>
        <v>-1.0936827762988565E-3</v>
      </c>
      <c r="BF26" s="2">
        <f t="shared" ca="1" si="6"/>
        <v>0</v>
      </c>
      <c r="BG26" s="2">
        <f t="shared" ca="1" si="7"/>
        <v>0</v>
      </c>
      <c r="BH26" s="13">
        <f t="shared" ca="1" si="8"/>
        <v>0</v>
      </c>
      <c r="BI26" s="2">
        <f t="shared" ca="1" si="9"/>
        <v>-1.8145191515867392E-2</v>
      </c>
      <c r="BJ26" s="2">
        <f t="shared" ca="1" si="10"/>
        <v>0</v>
      </c>
      <c r="BK26" s="2">
        <f t="shared" ca="1" si="11"/>
        <v>0</v>
      </c>
      <c r="BL26" s="40">
        <f t="shared" ca="1" si="12"/>
        <v>0</v>
      </c>
      <c r="BN26" s="6">
        <f t="shared" ca="1" si="38"/>
        <v>1510.8759999999897</v>
      </c>
      <c r="BO26" s="6">
        <f t="shared" ca="1" si="39"/>
        <v>0</v>
      </c>
      <c r="BP26" s="6">
        <f t="shared" ca="1" si="40"/>
        <v>0</v>
      </c>
      <c r="BQ26" s="12">
        <f t="shared" ca="1" si="41"/>
        <v>0</v>
      </c>
      <c r="BR26" s="2">
        <f t="shared" ca="1" si="13"/>
        <v>1.1368841895491149E-2</v>
      </c>
      <c r="BS26" s="2">
        <f t="shared" ca="1" si="14"/>
        <v>0</v>
      </c>
      <c r="BT26" s="2">
        <f t="shared" ca="1" si="15"/>
        <v>0</v>
      </c>
      <c r="BU26" s="13">
        <f t="shared" ca="1" si="16"/>
        <v>0</v>
      </c>
      <c r="BV26" s="2">
        <f t="shared" ca="1" si="17"/>
        <v>0.18861942235701223</v>
      </c>
      <c r="BW26" s="2">
        <f t="shared" ca="1" si="18"/>
        <v>0</v>
      </c>
      <c r="BX26" s="2">
        <f t="shared" ca="1" si="19"/>
        <v>0</v>
      </c>
      <c r="BY26" s="13">
        <f t="shared" ca="1" si="20"/>
        <v>0</v>
      </c>
      <c r="CF26" s="39" t="str">
        <f t="shared" si="21"/>
        <v>C2020-04-4200000.CFE</v>
      </c>
      <c r="CG26" s="39" t="str">
        <f t="shared" si="22"/>
        <v>P2020-04-4200000.CFE</v>
      </c>
      <c r="CH26" s="95" t="s">
        <v>48</v>
      </c>
      <c r="CI26" s="100" t="str">
        <f>IF([1]!w_info_callput(CH26)="认购","C","P")</f>
        <v>C</v>
      </c>
      <c r="CJ26" s="104">
        <f>[1]!w_info_strikeprice(CH26,"")</f>
        <v>4200</v>
      </c>
      <c r="CK26" s="102" t="str">
        <f>[1]!w_info_lasttradingdate(CH26)</f>
        <v>2020-04-17</v>
      </c>
      <c r="CL26" s="39" t="str">
        <f t="shared" si="23"/>
        <v>IO2004-P-4200.CFE</v>
      </c>
    </row>
    <row r="27" spans="1:90">
      <c r="A27" s="35">
        <f t="shared" si="2"/>
        <v>1</v>
      </c>
      <c r="B27" s="112" t="s">
        <v>49</v>
      </c>
      <c r="C27" s="29" t="str">
        <f>IF([1]!w_info_callput(B27)="认购","C","P")</f>
        <v>C</v>
      </c>
      <c r="D27" s="96">
        <f>[1]!w_info_strikeprice(B27,"")</f>
        <v>4250</v>
      </c>
      <c r="E27" s="18" t="str">
        <f>[1]!w_info_lasttradingdate(B27)</f>
        <v>2020-04-17</v>
      </c>
      <c r="F27" s="4">
        <f>IF(G27&gt;0,RTD("wdf.rtq",,$B27,F$5),0)</f>
        <v>10.200000000000001</v>
      </c>
      <c r="G27" s="53">
        <f>RTD("wdf.rtq",,$B27,G$5)</f>
        <v>303</v>
      </c>
      <c r="H27" s="4">
        <f>RTD("wdf.rtq",,$B27,H$5)</f>
        <v>8.6</v>
      </c>
      <c r="I27" s="53">
        <f>RTD("wdf.rtq",,$B27,I$5)</f>
        <v>1</v>
      </c>
      <c r="J27" s="4">
        <f>RTD("wdf.rtq",,$B27,J$5)</f>
        <v>10.8</v>
      </c>
      <c r="K27" s="54">
        <f>RTD("wdf.rtq",,$B27,K$5)</f>
        <v>5</v>
      </c>
      <c r="L27" s="4">
        <f>[1]!s_dq_presettle(B27,"")</f>
        <v>9.1999999999999993</v>
      </c>
      <c r="M27" s="6">
        <f t="shared" ref="M27:M64" si="43">IF(C27="P",MAX($AF$2-D27,0),MAX(0,D27-$AF$2))</f>
        <v>492.90000000000009</v>
      </c>
      <c r="N27" s="3">
        <f t="shared" si="42"/>
        <v>58500</v>
      </c>
      <c r="O27" s="4">
        <f t="shared" si="26"/>
        <v>-11719.000000000005</v>
      </c>
      <c r="P27" s="4">
        <f t="shared" si="27"/>
        <v>21250</v>
      </c>
      <c r="Q27" s="8">
        <f t="shared" si="28"/>
        <v>79750.009999999995</v>
      </c>
      <c r="R27" s="55">
        <f ca="1">IF(NOW()-TODAY()&gt;15/24, G27, [1]!s_dq_volume(B27,R$2,1))/$AI$2</f>
        <v>251</v>
      </c>
      <c r="AB27" s="39" t="s">
        <v>77</v>
      </c>
      <c r="AC27" s="29" t="str">
        <f>IF([1]!w_info_callput(AB27)="认购","C","P")</f>
        <v>P</v>
      </c>
      <c r="AD27" s="31">
        <f>[1]!w_info_strikeprice(AB27,"")</f>
        <v>4250</v>
      </c>
      <c r="AE27" s="18" t="str">
        <f>[1]!w_info_lasttradingdate(AB27)</f>
        <v>2020-04-17</v>
      </c>
      <c r="AF27" s="4">
        <f>RTD("wdf.rtq",,$AB27,F$5)</f>
        <v>585</v>
      </c>
      <c r="AG27" s="53">
        <f>RTD("wdf.rtq",,$AB27,G$5)</f>
        <v>0</v>
      </c>
      <c r="AH27" s="4">
        <f>RTD("wdf.rtq",,$AB27,H$5)</f>
        <v>0</v>
      </c>
      <c r="AI27" s="53">
        <f>RTD("wdf.rtq",,$AB27,I$5)</f>
        <v>0</v>
      </c>
      <c r="AJ27" s="4">
        <f>RTD("wdf.rtq",,$AB27,J$5)</f>
        <v>0</v>
      </c>
      <c r="AK27" s="54">
        <f>RTD("wdf.rtq",,$AB27,K$5)</f>
        <v>0</v>
      </c>
      <c r="AL27" s="4">
        <f>[1]!s_dq_presettle(AB27,"")</f>
        <v>594.79999999999995</v>
      </c>
      <c r="AM27" s="6">
        <f t="shared" si="29"/>
        <v>0</v>
      </c>
      <c r="AN27" s="6">
        <f t="shared" si="30"/>
        <v>58500</v>
      </c>
      <c r="AO27" s="6">
        <f t="shared" si="31"/>
        <v>37571</v>
      </c>
      <c r="AP27" s="4">
        <f t="shared" si="32"/>
        <v>21250</v>
      </c>
      <c r="AQ27" s="8">
        <f t="shared" si="33"/>
        <v>96071.01</v>
      </c>
      <c r="AR27" s="55">
        <f ca="1">IF(NOW()-TODAY()&gt;15/24, AG27, [1]!s_dq_volume(AB27,AR$2,1))/AI$2</f>
        <v>4</v>
      </c>
      <c r="AS27" s="110"/>
      <c r="AT27" s="110"/>
      <c r="AU27" s="110"/>
      <c r="AV27" s="110"/>
      <c r="AY27" s="10"/>
      <c r="AZ27" s="10"/>
      <c r="BA27" s="6">
        <f t="shared" ca="1" si="34"/>
        <v>-5500.7933333333203</v>
      </c>
      <c r="BB27" s="6">
        <f t="shared" ca="1" si="35"/>
        <v>0</v>
      </c>
      <c r="BC27" s="6">
        <f t="shared" ca="1" si="36"/>
        <v>0</v>
      </c>
      <c r="BD27" s="12">
        <f t="shared" ca="1" si="37"/>
        <v>0</v>
      </c>
      <c r="BE27" s="2">
        <f t="shared" ca="1" si="5"/>
        <v>-1.0702765246917401E-2</v>
      </c>
      <c r="BF27" s="2">
        <f t="shared" ca="1" si="6"/>
        <v>0</v>
      </c>
      <c r="BG27" s="2">
        <f t="shared" ca="1" si="7"/>
        <v>0</v>
      </c>
      <c r="BH27" s="13">
        <f t="shared" ca="1" si="8"/>
        <v>0</v>
      </c>
      <c r="BI27" s="2">
        <f t="shared" ca="1" si="9"/>
        <v>-0.17756860523294779</v>
      </c>
      <c r="BJ27" s="2">
        <f t="shared" ca="1" si="10"/>
        <v>0</v>
      </c>
      <c r="BK27" s="2">
        <f t="shared" ca="1" si="11"/>
        <v>0</v>
      </c>
      <c r="BL27" s="40">
        <f t="shared" ca="1" si="12"/>
        <v>0</v>
      </c>
      <c r="BN27" s="6">
        <f t="shared" ca="1" si="38"/>
        <v>6470.8759999999866</v>
      </c>
      <c r="BO27" s="6">
        <f t="shared" ca="1" si="39"/>
        <v>0</v>
      </c>
      <c r="BP27" s="6">
        <f t="shared" ca="1" si="40"/>
        <v>0</v>
      </c>
      <c r="BQ27" s="12">
        <f t="shared" ca="1" si="41"/>
        <v>0</v>
      </c>
      <c r="BR27" s="2">
        <f t="shared" ca="1" si="13"/>
        <v>4.5513071420316992E-2</v>
      </c>
      <c r="BS27" s="2">
        <f t="shared" ca="1" si="14"/>
        <v>0</v>
      </c>
      <c r="BT27" s="2">
        <f t="shared" ca="1" si="15"/>
        <v>0</v>
      </c>
      <c r="BU27" s="13">
        <f t="shared" ca="1" si="16"/>
        <v>0</v>
      </c>
      <c r="BV27" s="2">
        <f t="shared" ca="1" si="17"/>
        <v>0.75510323038253191</v>
      </c>
      <c r="BW27" s="2">
        <f t="shared" ca="1" si="18"/>
        <v>0</v>
      </c>
      <c r="BX27" s="2">
        <f t="shared" ca="1" si="19"/>
        <v>0</v>
      </c>
      <c r="BY27" s="13">
        <f t="shared" ca="1" si="20"/>
        <v>0</v>
      </c>
      <c r="CF27" s="39" t="str">
        <f t="shared" si="21"/>
        <v>C2020-04-4250000.CFE</v>
      </c>
      <c r="CG27" s="39" t="str">
        <f t="shared" si="22"/>
        <v>P2020-04-4250000.CFE</v>
      </c>
      <c r="CH27" s="95" t="s">
        <v>49</v>
      </c>
      <c r="CI27" s="100" t="str">
        <f>IF([1]!w_info_callput(CH27)="认购","C","P")</f>
        <v>C</v>
      </c>
      <c r="CJ27" s="104">
        <f>[1]!w_info_strikeprice(CH27,"")</f>
        <v>4250</v>
      </c>
      <c r="CK27" s="102" t="str">
        <f>[1]!w_info_lasttradingdate(CH27)</f>
        <v>2020-04-17</v>
      </c>
      <c r="CL27" s="39" t="str">
        <f t="shared" si="23"/>
        <v>IO2004-P-4250.CFE</v>
      </c>
    </row>
    <row r="28" spans="1:90">
      <c r="A28" s="35">
        <f t="shared" si="2"/>
        <v>1</v>
      </c>
      <c r="B28" s="112" t="s">
        <v>50</v>
      </c>
      <c r="C28" s="29" t="str">
        <f>IF([1]!w_info_callput(B28)="认购","C","P")</f>
        <v>C</v>
      </c>
      <c r="D28" s="96">
        <f>[1]!w_info_strikeprice(B28,"")</f>
        <v>4300</v>
      </c>
      <c r="E28" s="18" t="str">
        <f>[1]!w_info_lasttradingdate(B28)</f>
        <v>2020-04-17</v>
      </c>
      <c r="F28" s="4">
        <f>IF(G28&gt;0,RTD("wdf.rtq",,$B28,F$5),0)</f>
        <v>8</v>
      </c>
      <c r="G28" s="53">
        <f>RTD("wdf.rtq",,$B28,G$5)</f>
        <v>142</v>
      </c>
      <c r="H28" s="4">
        <f>RTD("wdf.rtq",,$B28,H$5)</f>
        <v>7.8</v>
      </c>
      <c r="I28" s="53">
        <f>RTD("wdf.rtq",,$B28,I$5)</f>
        <v>4</v>
      </c>
      <c r="J28" s="4">
        <f>RTD("wdf.rtq",,$B28,J$5)</f>
        <v>9</v>
      </c>
      <c r="K28" s="54">
        <f>RTD("wdf.rtq",,$B28,K$5)</f>
        <v>1</v>
      </c>
      <c r="L28" s="4">
        <f>[1]!s_dq_presettle(B28,"")</f>
        <v>7.6</v>
      </c>
      <c r="M28" s="6">
        <f t="shared" si="43"/>
        <v>542.90000000000009</v>
      </c>
      <c r="N28" s="3">
        <f t="shared" si="42"/>
        <v>57400</v>
      </c>
      <c r="O28" s="4">
        <f t="shared" si="26"/>
        <v>-16719.000000000007</v>
      </c>
      <c r="P28" s="4">
        <f t="shared" si="27"/>
        <v>21500</v>
      </c>
      <c r="Q28" s="8">
        <f t="shared" si="28"/>
        <v>78900.009999999995</v>
      </c>
      <c r="R28" s="55">
        <f ca="1">IF(NOW()-TODAY()&gt;15/24, G28, [1]!s_dq_volume(B28,R$2,1))/$AI$2</f>
        <v>245</v>
      </c>
      <c r="AB28" s="39" t="s">
        <v>78</v>
      </c>
      <c r="AC28" s="29" t="str">
        <f>IF([1]!w_info_callput(AB28)="认购","C","P")</f>
        <v>P</v>
      </c>
      <c r="AD28" s="31">
        <f>[1]!w_info_strikeprice(AB28,"")</f>
        <v>4300</v>
      </c>
      <c r="AE28" s="18" t="str">
        <f>[1]!w_info_lasttradingdate(AB28)</f>
        <v>2020-04-17</v>
      </c>
      <c r="AF28" s="4">
        <f>RTD("wdf.rtq",,$AB28,F$5)</f>
        <v>574</v>
      </c>
      <c r="AG28" s="53">
        <f>RTD("wdf.rtq",,$AB28,G$5)</f>
        <v>2</v>
      </c>
      <c r="AH28" s="4">
        <f>RTD("wdf.rtq",,$AB28,H$5)</f>
        <v>0</v>
      </c>
      <c r="AI28" s="53">
        <f>RTD("wdf.rtq",,$AB28,I$5)</f>
        <v>0</v>
      </c>
      <c r="AJ28" s="4">
        <f>RTD("wdf.rtq",,$AB28,J$5)</f>
        <v>0</v>
      </c>
      <c r="AK28" s="54">
        <f>RTD("wdf.rtq",,$AB28,K$5)</f>
        <v>0</v>
      </c>
      <c r="AL28" s="4">
        <f>[1]!s_dq_presettle(AB28,"")</f>
        <v>634.6</v>
      </c>
      <c r="AM28" s="6">
        <f t="shared" si="29"/>
        <v>0</v>
      </c>
      <c r="AN28" s="6">
        <f t="shared" si="30"/>
        <v>57400</v>
      </c>
      <c r="AO28" s="6">
        <f t="shared" si="31"/>
        <v>37571</v>
      </c>
      <c r="AP28" s="4">
        <f t="shared" si="32"/>
        <v>21500</v>
      </c>
      <c r="AQ28" s="8">
        <f t="shared" si="33"/>
        <v>94971.01</v>
      </c>
      <c r="AR28" s="55">
        <f ca="1">IF(NOW()-TODAY()&gt;15/24, AG28, [1]!s_dq_volume(AB28,AR$2,1))/AI$2</f>
        <v>7</v>
      </c>
      <c r="AS28" s="110"/>
      <c r="AT28" s="110"/>
      <c r="AU28" s="110"/>
      <c r="AV28" s="110"/>
      <c r="AY28" s="10"/>
      <c r="AZ28" s="10"/>
      <c r="BA28" s="6">
        <f t="shared" ca="1" si="34"/>
        <v>379.20666666667557</v>
      </c>
      <c r="BB28" s="6">
        <f t="shared" ca="1" si="35"/>
        <v>0</v>
      </c>
      <c r="BC28" s="6">
        <f t="shared" ca="1" si="36"/>
        <v>0</v>
      </c>
      <c r="BD28" s="12">
        <f t="shared" ca="1" si="37"/>
        <v>0</v>
      </c>
      <c r="BE28" s="2">
        <f t="shared" ca="1" si="5"/>
        <v>7.4062354106451073E-4</v>
      </c>
      <c r="BF28" s="2">
        <f t="shared" ca="1" si="6"/>
        <v>0</v>
      </c>
      <c r="BG28" s="2">
        <f t="shared" ca="1" si="7"/>
        <v>0</v>
      </c>
      <c r="BH28" s="13">
        <f t="shared" ca="1" si="8"/>
        <v>0</v>
      </c>
      <c r="BI28" s="2">
        <f t="shared" ca="1" si="9"/>
        <v>1.2287617840388475E-2</v>
      </c>
      <c r="BJ28" s="2">
        <f t="shared" ca="1" si="10"/>
        <v>0</v>
      </c>
      <c r="BK28" s="2">
        <f t="shared" ca="1" si="11"/>
        <v>0</v>
      </c>
      <c r="BL28" s="40">
        <f t="shared" ca="1" si="12"/>
        <v>0</v>
      </c>
      <c r="BN28" s="6">
        <f t="shared" ca="1" si="38"/>
        <v>590.87599999999088</v>
      </c>
      <c r="BO28" s="6">
        <f t="shared" ca="1" si="39"/>
        <v>0</v>
      </c>
      <c r="BP28" s="6">
        <f t="shared" ca="1" si="40"/>
        <v>0</v>
      </c>
      <c r="BQ28" s="12">
        <f t="shared" ca="1" si="41"/>
        <v>0</v>
      </c>
      <c r="BR28" s="2">
        <f t="shared" ca="1" si="13"/>
        <v>4.1948878221271958E-3</v>
      </c>
      <c r="BS28" s="2">
        <f t="shared" ca="1" si="14"/>
        <v>0</v>
      </c>
      <c r="BT28" s="2">
        <f t="shared" ca="1" si="15"/>
        <v>0</v>
      </c>
      <c r="BU28" s="13">
        <f t="shared" ca="1" si="16"/>
        <v>0</v>
      </c>
      <c r="BV28" s="2">
        <f t="shared" ca="1" si="17"/>
        <v>6.9597002503473934E-2</v>
      </c>
      <c r="BW28" s="2">
        <f t="shared" ca="1" si="18"/>
        <v>0</v>
      </c>
      <c r="BX28" s="2">
        <f t="shared" ca="1" si="19"/>
        <v>0</v>
      </c>
      <c r="BY28" s="13">
        <f t="shared" ca="1" si="20"/>
        <v>0</v>
      </c>
      <c r="CF28" s="39" t="str">
        <f t="shared" si="21"/>
        <v>C2020-04-4300000.CFE</v>
      </c>
      <c r="CG28" s="39" t="str">
        <f t="shared" si="22"/>
        <v>P2020-04-4300000.CFE</v>
      </c>
      <c r="CH28" s="95" t="s">
        <v>50</v>
      </c>
      <c r="CI28" s="100" t="str">
        <f>IF([1]!w_info_callput(CH28)="认购","C","P")</f>
        <v>C</v>
      </c>
      <c r="CJ28" s="104">
        <f>[1]!w_info_strikeprice(CH28,"")</f>
        <v>4300</v>
      </c>
      <c r="CK28" s="102" t="str">
        <f>[1]!w_info_lasttradingdate(CH28)</f>
        <v>2020-04-17</v>
      </c>
      <c r="CL28" s="39" t="str">
        <f t="shared" si="23"/>
        <v>IO2004-P-4300.CFE</v>
      </c>
    </row>
    <row r="29" spans="1:90">
      <c r="A29" s="35">
        <f t="shared" si="2"/>
        <v>1</v>
      </c>
      <c r="B29" s="112" t="s">
        <v>51</v>
      </c>
      <c r="C29" s="29" t="str">
        <f>IF([1]!w_info_callput(B29)="认购","C","P")</f>
        <v>C</v>
      </c>
      <c r="D29" s="96">
        <f>[1]!w_info_strikeprice(B29,"")</f>
        <v>4350</v>
      </c>
      <c r="E29" s="18" t="str">
        <f>[1]!w_info_lasttradingdate(B29)</f>
        <v>2020-04-17</v>
      </c>
      <c r="F29" s="4">
        <f>IF(G29&gt;0,RTD("wdf.rtq",,$B29,F$5),0)</f>
        <v>6.2</v>
      </c>
      <c r="G29" s="53">
        <f>RTD("wdf.rtq",,$B29,G$5)</f>
        <v>104</v>
      </c>
      <c r="H29" s="4">
        <f>RTD("wdf.rtq",,$B29,H$5)</f>
        <v>1.4000000000000001</v>
      </c>
      <c r="I29" s="53">
        <f>RTD("wdf.rtq",,$B29,I$5)</f>
        <v>1</v>
      </c>
      <c r="J29" s="4">
        <f>RTD("wdf.rtq",,$B29,J$5)</f>
        <v>46</v>
      </c>
      <c r="K29" s="54">
        <f>RTD("wdf.rtq",,$B29,K$5)</f>
        <v>10</v>
      </c>
      <c r="L29" s="4">
        <f>[1]!s_dq_presettle(B29,"")</f>
        <v>6</v>
      </c>
      <c r="M29" s="6">
        <f t="shared" si="43"/>
        <v>592.90000000000009</v>
      </c>
      <c r="N29" s="3">
        <f t="shared" si="42"/>
        <v>68120</v>
      </c>
      <c r="O29" s="4">
        <f t="shared" si="26"/>
        <v>-21719.000000000007</v>
      </c>
      <c r="P29" s="4">
        <f t="shared" si="27"/>
        <v>21750</v>
      </c>
      <c r="Q29" s="8">
        <f t="shared" si="28"/>
        <v>89870.01</v>
      </c>
      <c r="R29" s="55">
        <f ca="1">IF(NOW()-TODAY()&gt;15/24, G29, [1]!s_dq_volume(B29,R$2,1))/$AI$2</f>
        <v>162</v>
      </c>
      <c r="AB29" s="39" t="s">
        <v>79</v>
      </c>
      <c r="AC29" s="29" t="str">
        <f>IF([1]!w_info_callput(AB29)="认购","C","P")</f>
        <v>P</v>
      </c>
      <c r="AD29" s="31">
        <f>[1]!w_info_strikeprice(AB29,"")</f>
        <v>4350</v>
      </c>
      <c r="AE29" s="18" t="str">
        <f>[1]!w_info_lasttradingdate(AB29)</f>
        <v>2020-04-17</v>
      </c>
      <c r="AF29" s="4">
        <f>RTD("wdf.rtq",,$AB29,F$5)</f>
        <v>681.2</v>
      </c>
      <c r="AG29" s="53">
        <f>RTD("wdf.rtq",,$AB29,G$5)</f>
        <v>0</v>
      </c>
      <c r="AH29" s="4">
        <f>RTD("wdf.rtq",,$AB29,H$5)</f>
        <v>0</v>
      </c>
      <c r="AI29" s="53">
        <f>RTD("wdf.rtq",,$AB29,I$5)</f>
        <v>0</v>
      </c>
      <c r="AJ29" s="4">
        <f>RTD("wdf.rtq",,$AB29,J$5)</f>
        <v>0</v>
      </c>
      <c r="AK29" s="54">
        <f>RTD("wdf.rtq",,$AB29,K$5)</f>
        <v>0</v>
      </c>
      <c r="AL29" s="4">
        <f>[1]!s_dq_presettle(AB29,"")</f>
        <v>683.2</v>
      </c>
      <c r="AM29" s="6">
        <f t="shared" si="29"/>
        <v>0</v>
      </c>
      <c r="AN29" s="6">
        <f t="shared" si="30"/>
        <v>68120</v>
      </c>
      <c r="AO29" s="6">
        <f t="shared" si="31"/>
        <v>37571</v>
      </c>
      <c r="AP29" s="4">
        <f t="shared" si="32"/>
        <v>21750</v>
      </c>
      <c r="AQ29" s="8">
        <f t="shared" si="33"/>
        <v>105691.01</v>
      </c>
      <c r="AR29" s="55">
        <f ca="1">IF(NOW()-TODAY()&gt;15/24, AG29, [1]!s_dq_volume(AB29,AR$2,1))/AI$2</f>
        <v>0</v>
      </c>
      <c r="AS29" s="110"/>
      <c r="AT29" s="110"/>
      <c r="AU29" s="110"/>
      <c r="AV29" s="110"/>
      <c r="AY29" s="10"/>
      <c r="AZ29" s="10"/>
      <c r="BA29" s="6">
        <f t="shared" ca="1" si="34"/>
        <v>-5520.7933333333249</v>
      </c>
      <c r="BB29" s="6">
        <f t="shared" ca="1" si="35"/>
        <v>0</v>
      </c>
      <c r="BC29" s="6">
        <f t="shared" ca="1" si="36"/>
        <v>0</v>
      </c>
      <c r="BD29" s="12">
        <f t="shared" ca="1" si="37"/>
        <v>0</v>
      </c>
      <c r="BE29" s="2">
        <f t="shared" ca="1" si="5"/>
        <v>-1.0344375547853793E-2</v>
      </c>
      <c r="BF29" s="2">
        <f t="shared" ca="1" si="6"/>
        <v>0</v>
      </c>
      <c r="BG29" s="2">
        <f t="shared" ca="1" si="7"/>
        <v>0</v>
      </c>
      <c r="BH29" s="13">
        <f t="shared" ca="1" si="8"/>
        <v>0</v>
      </c>
      <c r="BI29" s="2">
        <f t="shared" ca="1" si="9"/>
        <v>-0.17162259431666518</v>
      </c>
      <c r="BJ29" s="2">
        <f t="shared" ca="1" si="10"/>
        <v>0</v>
      </c>
      <c r="BK29" s="2">
        <f t="shared" ca="1" si="11"/>
        <v>0</v>
      </c>
      <c r="BL29" s="40">
        <f t="shared" ca="1" si="12"/>
        <v>0</v>
      </c>
      <c r="BN29" s="6">
        <f t="shared" ca="1" si="38"/>
        <v>6490.8759999999911</v>
      </c>
      <c r="BO29" s="6">
        <f t="shared" ca="1" si="39"/>
        <v>0</v>
      </c>
      <c r="BP29" s="6">
        <f t="shared" ca="1" si="40"/>
        <v>0</v>
      </c>
      <c r="BQ29" s="12">
        <f t="shared" ca="1" si="41"/>
        <v>0</v>
      </c>
      <c r="BR29" s="2">
        <f t="shared" ca="1" si="13"/>
        <v>4.2873437848939489E-2</v>
      </c>
      <c r="BS29" s="2">
        <f t="shared" ca="1" si="14"/>
        <v>0</v>
      </c>
      <c r="BT29" s="2">
        <f t="shared" ca="1" si="15"/>
        <v>0</v>
      </c>
      <c r="BU29" s="13">
        <f t="shared" ca="1" si="16"/>
        <v>0</v>
      </c>
      <c r="BV29" s="2">
        <f t="shared" ca="1" si="17"/>
        <v>0.71130930976649609</v>
      </c>
      <c r="BW29" s="2">
        <f t="shared" ca="1" si="18"/>
        <v>0</v>
      </c>
      <c r="BX29" s="2">
        <f t="shared" ca="1" si="19"/>
        <v>0</v>
      </c>
      <c r="BY29" s="13">
        <f t="shared" ca="1" si="20"/>
        <v>0</v>
      </c>
      <c r="CF29" s="39" t="str">
        <f t="shared" si="21"/>
        <v>C2020-04-4350000.CFE</v>
      </c>
      <c r="CG29" s="39" t="str">
        <f t="shared" si="22"/>
        <v>P2020-04-4350000.CFE</v>
      </c>
      <c r="CH29" s="95" t="s">
        <v>51</v>
      </c>
      <c r="CI29" s="100" t="str">
        <f>IF([1]!w_info_callput(CH29)="认购","C","P")</f>
        <v>C</v>
      </c>
      <c r="CJ29" s="104">
        <f>[1]!w_info_strikeprice(CH29,"")</f>
        <v>4350</v>
      </c>
      <c r="CK29" s="102" t="str">
        <f>[1]!w_info_lasttradingdate(CH29)</f>
        <v>2020-04-17</v>
      </c>
      <c r="CL29" s="39" t="str">
        <f t="shared" si="23"/>
        <v>IO2004-P-4350.CFE</v>
      </c>
    </row>
    <row r="30" spans="1:90">
      <c r="A30" s="35">
        <f t="shared" si="2"/>
        <v>1</v>
      </c>
      <c r="B30" s="112" t="s">
        <v>52</v>
      </c>
      <c r="C30" s="29" t="str">
        <f>IF([1]!w_info_callput(B30)="认购","C","P")</f>
        <v>C</v>
      </c>
      <c r="D30" s="96">
        <f>[1]!w_info_strikeprice(B30,"")</f>
        <v>4400</v>
      </c>
      <c r="E30" s="18" t="str">
        <f>[1]!w_info_lasttradingdate(B30)</f>
        <v>2020-04-17</v>
      </c>
      <c r="F30" s="4">
        <f>IF(G30&gt;0,RTD("wdf.rtq",,$B30,F$5),0)</f>
        <v>4.6000000000000005</v>
      </c>
      <c r="G30" s="53">
        <f>RTD("wdf.rtq",,$B30,G$5)</f>
        <v>252</v>
      </c>
      <c r="H30" s="4">
        <f>RTD("wdf.rtq",,$B30,H$5)</f>
        <v>4.2</v>
      </c>
      <c r="I30" s="53">
        <f>RTD("wdf.rtq",,$B30,I$5)</f>
        <v>5</v>
      </c>
      <c r="J30" s="4">
        <f>RTD("wdf.rtq",,$B30,J$5)</f>
        <v>4.8</v>
      </c>
      <c r="K30" s="54">
        <f>RTD("wdf.rtq",,$B30,K$5)</f>
        <v>1</v>
      </c>
      <c r="L30" s="4">
        <f>[1]!s_dq_presettle(B30,"")</f>
        <v>4.5999999999999996</v>
      </c>
      <c r="M30" s="6">
        <f t="shared" si="43"/>
        <v>642.90000000000009</v>
      </c>
      <c r="N30" s="3">
        <f t="shared" si="42"/>
        <v>68960</v>
      </c>
      <c r="O30" s="4">
        <f t="shared" si="26"/>
        <v>-26719.000000000007</v>
      </c>
      <c r="P30" s="4">
        <f t="shared" si="27"/>
        <v>22000</v>
      </c>
      <c r="Q30" s="8">
        <f t="shared" si="28"/>
        <v>90960.01</v>
      </c>
      <c r="R30" s="55">
        <f ca="1">IF(NOW()-TODAY()&gt;15/24, G30, [1]!s_dq_volume(B30,R$2,1))/$AI$2</f>
        <v>311</v>
      </c>
      <c r="AB30" s="39" t="s">
        <v>80</v>
      </c>
      <c r="AC30" s="29" t="str">
        <f>IF([1]!w_info_callput(AB30)="认购","C","P")</f>
        <v>P</v>
      </c>
      <c r="AD30" s="31">
        <f>[1]!w_info_strikeprice(AB30,"")</f>
        <v>4400</v>
      </c>
      <c r="AE30" s="18" t="str">
        <f>[1]!w_info_lasttradingdate(AB30)</f>
        <v>2020-04-17</v>
      </c>
      <c r="AF30" s="4">
        <f>RTD("wdf.rtq",,$AB30,F$5)</f>
        <v>689.6</v>
      </c>
      <c r="AG30" s="53">
        <f>RTD("wdf.rtq",,$AB30,G$5)</f>
        <v>1</v>
      </c>
      <c r="AH30" s="4">
        <f>RTD("wdf.rtq",,$AB30,H$5)</f>
        <v>0</v>
      </c>
      <c r="AI30" s="53">
        <f>RTD("wdf.rtq",,$AB30,I$5)</f>
        <v>0</v>
      </c>
      <c r="AJ30" s="4">
        <f>RTD("wdf.rtq",,$AB30,J$5)</f>
        <v>0</v>
      </c>
      <c r="AK30" s="54">
        <f>RTD("wdf.rtq",,$AB30,K$5)</f>
        <v>0</v>
      </c>
      <c r="AL30" s="4">
        <f>[1]!s_dq_presettle(AB30,"")</f>
        <v>738</v>
      </c>
      <c r="AM30" s="6">
        <f t="shared" si="29"/>
        <v>0</v>
      </c>
      <c r="AN30" s="6">
        <f t="shared" si="30"/>
        <v>68960</v>
      </c>
      <c r="AO30" s="6">
        <f t="shared" si="31"/>
        <v>37571</v>
      </c>
      <c r="AP30" s="4">
        <f t="shared" si="32"/>
        <v>22000</v>
      </c>
      <c r="AQ30" s="8">
        <f t="shared" si="33"/>
        <v>106531.01</v>
      </c>
      <c r="AR30" s="55">
        <f ca="1">IF(NOW()-TODAY()&gt;15/24, AG30, [1]!s_dq_volume(AB30,AR$2,1))/AI$2</f>
        <v>0</v>
      </c>
      <c r="AS30" s="110"/>
      <c r="AT30" s="110"/>
      <c r="AU30" s="110"/>
      <c r="AV30" s="110"/>
      <c r="AY30" s="10"/>
      <c r="AZ30" s="10"/>
      <c r="BA30" s="6">
        <f t="shared" ca="1" si="34"/>
        <v>-1520.7933333333244</v>
      </c>
      <c r="BB30" s="6">
        <f t="shared" ca="1" si="35"/>
        <v>0</v>
      </c>
      <c r="BC30" s="6">
        <f t="shared" ca="1" si="36"/>
        <v>0</v>
      </c>
      <c r="BD30" s="12">
        <f t="shared" ca="1" si="37"/>
        <v>0</v>
      </c>
      <c r="BE30" s="2">
        <f t="shared" ca="1" si="5"/>
        <v>-2.8392608796010597E-3</v>
      </c>
      <c r="BF30" s="2">
        <f t="shared" ca="1" si="6"/>
        <v>0</v>
      </c>
      <c r="BG30" s="2">
        <f t="shared" ca="1" si="7"/>
        <v>0</v>
      </c>
      <c r="BH30" s="13">
        <f t="shared" ca="1" si="8"/>
        <v>0</v>
      </c>
      <c r="BI30" s="2">
        <f t="shared" ca="1" si="9"/>
        <v>-4.7105919138835765E-2</v>
      </c>
      <c r="BJ30" s="2">
        <f t="shared" ca="1" si="10"/>
        <v>0</v>
      </c>
      <c r="BK30" s="2">
        <f t="shared" ca="1" si="11"/>
        <v>0</v>
      </c>
      <c r="BL30" s="40">
        <f t="shared" ca="1" si="12"/>
        <v>0</v>
      </c>
      <c r="BN30" s="6">
        <f t="shared" ca="1" si="38"/>
        <v>2490.8759999999907</v>
      </c>
      <c r="BO30" s="6">
        <f t="shared" ca="1" si="39"/>
        <v>0</v>
      </c>
      <c r="BP30" s="6">
        <f t="shared" ca="1" si="40"/>
        <v>0</v>
      </c>
      <c r="BQ30" s="12">
        <f t="shared" ca="1" si="41"/>
        <v>0</v>
      </c>
      <c r="BR30" s="2">
        <f t="shared" ca="1" si="13"/>
        <v>1.6379129911246411E-2</v>
      </c>
      <c r="BS30" s="2">
        <f t="shared" ca="1" si="14"/>
        <v>0</v>
      </c>
      <c r="BT30" s="2">
        <f t="shared" ca="1" si="15"/>
        <v>0</v>
      </c>
      <c r="BU30" s="13">
        <f t="shared" ca="1" si="16"/>
        <v>0</v>
      </c>
      <c r="BV30" s="2">
        <f t="shared" ca="1" si="17"/>
        <v>0.2717446553456791</v>
      </c>
      <c r="BW30" s="2">
        <f t="shared" ca="1" si="18"/>
        <v>0</v>
      </c>
      <c r="BX30" s="2">
        <f t="shared" ca="1" si="19"/>
        <v>0</v>
      </c>
      <c r="BY30" s="13">
        <f t="shared" ca="1" si="20"/>
        <v>0</v>
      </c>
      <c r="CF30" s="39" t="str">
        <f t="shared" si="21"/>
        <v>C2020-04-4400000.CFE</v>
      </c>
      <c r="CG30" s="39" t="str">
        <f t="shared" si="22"/>
        <v>P2020-04-4400000.CFE</v>
      </c>
      <c r="CH30" s="95" t="s">
        <v>52</v>
      </c>
      <c r="CI30" s="100" t="str">
        <f>IF([1]!w_info_callput(CH30)="认购","C","P")</f>
        <v>C</v>
      </c>
      <c r="CJ30" s="104">
        <f>[1]!w_info_strikeprice(CH30,"")</f>
        <v>4400</v>
      </c>
      <c r="CK30" s="102" t="str">
        <f>[1]!w_info_lasttradingdate(CH30)</f>
        <v>2020-04-17</v>
      </c>
      <c r="CL30" s="39" t="str">
        <f t="shared" si="23"/>
        <v>IO2004-P-4400.CFE</v>
      </c>
    </row>
    <row r="31" spans="1:90">
      <c r="A31" s="35">
        <f t="shared" si="2"/>
        <v>1</v>
      </c>
      <c r="B31" s="112" t="s">
        <v>53</v>
      </c>
      <c r="C31" s="29" t="str">
        <f>IF([1]!w_info_callput(B31)="认购","C","P")</f>
        <v>C</v>
      </c>
      <c r="D31" s="96">
        <f>[1]!w_info_strikeprice(B31,"")</f>
        <v>4450</v>
      </c>
      <c r="E31" s="18" t="str">
        <f>[1]!w_info_lasttradingdate(B31)</f>
        <v>2020-04-17</v>
      </c>
      <c r="F31" s="4">
        <f>IF(G31&gt;0,RTD("wdf.rtq",,$B31,F$5),0)</f>
        <v>3.8000000000000003</v>
      </c>
      <c r="G31" s="53">
        <f>RTD("wdf.rtq",,$B31,G$5)</f>
        <v>84</v>
      </c>
      <c r="H31" s="4">
        <f>RTD("wdf.rtq",,$B31,H$5)</f>
        <v>1</v>
      </c>
      <c r="I31" s="53">
        <f>RTD("wdf.rtq",,$B31,I$5)</f>
        <v>1</v>
      </c>
      <c r="J31" s="4">
        <f>RTD("wdf.rtq",,$B31,J$5)</f>
        <v>4</v>
      </c>
      <c r="K31" s="54">
        <f>RTD("wdf.rtq",,$B31,K$5)</f>
        <v>6</v>
      </c>
      <c r="L31" s="4">
        <f>[1]!s_dq_presettle(B31,"")</f>
        <v>4</v>
      </c>
      <c r="M31" s="6">
        <f t="shared" si="43"/>
        <v>692.90000000000009</v>
      </c>
      <c r="N31" s="3">
        <f t="shared" si="42"/>
        <v>77980</v>
      </c>
      <c r="O31" s="4">
        <f t="shared" si="26"/>
        <v>-31719.000000000007</v>
      </c>
      <c r="P31" s="4">
        <f t="shared" si="27"/>
        <v>22250</v>
      </c>
      <c r="Q31" s="8">
        <f t="shared" si="28"/>
        <v>100230.01</v>
      </c>
      <c r="R31" s="55">
        <f ca="1">IF(NOW()-TODAY()&gt;15/24, G31, [1]!s_dq_volume(B31,R$2,1))/$AI$2</f>
        <v>226</v>
      </c>
      <c r="AB31" s="39" t="s">
        <v>81</v>
      </c>
      <c r="AC31" s="29" t="str">
        <f>IF([1]!w_info_callput(AB31)="认购","C","P")</f>
        <v>P</v>
      </c>
      <c r="AD31" s="31">
        <f>[1]!w_info_strikeprice(AB31,"")</f>
        <v>4450</v>
      </c>
      <c r="AE31" s="18" t="str">
        <f>[1]!w_info_lasttradingdate(AB31)</f>
        <v>2020-04-17</v>
      </c>
      <c r="AF31" s="4">
        <f>RTD("wdf.rtq",,$AB31,F$5)</f>
        <v>779.80000000000007</v>
      </c>
      <c r="AG31" s="53">
        <f>RTD("wdf.rtq",,$AB31,G$5)</f>
        <v>0</v>
      </c>
      <c r="AH31" s="4">
        <f>RTD("wdf.rtq",,$AB31,H$5)</f>
        <v>0</v>
      </c>
      <c r="AI31" s="53">
        <f>RTD("wdf.rtq",,$AB31,I$5)</f>
        <v>0</v>
      </c>
      <c r="AJ31" s="4">
        <f>RTD("wdf.rtq",,$AB31,J$5)</f>
        <v>0</v>
      </c>
      <c r="AK31" s="54">
        <f>RTD("wdf.rtq",,$AB31,K$5)</f>
        <v>0</v>
      </c>
      <c r="AL31" s="4">
        <f>[1]!s_dq_presettle(AB31,"")</f>
        <v>781.4</v>
      </c>
      <c r="AM31" s="6">
        <f t="shared" si="29"/>
        <v>0</v>
      </c>
      <c r="AN31" s="6">
        <f t="shared" si="30"/>
        <v>77980</v>
      </c>
      <c r="AO31" s="6">
        <f t="shared" si="31"/>
        <v>37571</v>
      </c>
      <c r="AP31" s="4">
        <f t="shared" si="32"/>
        <v>22250</v>
      </c>
      <c r="AQ31" s="8">
        <f t="shared" si="33"/>
        <v>115551.01</v>
      </c>
      <c r="AR31" s="55">
        <f ca="1">IF(NOW()-TODAY()&gt;15/24, AG31, [1]!s_dq_volume(AB31,AR$2,1))/AI$2</f>
        <v>0</v>
      </c>
      <c r="AS31" s="110"/>
      <c r="AT31" s="110"/>
      <c r="AU31" s="110"/>
      <c r="AV31" s="110"/>
      <c r="AY31" s="10"/>
      <c r="AZ31" s="10"/>
      <c r="BA31" s="6">
        <f t="shared" ca="1" si="34"/>
        <v>-5620.7933333333358</v>
      </c>
      <c r="BB31" s="6">
        <f t="shared" ca="1" si="35"/>
        <v>0</v>
      </c>
      <c r="BC31" s="6">
        <f t="shared" ca="1" si="36"/>
        <v>0</v>
      </c>
      <c r="BD31" s="12">
        <f t="shared" ca="1" si="37"/>
        <v>0</v>
      </c>
      <c r="BE31" s="2">
        <f t="shared" ca="1" si="5"/>
        <v>-1.0147301472884753E-2</v>
      </c>
      <c r="BF31" s="2">
        <f t="shared" ca="1" si="6"/>
        <v>0</v>
      </c>
      <c r="BG31" s="2">
        <f t="shared" ca="1" si="7"/>
        <v>0</v>
      </c>
      <c r="BH31" s="13">
        <f t="shared" ca="1" si="8"/>
        <v>0</v>
      </c>
      <c r="BI31" s="2">
        <f t="shared" ca="1" si="9"/>
        <v>-0.16835295625467886</v>
      </c>
      <c r="BJ31" s="2">
        <f t="shared" ca="1" si="10"/>
        <v>0</v>
      </c>
      <c r="BK31" s="2">
        <f t="shared" ca="1" si="11"/>
        <v>0</v>
      </c>
      <c r="BL31" s="40">
        <f t="shared" ca="1" si="12"/>
        <v>0</v>
      </c>
      <c r="BN31" s="6">
        <f t="shared" ca="1" si="38"/>
        <v>6590.8760000000029</v>
      </c>
      <c r="BO31" s="6">
        <f t="shared" ca="1" si="39"/>
        <v>0</v>
      </c>
      <c r="BP31" s="6">
        <f t="shared" ca="1" si="40"/>
        <v>0</v>
      </c>
      <c r="BQ31" s="12">
        <f t="shared" ca="1" si="41"/>
        <v>0</v>
      </c>
      <c r="BR31" s="2">
        <f t="shared" ca="1" si="13"/>
        <v>4.0932996746104032E-2</v>
      </c>
      <c r="BS31" s="2">
        <f t="shared" ca="1" si="14"/>
        <v>0</v>
      </c>
      <c r="BT31" s="2">
        <f t="shared" ca="1" si="15"/>
        <v>0</v>
      </c>
      <c r="BU31" s="13">
        <f t="shared" ca="1" si="16"/>
        <v>0</v>
      </c>
      <c r="BV31" s="2">
        <f t="shared" ca="1" si="17"/>
        <v>0.67911562783308965</v>
      </c>
      <c r="BW31" s="2">
        <f t="shared" ca="1" si="18"/>
        <v>0</v>
      </c>
      <c r="BX31" s="2">
        <f t="shared" ca="1" si="19"/>
        <v>0</v>
      </c>
      <c r="BY31" s="13">
        <f t="shared" ca="1" si="20"/>
        <v>0</v>
      </c>
      <c r="CF31" s="39" t="str">
        <f t="shared" si="21"/>
        <v>C2020-04-4450000.CFE</v>
      </c>
      <c r="CG31" s="39" t="str">
        <f t="shared" si="22"/>
        <v>P2020-04-4450000.CFE</v>
      </c>
      <c r="CH31" s="95" t="s">
        <v>53</v>
      </c>
      <c r="CI31" s="100" t="str">
        <f>IF([1]!w_info_callput(CH31)="认购","C","P")</f>
        <v>C</v>
      </c>
      <c r="CJ31" s="104">
        <f>[1]!w_info_strikeprice(CH31,"")</f>
        <v>4450</v>
      </c>
      <c r="CK31" s="102" t="str">
        <f>[1]!w_info_lasttradingdate(CH31)</f>
        <v>2020-04-17</v>
      </c>
      <c r="CL31" s="39" t="str">
        <f t="shared" si="23"/>
        <v>IO2004-P-4450.CFE</v>
      </c>
    </row>
    <row r="32" spans="1:90">
      <c r="A32" s="35">
        <f t="shared" si="2"/>
        <v>1</v>
      </c>
      <c r="B32" s="112" t="s">
        <v>54</v>
      </c>
      <c r="C32" s="29" t="str">
        <f>IF([1]!w_info_callput(B32)="认购","C","P")</f>
        <v>C</v>
      </c>
      <c r="D32" s="96">
        <f>[1]!w_info_strikeprice(B32,"")</f>
        <v>4500</v>
      </c>
      <c r="E32" s="18" t="str">
        <f>[1]!w_info_lasttradingdate(B32)</f>
        <v>2020-04-17</v>
      </c>
      <c r="F32" s="4">
        <f>IF(G32&gt;0,RTD("wdf.rtq",,$B32,F$5),0)</f>
        <v>3</v>
      </c>
      <c r="G32" s="53">
        <f>RTD("wdf.rtq",,$B32,G$5)</f>
        <v>153</v>
      </c>
      <c r="H32" s="4">
        <f>RTD("wdf.rtq",,$B32,H$5)</f>
        <v>3</v>
      </c>
      <c r="I32" s="53">
        <f>RTD("wdf.rtq",,$B32,I$5)</f>
        <v>26</v>
      </c>
      <c r="J32" s="4">
        <f>RTD("wdf.rtq",,$B32,J$5)</f>
        <v>3.2</v>
      </c>
      <c r="K32" s="54">
        <f>RTD("wdf.rtq",,$B32,K$5)</f>
        <v>10</v>
      </c>
      <c r="L32" s="4">
        <f>[1]!s_dq_presettle(B32,"")</f>
        <v>3.2</v>
      </c>
      <c r="M32" s="6">
        <f t="shared" si="43"/>
        <v>742.90000000000009</v>
      </c>
      <c r="N32" s="3">
        <f t="shared" si="42"/>
        <v>82960</v>
      </c>
      <c r="O32" s="4">
        <f t="shared" si="26"/>
        <v>-36719.000000000007</v>
      </c>
      <c r="P32" s="4">
        <f t="shared" si="27"/>
        <v>22500</v>
      </c>
      <c r="Q32" s="8">
        <f t="shared" si="28"/>
        <v>105460.01</v>
      </c>
      <c r="R32" s="55">
        <f ca="1">IF(NOW()-TODAY()&gt;15/24, G32, [1]!s_dq_volume(B32,R$2,1))/$AI$2</f>
        <v>184</v>
      </c>
      <c r="AB32" s="39" t="s">
        <v>82</v>
      </c>
      <c r="AC32" s="29" t="str">
        <f>IF([1]!w_info_callput(AB32)="认购","C","P")</f>
        <v>P</v>
      </c>
      <c r="AD32" s="31">
        <f>[1]!w_info_strikeprice(AB32,"")</f>
        <v>4500</v>
      </c>
      <c r="AE32" s="18" t="str">
        <f>[1]!w_info_lasttradingdate(AB32)</f>
        <v>2020-04-17</v>
      </c>
      <c r="AF32" s="4">
        <f>RTD("wdf.rtq",,$AB32,F$5)</f>
        <v>829.6</v>
      </c>
      <c r="AG32" s="53">
        <f>RTD("wdf.rtq",,$AB32,G$5)</f>
        <v>0</v>
      </c>
      <c r="AH32" s="4">
        <f>RTD("wdf.rtq",,$AB32,H$5)</f>
        <v>0</v>
      </c>
      <c r="AI32" s="53">
        <f>RTD("wdf.rtq",,$AB32,I$5)</f>
        <v>0</v>
      </c>
      <c r="AJ32" s="4">
        <f>RTD("wdf.rtq",,$AB32,J$5)</f>
        <v>0</v>
      </c>
      <c r="AK32" s="54">
        <f>RTD("wdf.rtq",,$AB32,K$5)</f>
        <v>0</v>
      </c>
      <c r="AL32" s="4">
        <f>[1]!s_dq_presettle(AB32,"")</f>
        <v>830.8</v>
      </c>
      <c r="AM32" s="6">
        <f t="shared" si="29"/>
        <v>0</v>
      </c>
      <c r="AN32" s="6">
        <f t="shared" si="30"/>
        <v>82960</v>
      </c>
      <c r="AO32" s="6">
        <f t="shared" si="31"/>
        <v>37571</v>
      </c>
      <c r="AP32" s="4">
        <f t="shared" si="32"/>
        <v>22500</v>
      </c>
      <c r="AQ32" s="8">
        <f t="shared" si="33"/>
        <v>120531.01</v>
      </c>
      <c r="AR32" s="55">
        <f ca="1">IF(NOW()-TODAY()&gt;15/24, AG32, [1]!s_dq_volume(AB32,AR$2,1))/AI$2</f>
        <v>0</v>
      </c>
      <c r="AS32" s="110"/>
      <c r="AT32" s="110"/>
      <c r="AU32" s="110"/>
      <c r="AV32" s="110"/>
      <c r="AY32" s="10"/>
      <c r="AZ32" s="10"/>
      <c r="BA32" s="6">
        <f t="shared" ca="1" si="34"/>
        <v>-5680.7933333333267</v>
      </c>
      <c r="BB32" s="6">
        <f t="shared" ca="1" si="35"/>
        <v>0</v>
      </c>
      <c r="BC32" s="6">
        <f t="shared" ca="1" si="36"/>
        <v>0</v>
      </c>
      <c r="BD32" s="12">
        <f t="shared" ca="1" si="37"/>
        <v>0</v>
      </c>
      <c r="BE32" s="2">
        <f t="shared" ca="1" si="5"/>
        <v>-1.0070007325675381E-2</v>
      </c>
      <c r="BF32" s="2">
        <f t="shared" ca="1" si="6"/>
        <v>0</v>
      </c>
      <c r="BG32" s="2">
        <f t="shared" ca="1" si="7"/>
        <v>0</v>
      </c>
      <c r="BH32" s="13">
        <f t="shared" ca="1" si="8"/>
        <v>0</v>
      </c>
      <c r="BI32" s="2">
        <f t="shared" ca="1" si="9"/>
        <v>-0.16707057608506884</v>
      </c>
      <c r="BJ32" s="2">
        <f t="shared" ca="1" si="10"/>
        <v>0</v>
      </c>
      <c r="BK32" s="2">
        <f t="shared" ca="1" si="11"/>
        <v>0</v>
      </c>
      <c r="BL32" s="40">
        <f t="shared" ca="1" si="12"/>
        <v>0</v>
      </c>
      <c r="BN32" s="6">
        <f t="shared" ca="1" si="38"/>
        <v>6650.8759999999938</v>
      </c>
      <c r="BO32" s="6">
        <f t="shared" ca="1" si="39"/>
        <v>0</v>
      </c>
      <c r="BP32" s="6">
        <f t="shared" ca="1" si="40"/>
        <v>0</v>
      </c>
      <c r="BQ32" s="12">
        <f t="shared" ca="1" si="41"/>
        <v>0</v>
      </c>
      <c r="BR32" s="2">
        <f t="shared" ca="1" si="13"/>
        <v>4.0085751717689272E-2</v>
      </c>
      <c r="BS32" s="2">
        <f t="shared" ca="1" si="14"/>
        <v>0</v>
      </c>
      <c r="BT32" s="2">
        <f t="shared" ca="1" si="15"/>
        <v>0</v>
      </c>
      <c r="BU32" s="13">
        <f t="shared" ca="1" si="16"/>
        <v>0</v>
      </c>
      <c r="BV32" s="2">
        <f t="shared" ca="1" si="17"/>
        <v>0.66505906258893566</v>
      </c>
      <c r="BW32" s="2">
        <f t="shared" ca="1" si="18"/>
        <v>0</v>
      </c>
      <c r="BX32" s="2">
        <f t="shared" ca="1" si="19"/>
        <v>0</v>
      </c>
      <c r="BY32" s="13">
        <f t="shared" ca="1" si="20"/>
        <v>0</v>
      </c>
      <c r="CF32" s="39" t="str">
        <f t="shared" si="21"/>
        <v>C2020-04-4500000.CFE</v>
      </c>
      <c r="CG32" s="39" t="str">
        <f t="shared" si="22"/>
        <v>P2020-04-4500000.CFE</v>
      </c>
      <c r="CH32" s="95" t="s">
        <v>54</v>
      </c>
      <c r="CI32" s="100" t="str">
        <f>IF([1]!w_info_callput(CH32)="认购","C","P")</f>
        <v>C</v>
      </c>
      <c r="CJ32" s="104">
        <f>[1]!w_info_strikeprice(CH32,"")</f>
        <v>4500</v>
      </c>
      <c r="CK32" s="102" t="str">
        <f>[1]!w_info_lasttradingdate(CH32)</f>
        <v>2020-04-17</v>
      </c>
      <c r="CL32" s="39" t="str">
        <f t="shared" si="23"/>
        <v>IO2004-P-4500.CFE</v>
      </c>
    </row>
    <row r="33" spans="1:90">
      <c r="A33" s="35">
        <f t="shared" si="2"/>
        <v>1</v>
      </c>
      <c r="B33" s="112" t="s">
        <v>55</v>
      </c>
      <c r="C33" s="29" t="str">
        <f>IF([1]!w_info_callput(B33)="认购","C","P")</f>
        <v>C</v>
      </c>
      <c r="D33" s="96">
        <f>[1]!w_info_strikeprice(B33,"")</f>
        <v>4550</v>
      </c>
      <c r="E33" s="18" t="str">
        <f>[1]!w_info_lasttradingdate(B33)</f>
        <v>2020-04-17</v>
      </c>
      <c r="F33" s="4">
        <f>IF(G33&gt;0,RTD("wdf.rtq",,$B33,F$5),0)</f>
        <v>2.4</v>
      </c>
      <c r="G33" s="53">
        <f>RTD("wdf.rtq",,$B33,G$5)</f>
        <v>78</v>
      </c>
      <c r="H33" s="4">
        <f>RTD("wdf.rtq",,$B33,H$5)</f>
        <v>2.2000000000000002</v>
      </c>
      <c r="I33" s="53">
        <f>RTD("wdf.rtq",,$B33,I$5)</f>
        <v>4</v>
      </c>
      <c r="J33" s="4">
        <f>RTD("wdf.rtq",,$B33,J$5)</f>
        <v>2.4</v>
      </c>
      <c r="K33" s="54">
        <f>RTD("wdf.rtq",,$B33,K$5)</f>
        <v>3</v>
      </c>
      <c r="L33" s="4">
        <f>[1]!s_dq_presettle(B33,"")</f>
        <v>2.8</v>
      </c>
      <c r="M33" s="6">
        <f t="shared" si="43"/>
        <v>792.90000000000009</v>
      </c>
      <c r="N33" s="3">
        <f t="shared" si="42"/>
        <v>83660</v>
      </c>
      <c r="O33" s="4">
        <f t="shared" si="26"/>
        <v>-41719.000000000007</v>
      </c>
      <c r="P33" s="4">
        <f t="shared" si="27"/>
        <v>22750</v>
      </c>
      <c r="Q33" s="8">
        <f t="shared" si="28"/>
        <v>106410.01</v>
      </c>
      <c r="R33" s="55">
        <f ca="1">IF(NOW()-TODAY()&gt;15/24, G33, [1]!s_dq_volume(B33,R$2,1))/$AI$2</f>
        <v>157</v>
      </c>
      <c r="AB33" s="39" t="s">
        <v>83</v>
      </c>
      <c r="AC33" s="29" t="str">
        <f>IF([1]!w_info_callput(AB33)="认购","C","P")</f>
        <v>P</v>
      </c>
      <c r="AD33" s="31">
        <f>[1]!w_info_strikeprice(AB33,"")</f>
        <v>4550</v>
      </c>
      <c r="AE33" s="18" t="str">
        <f>[1]!w_info_lasttradingdate(AB33)</f>
        <v>2020-04-17</v>
      </c>
      <c r="AF33" s="4">
        <f>RTD("wdf.rtq",,$AB33,F$5)</f>
        <v>836.6</v>
      </c>
      <c r="AG33" s="53">
        <f>RTD("wdf.rtq",,$AB33,G$5)</f>
        <v>1</v>
      </c>
      <c r="AH33" s="4">
        <f>RTD("wdf.rtq",,$AB33,H$5)</f>
        <v>0</v>
      </c>
      <c r="AI33" s="53">
        <f>RTD("wdf.rtq",,$AB33,I$5)</f>
        <v>0</v>
      </c>
      <c r="AJ33" s="4">
        <f>RTD("wdf.rtq",,$AB33,J$5)</f>
        <v>0</v>
      </c>
      <c r="AK33" s="54">
        <f>RTD("wdf.rtq",,$AB33,K$5)</f>
        <v>0</v>
      </c>
      <c r="AL33" s="4">
        <f>[1]!s_dq_presettle(AB33,"")</f>
        <v>880.2</v>
      </c>
      <c r="AM33" s="6">
        <f t="shared" si="29"/>
        <v>0</v>
      </c>
      <c r="AN33" s="6">
        <f t="shared" si="30"/>
        <v>83660</v>
      </c>
      <c r="AO33" s="6">
        <f t="shared" si="31"/>
        <v>37571</v>
      </c>
      <c r="AP33" s="4">
        <f t="shared" si="32"/>
        <v>22750</v>
      </c>
      <c r="AQ33" s="8">
        <f t="shared" si="33"/>
        <v>121231.01</v>
      </c>
      <c r="AR33" s="55">
        <f ca="1">IF(NOW()-TODAY()&gt;15/24, AG33, [1]!s_dq_volume(AB33,AR$2,1))/AI$2</f>
        <v>0</v>
      </c>
      <c r="AS33" s="110"/>
      <c r="AT33" s="110"/>
      <c r="AU33" s="110"/>
      <c r="AV33" s="110"/>
      <c r="AY33" s="10"/>
      <c r="AZ33" s="10"/>
      <c r="BA33" s="6">
        <f t="shared" ca="1" si="34"/>
        <v>-1440.793333333329</v>
      </c>
      <c r="BB33" s="6">
        <f t="shared" ca="1" si="35"/>
        <v>0</v>
      </c>
      <c r="BC33" s="6">
        <f t="shared" ca="1" si="36"/>
        <v>0</v>
      </c>
      <c r="BD33" s="12">
        <f t="shared" ca="1" si="37"/>
        <v>0</v>
      </c>
      <c r="BE33" s="2">
        <f t="shared" ca="1" si="5"/>
        <v>-2.5465610446953205E-3</v>
      </c>
      <c r="BF33" s="2">
        <f t="shared" ca="1" si="6"/>
        <v>0</v>
      </c>
      <c r="BG33" s="2">
        <f t="shared" ca="1" si="7"/>
        <v>0</v>
      </c>
      <c r="BH33" s="13">
        <f t="shared" ca="1" si="8"/>
        <v>0</v>
      </c>
      <c r="BI33" s="2">
        <f t="shared" ca="1" si="9"/>
        <v>-4.2249762786990545E-2</v>
      </c>
      <c r="BJ33" s="2">
        <f t="shared" ca="1" si="10"/>
        <v>0</v>
      </c>
      <c r="BK33" s="2">
        <f t="shared" ca="1" si="11"/>
        <v>0</v>
      </c>
      <c r="BL33" s="40">
        <f t="shared" ca="1" si="12"/>
        <v>0</v>
      </c>
      <c r="BN33" s="6">
        <f t="shared" ca="1" si="38"/>
        <v>2410.8759999999952</v>
      </c>
      <c r="BO33" s="6">
        <f t="shared" ca="1" si="39"/>
        <v>0</v>
      </c>
      <c r="BP33" s="6">
        <f t="shared" ca="1" si="40"/>
        <v>0</v>
      </c>
      <c r="BQ33" s="12">
        <f t="shared" ca="1" si="41"/>
        <v>0</v>
      </c>
      <c r="BR33" s="2">
        <f t="shared" ca="1" si="13"/>
        <v>1.4474849061466968E-2</v>
      </c>
      <c r="BS33" s="2">
        <f t="shared" ca="1" si="14"/>
        <v>0</v>
      </c>
      <c r="BT33" s="2">
        <f t="shared" ca="1" si="15"/>
        <v>0</v>
      </c>
      <c r="BU33" s="13">
        <f t="shared" ca="1" si="16"/>
        <v>0</v>
      </c>
      <c r="BV33" s="2">
        <f t="shared" ca="1" si="17"/>
        <v>0.24015090488342927</v>
      </c>
      <c r="BW33" s="2">
        <f t="shared" ca="1" si="18"/>
        <v>0</v>
      </c>
      <c r="BX33" s="2">
        <f t="shared" ca="1" si="19"/>
        <v>0</v>
      </c>
      <c r="BY33" s="13">
        <f t="shared" ca="1" si="20"/>
        <v>0</v>
      </c>
      <c r="CF33" s="39" t="str">
        <f t="shared" si="21"/>
        <v>C2020-04-4550000.CFE</v>
      </c>
      <c r="CG33" s="39" t="str">
        <f t="shared" si="22"/>
        <v>P2020-04-4550000.CFE</v>
      </c>
      <c r="CH33" s="95" t="s">
        <v>55</v>
      </c>
      <c r="CI33" s="100" t="str">
        <f>IF([1]!w_info_callput(CH33)="认购","C","P")</f>
        <v>C</v>
      </c>
      <c r="CJ33" s="104">
        <f>[1]!w_info_strikeprice(CH33,"")</f>
        <v>4550</v>
      </c>
      <c r="CK33" s="102" t="str">
        <f>[1]!w_info_lasttradingdate(CH33)</f>
        <v>2020-04-17</v>
      </c>
      <c r="CL33" s="39" t="str">
        <f t="shared" si="23"/>
        <v>IO2004-P-4550.CFE</v>
      </c>
    </row>
    <row r="34" spans="1:90">
      <c r="A34" s="35">
        <f t="shared" si="2"/>
        <v>1</v>
      </c>
      <c r="B34" s="112" t="s">
        <v>56</v>
      </c>
      <c r="C34" s="29" t="str">
        <f>IF([1]!w_info_callput(B34)="认购","C","P")</f>
        <v>C</v>
      </c>
      <c r="D34" s="96">
        <f>[1]!w_info_strikeprice(B34,"")</f>
        <v>4600</v>
      </c>
      <c r="E34" s="18" t="str">
        <f>[1]!w_info_lasttradingdate(B34)</f>
        <v>2020-04-17</v>
      </c>
      <c r="F34" s="4">
        <f>IF(G34&gt;0,RTD("wdf.rtq",,$B34,F$5),0)</f>
        <v>2</v>
      </c>
      <c r="G34" s="53">
        <f>RTD("wdf.rtq",,$B34,G$5)</f>
        <v>109</v>
      </c>
      <c r="H34" s="4">
        <f>RTD("wdf.rtq",,$B34,H$5)</f>
        <v>1.8</v>
      </c>
      <c r="I34" s="53">
        <f>RTD("wdf.rtq",,$B34,I$5)</f>
        <v>5</v>
      </c>
      <c r="J34" s="4">
        <f>RTD("wdf.rtq",,$B34,J$5)</f>
        <v>2.2000000000000002</v>
      </c>
      <c r="K34" s="54">
        <f>RTD("wdf.rtq",,$B34,K$5)</f>
        <v>11</v>
      </c>
      <c r="L34" s="4">
        <f>[1]!s_dq_presettle(B34,"")</f>
        <v>2.4</v>
      </c>
      <c r="M34" s="6">
        <f t="shared" si="43"/>
        <v>842.90000000000009</v>
      </c>
      <c r="N34" s="3">
        <f t="shared" si="42"/>
        <v>88700</v>
      </c>
      <c r="O34" s="4">
        <f t="shared" si="26"/>
        <v>-46719.000000000007</v>
      </c>
      <c r="P34" s="4">
        <f t="shared" si="27"/>
        <v>23000</v>
      </c>
      <c r="Q34" s="8">
        <f t="shared" si="28"/>
        <v>111700.01</v>
      </c>
      <c r="R34" s="55">
        <f ca="1">IF(NOW()-TODAY()&gt;15/24, G34, [1]!s_dq_volume(B34,R$2,1))/$AI$2</f>
        <v>155</v>
      </c>
      <c r="AB34" s="39" t="s">
        <v>84</v>
      </c>
      <c r="AC34" s="29" t="str">
        <f>IF([1]!w_info_callput(AB34)="认购","C","P")</f>
        <v>P</v>
      </c>
      <c r="AD34" s="31">
        <f>[1]!w_info_strikeprice(AB34,"")</f>
        <v>4600</v>
      </c>
      <c r="AE34" s="18" t="str">
        <f>[1]!w_info_lasttradingdate(AB34)</f>
        <v>2020-04-17</v>
      </c>
      <c r="AF34" s="4">
        <f>RTD("wdf.rtq",,$AB34,F$5)</f>
        <v>887</v>
      </c>
      <c r="AG34" s="53">
        <f>RTD("wdf.rtq",,$AB34,G$5)</f>
        <v>6</v>
      </c>
      <c r="AH34" s="4">
        <f>RTD("wdf.rtq",,$AB34,H$5)</f>
        <v>0</v>
      </c>
      <c r="AI34" s="53">
        <f>RTD("wdf.rtq",,$AB34,I$5)</f>
        <v>0</v>
      </c>
      <c r="AJ34" s="4">
        <f>RTD("wdf.rtq",,$AB34,J$5)</f>
        <v>0</v>
      </c>
      <c r="AK34" s="54">
        <f>RTD("wdf.rtq",,$AB34,K$5)</f>
        <v>0</v>
      </c>
      <c r="AL34" s="4">
        <f>[1]!s_dq_presettle(AB34,"")</f>
        <v>937.4</v>
      </c>
      <c r="AM34" s="6">
        <f t="shared" si="29"/>
        <v>0</v>
      </c>
      <c r="AN34" s="6">
        <f t="shared" si="30"/>
        <v>88700</v>
      </c>
      <c r="AO34" s="6">
        <f t="shared" si="31"/>
        <v>37571</v>
      </c>
      <c r="AP34" s="4">
        <f t="shared" si="32"/>
        <v>23000</v>
      </c>
      <c r="AQ34" s="8">
        <f t="shared" si="33"/>
        <v>126271.01</v>
      </c>
      <c r="AR34" s="55">
        <f ca="1">IF(NOW()-TODAY()&gt;15/24, AG34, [1]!s_dq_volume(AB34,AR$2,1))/AI$2</f>
        <v>0</v>
      </c>
      <c r="AS34" s="110"/>
      <c r="AT34" s="110"/>
      <c r="AU34" s="110"/>
      <c r="AV34" s="110"/>
      <c r="AY34" s="10"/>
      <c r="AZ34" s="10"/>
      <c r="BA34" s="6">
        <f t="shared" ca="1" si="34"/>
        <v>-1520.7933333333244</v>
      </c>
      <c r="BB34" s="6">
        <f t="shared" ca="1" si="35"/>
        <v>0</v>
      </c>
      <c r="BC34" s="6">
        <f t="shared" ca="1" si="36"/>
        <v>0</v>
      </c>
      <c r="BD34" s="12">
        <f t="shared" ca="1" si="37"/>
        <v>0</v>
      </c>
      <c r="BE34" s="2">
        <f t="shared" ca="1" si="5"/>
        <v>-2.639762036652209E-3</v>
      </c>
      <c r="BF34" s="2">
        <f t="shared" ca="1" si="6"/>
        <v>0</v>
      </c>
      <c r="BG34" s="2">
        <f t="shared" ca="1" si="7"/>
        <v>0</v>
      </c>
      <c r="BH34" s="13">
        <f t="shared" ca="1" si="8"/>
        <v>0</v>
      </c>
      <c r="BI34" s="2">
        <f t="shared" ca="1" si="9"/>
        <v>-4.3796051971729831E-2</v>
      </c>
      <c r="BJ34" s="2">
        <f t="shared" ca="1" si="10"/>
        <v>0</v>
      </c>
      <c r="BK34" s="2">
        <f t="shared" ca="1" si="11"/>
        <v>0</v>
      </c>
      <c r="BL34" s="40">
        <f t="shared" ca="1" si="12"/>
        <v>0</v>
      </c>
      <c r="BN34" s="6">
        <f t="shared" ca="1" si="38"/>
        <v>2490.8759999999907</v>
      </c>
      <c r="BO34" s="6">
        <f t="shared" ca="1" si="39"/>
        <v>0</v>
      </c>
      <c r="BP34" s="6">
        <f t="shared" ca="1" si="40"/>
        <v>0</v>
      </c>
      <c r="BQ34" s="12">
        <f t="shared" ca="1" si="41"/>
        <v>0</v>
      </c>
      <c r="BR34" s="2">
        <f t="shared" ca="1" si="13"/>
        <v>1.4519299534537344E-2</v>
      </c>
      <c r="BS34" s="2">
        <f t="shared" ca="1" si="14"/>
        <v>0</v>
      </c>
      <c r="BT34" s="2">
        <f t="shared" ca="1" si="15"/>
        <v>0</v>
      </c>
      <c r="BU34" s="13">
        <f t="shared" ca="1" si="16"/>
        <v>0</v>
      </c>
      <c r="BV34" s="2">
        <f t="shared" ca="1" si="17"/>
        <v>0.24088837864118776</v>
      </c>
      <c r="BW34" s="2">
        <f t="shared" ca="1" si="18"/>
        <v>0</v>
      </c>
      <c r="BX34" s="2">
        <f t="shared" ca="1" si="19"/>
        <v>0</v>
      </c>
      <c r="BY34" s="13">
        <f t="shared" ca="1" si="20"/>
        <v>0</v>
      </c>
      <c r="CF34" s="39" t="str">
        <f t="shared" si="21"/>
        <v>C2020-04-4600000.CFE</v>
      </c>
      <c r="CG34" s="39" t="str">
        <f t="shared" si="22"/>
        <v>P2020-04-4600000.CFE</v>
      </c>
      <c r="CH34" s="95" t="s">
        <v>56</v>
      </c>
      <c r="CI34" s="100" t="str">
        <f>IF([1]!w_info_callput(CH34)="认购","C","P")</f>
        <v>C</v>
      </c>
      <c r="CJ34" s="104">
        <f>[1]!w_info_strikeprice(CH34,"")</f>
        <v>4600</v>
      </c>
      <c r="CK34" s="102" t="str">
        <f>[1]!w_info_lasttradingdate(CH34)</f>
        <v>2020-04-17</v>
      </c>
      <c r="CL34" s="39" t="str">
        <f t="shared" si="23"/>
        <v>IO2004-P-4600.CFE</v>
      </c>
    </row>
    <row r="35" spans="1:90" s="128" customFormat="1">
      <c r="A35" s="115">
        <f t="shared" si="2"/>
        <v>1</v>
      </c>
      <c r="B35" s="139" t="s">
        <v>57</v>
      </c>
      <c r="C35" s="117" t="str">
        <f>IF([1]!w_info_callput(B35)="认购","C","P")</f>
        <v>C</v>
      </c>
      <c r="D35" s="118">
        <f>[1]!w_info_strikeprice(B35,"")</f>
        <v>4650</v>
      </c>
      <c r="E35" s="119" t="str">
        <f>[1]!w_info_lasttradingdate(B35)</f>
        <v>2020-04-17</v>
      </c>
      <c r="F35" s="137">
        <f>IF(G35&gt;0,RTD("wdf.rtq",,$B35,F$5),0)</f>
        <v>1.6</v>
      </c>
      <c r="G35" s="121">
        <f>RTD("wdf.rtq",,$B35,G$5)</f>
        <v>221</v>
      </c>
      <c r="H35" s="137">
        <f>RTD("wdf.rtq",,$B35,H$5)</f>
        <v>1.6</v>
      </c>
      <c r="I35" s="121">
        <f>RTD("wdf.rtq",,$B35,I$5)</f>
        <v>3</v>
      </c>
      <c r="J35" s="137">
        <f>RTD("wdf.rtq",,$B35,J$5)</f>
        <v>1.8</v>
      </c>
      <c r="K35" s="121">
        <f>RTD("wdf.rtq",,$B35,K$5)</f>
        <v>16</v>
      </c>
      <c r="L35" s="137">
        <f>[1]!s_dq_presettle(B35,"")</f>
        <v>2.4</v>
      </c>
      <c r="M35" s="131">
        <f t="shared" si="43"/>
        <v>892.90000000000009</v>
      </c>
      <c r="N35" s="122">
        <f t="shared" si="42"/>
        <v>95340</v>
      </c>
      <c r="O35" s="137">
        <f t="shared" si="26"/>
        <v>-51719.000000000007</v>
      </c>
      <c r="P35" s="137">
        <f t="shared" si="27"/>
        <v>23250</v>
      </c>
      <c r="Q35" s="124">
        <f t="shared" si="28"/>
        <v>118590.01</v>
      </c>
      <c r="R35" s="125">
        <f ca="1">IF(NOW()-TODAY()&gt;15/24, G35, [1]!s_dq_volume(B35,R$2,1))/$AI$2</f>
        <v>373</v>
      </c>
      <c r="AB35" s="128" t="s">
        <v>85</v>
      </c>
      <c r="AC35" s="117" t="str">
        <f>IF([1]!w_info_callput(AB35)="认购","C","P")</f>
        <v>P</v>
      </c>
      <c r="AD35" s="126">
        <f>[1]!w_info_strikeprice(AB35,"")</f>
        <v>4650</v>
      </c>
      <c r="AE35" s="119" t="str">
        <f>[1]!w_info_lasttradingdate(AB35)</f>
        <v>2020-04-17</v>
      </c>
      <c r="AF35" s="137">
        <f>RTD("wdf.rtq",,$AB35,F$5)</f>
        <v>953.4</v>
      </c>
      <c r="AG35" s="121">
        <f>RTD("wdf.rtq",,$AB35,G$5)</f>
        <v>0</v>
      </c>
      <c r="AH35" s="137">
        <f>RTD("wdf.rtq",,$AB35,H$5)</f>
        <v>0</v>
      </c>
      <c r="AI35" s="121">
        <f>RTD("wdf.rtq",,$AB35,I$5)</f>
        <v>0</v>
      </c>
      <c r="AJ35" s="137">
        <f>RTD("wdf.rtq",,$AB35,J$5)</f>
        <v>0</v>
      </c>
      <c r="AK35" s="121">
        <f>RTD("wdf.rtq",,$AB35,K$5)</f>
        <v>0</v>
      </c>
      <c r="AL35" s="137">
        <f>[1]!s_dq_presettle(AB35,"")</f>
        <v>986.8</v>
      </c>
      <c r="AM35" s="131">
        <f t="shared" si="29"/>
        <v>0</v>
      </c>
      <c r="AN35" s="131">
        <f t="shared" si="30"/>
        <v>95340</v>
      </c>
      <c r="AO35" s="131">
        <f t="shared" si="31"/>
        <v>37571</v>
      </c>
      <c r="AP35" s="137">
        <f t="shared" si="32"/>
        <v>23250</v>
      </c>
      <c r="AQ35" s="124">
        <f t="shared" si="33"/>
        <v>132911.01</v>
      </c>
      <c r="AR35" s="125">
        <f ca="1">IF(NOW()-TODAY()&gt;15/24, AG35, [1]!s_dq_volume(AB35,AR$2,1))/AI$2</f>
        <v>3</v>
      </c>
      <c r="AS35" s="127"/>
      <c r="AT35" s="127"/>
      <c r="AU35" s="127"/>
      <c r="AV35" s="127"/>
      <c r="AX35" s="129"/>
      <c r="AY35" s="130"/>
      <c r="AZ35" s="130"/>
      <c r="BA35" s="6">
        <f t="shared" ca="1" si="34"/>
        <v>-3200.7933333333199</v>
      </c>
      <c r="BB35" s="6">
        <f t="shared" ca="1" si="35"/>
        <v>0</v>
      </c>
      <c r="BC35" s="6">
        <f t="shared" ca="1" si="36"/>
        <v>0</v>
      </c>
      <c r="BD35" s="12">
        <f t="shared" ca="1" si="37"/>
        <v>0</v>
      </c>
      <c r="BE35" s="132">
        <f t="shared" ca="1" si="5"/>
        <v>-5.4283855895961332E-3</v>
      </c>
      <c r="BF35" s="132">
        <f t="shared" ca="1" si="6"/>
        <v>0</v>
      </c>
      <c r="BG35" s="132">
        <f t="shared" ca="1" si="7"/>
        <v>0</v>
      </c>
      <c r="BH35" s="133">
        <f t="shared" ca="1" si="8"/>
        <v>0</v>
      </c>
      <c r="BI35" s="132">
        <f t="shared" ca="1" si="9"/>
        <v>-9.0061851827390391E-2</v>
      </c>
      <c r="BJ35" s="132">
        <f t="shared" ca="1" si="10"/>
        <v>0</v>
      </c>
      <c r="BK35" s="132">
        <f t="shared" ca="1" si="11"/>
        <v>0</v>
      </c>
      <c r="BL35" s="132">
        <f t="shared" ca="1" si="12"/>
        <v>0</v>
      </c>
      <c r="BM35" s="134"/>
      <c r="BN35" s="6">
        <f t="shared" ca="1" si="38"/>
        <v>4170.8759999999866</v>
      </c>
      <c r="BO35" s="6">
        <f t="shared" ca="1" si="39"/>
        <v>0</v>
      </c>
      <c r="BP35" s="6">
        <f t="shared" ca="1" si="40"/>
        <v>0</v>
      </c>
      <c r="BQ35" s="12">
        <f t="shared" ca="1" si="41"/>
        <v>0</v>
      </c>
      <c r="BR35" s="132">
        <f t="shared" ca="1" si="13"/>
        <v>2.3411342214789965E-2</v>
      </c>
      <c r="BS35" s="132">
        <f t="shared" ca="1" si="14"/>
        <v>0</v>
      </c>
      <c r="BT35" s="132">
        <f t="shared" ca="1" si="15"/>
        <v>0</v>
      </c>
      <c r="BU35" s="133">
        <f t="shared" ca="1" si="16"/>
        <v>0</v>
      </c>
      <c r="BV35" s="132">
        <f t="shared" ca="1" si="17"/>
        <v>0.38841545038174258</v>
      </c>
      <c r="BW35" s="132">
        <f t="shared" ca="1" si="18"/>
        <v>0</v>
      </c>
      <c r="BX35" s="132">
        <f t="shared" ca="1" si="19"/>
        <v>0</v>
      </c>
      <c r="BY35" s="133">
        <f t="shared" ca="1" si="20"/>
        <v>0</v>
      </c>
      <c r="CF35" s="128" t="str">
        <f t="shared" si="21"/>
        <v>C2020-04-4650000.CFE</v>
      </c>
      <c r="CG35" s="128" t="str">
        <f t="shared" si="22"/>
        <v>P2020-04-4650000.CFE</v>
      </c>
      <c r="CH35" s="135" t="s">
        <v>57</v>
      </c>
      <c r="CI35" s="117" t="str">
        <f>IF([1]!w_info_callput(CH35)="认购","C","P")</f>
        <v>C</v>
      </c>
      <c r="CJ35" s="131">
        <f>[1]!w_info_strikeprice(CH35,"")</f>
        <v>4650</v>
      </c>
      <c r="CK35" s="138" t="str">
        <f>[1]!w_info_lasttradingdate(CH35)</f>
        <v>2020-04-17</v>
      </c>
      <c r="CL35" s="128" t="str">
        <f t="shared" si="23"/>
        <v>IO2004-P-4650.CFE</v>
      </c>
    </row>
    <row r="36" spans="1:90">
      <c r="A36" s="35">
        <f t="shared" si="2"/>
        <v>1</v>
      </c>
      <c r="B36" s="112" t="s">
        <v>317</v>
      </c>
      <c r="C36" s="29" t="str">
        <f>IF([1]!w_info_callput(B36)="认购","C","P")</f>
        <v>C</v>
      </c>
      <c r="D36" s="96">
        <f>[1]!w_info_strikeprice(B36,"")</f>
        <v>3200</v>
      </c>
      <c r="E36" s="18" t="str">
        <f>[1]!w_info_lasttradingdate(B36)</f>
        <v>2020-05-15</v>
      </c>
      <c r="F36" s="4">
        <f>IF(G36&gt;0,RTD("wdf.rtq",,$B36,F$5),0)</f>
        <v>519.4</v>
      </c>
      <c r="G36" s="53">
        <f>RTD("wdf.rtq",,$B36,G$5)</f>
        <v>1</v>
      </c>
      <c r="H36" s="4">
        <f>RTD("wdf.rtq",,$B36,H$5)</f>
        <v>155.4</v>
      </c>
      <c r="I36" s="53">
        <f>RTD("wdf.rtq",,$B36,I$5)</f>
        <v>1</v>
      </c>
      <c r="J36" s="4">
        <f>RTD("wdf.rtq",,$B36,J$5)</f>
        <v>0</v>
      </c>
      <c r="K36" s="54">
        <f>RTD("wdf.rtq",,$B36,K$5)</f>
        <v>0</v>
      </c>
      <c r="L36" s="4">
        <f>[1]!s_dq_presettle(B36,"")</f>
        <v>494.6</v>
      </c>
      <c r="M36" s="6">
        <f t="shared" si="43"/>
        <v>0</v>
      </c>
      <c r="N36" s="3">
        <f t="shared" si="42"/>
        <v>3180</v>
      </c>
      <c r="O36" s="4">
        <f t="shared" si="26"/>
        <v>37571</v>
      </c>
      <c r="P36" s="4">
        <f t="shared" si="27"/>
        <v>16000</v>
      </c>
      <c r="Q36" s="8">
        <f t="shared" si="28"/>
        <v>40751.01</v>
      </c>
      <c r="R36" s="55">
        <f ca="1">IF(NOW()-TODAY()&gt;15/24, G36, [1]!s_dq_volume(B36,R$2,1))/$AI$2</f>
        <v>3</v>
      </c>
      <c r="AB36" s="39" t="s">
        <v>324</v>
      </c>
      <c r="AC36" s="29" t="str">
        <f>IF([1]!w_info_callput(AB36)="认购","C","P")</f>
        <v>P</v>
      </c>
      <c r="AD36" s="31">
        <f>[1]!w_info_strikeprice(AB36,"")</f>
        <v>3200</v>
      </c>
      <c r="AE36" s="18" t="str">
        <f>[1]!w_info_lasttradingdate(AB36)</f>
        <v>2020-05-15</v>
      </c>
      <c r="AF36" s="4">
        <f>RTD("wdf.rtq",,$AB36,F$5)</f>
        <v>31.8</v>
      </c>
      <c r="AG36" s="53">
        <f>RTD("wdf.rtq",,$AB36,G$5)</f>
        <v>49</v>
      </c>
      <c r="AH36" s="4">
        <f>RTD("wdf.rtq",,$AB36,H$5)</f>
        <v>26</v>
      </c>
      <c r="AI36" s="53">
        <f>RTD("wdf.rtq",,$AB36,I$5)</f>
        <v>3</v>
      </c>
      <c r="AJ36" s="4">
        <f>RTD("wdf.rtq",,$AB36,J$5)</f>
        <v>50</v>
      </c>
      <c r="AK36" s="54">
        <f>RTD("wdf.rtq",,$AB36,K$5)</f>
        <v>3</v>
      </c>
      <c r="AL36" s="4">
        <f>[1]!s_dq_presettle(AB36,"")</f>
        <v>45</v>
      </c>
      <c r="AM36" s="6">
        <f t="shared" si="29"/>
        <v>557.09999999999991</v>
      </c>
      <c r="AN36" s="6">
        <f t="shared" si="30"/>
        <v>3180</v>
      </c>
      <c r="AO36" s="6">
        <f t="shared" si="31"/>
        <v>-18138.999999999985</v>
      </c>
      <c r="AP36" s="4">
        <f t="shared" si="32"/>
        <v>16000</v>
      </c>
      <c r="AQ36" s="8">
        <f t="shared" si="33"/>
        <v>19180.009999999998</v>
      </c>
      <c r="AR36" s="55">
        <f ca="1">IF(NOW()-TODAY()&gt;15/24, AG36, [1]!s_dq_volume(AB36,AR$2,1))/AI$2</f>
        <v>146</v>
      </c>
      <c r="AS36" s="110"/>
      <c r="AT36" s="110"/>
      <c r="AU36" s="110"/>
      <c r="AV36" s="110"/>
      <c r="AY36" s="10"/>
      <c r="AZ36" s="10"/>
      <c r="BA36" s="6">
        <f t="shared" ca="1" si="34"/>
        <v>-754.16666666666106</v>
      </c>
      <c r="BB36" s="6">
        <f t="shared" ca="1" si="35"/>
        <v>-38974.166666666657</v>
      </c>
      <c r="BC36" s="6">
        <f t="shared" ca="1" si="36"/>
        <v>0</v>
      </c>
      <c r="BD36" s="12">
        <f t="shared" ca="1" si="37"/>
        <v>0</v>
      </c>
      <c r="BE36" s="2">
        <f t="shared" ca="1" si="5"/>
        <v>-1.7971710311789142E-3</v>
      </c>
      <c r="BF36" s="2">
        <f t="shared" ca="1" si="6"/>
        <v>-9.2473955459525553E-2</v>
      </c>
      <c r="BG36" s="2">
        <f t="shared" ca="1" si="7"/>
        <v>0</v>
      </c>
      <c r="BH36" s="13">
        <f t="shared" ca="1" si="8"/>
        <v>0</v>
      </c>
      <c r="BI36" s="2">
        <f t="shared" ca="1" si="9"/>
        <v>-1.3119348527606075E-2</v>
      </c>
      <c r="BJ36" s="2">
        <f t="shared" ca="1" si="10"/>
        <v>-0.67505987485453656</v>
      </c>
      <c r="BK36" s="2">
        <f t="shared" ca="1" si="11"/>
        <v>0</v>
      </c>
      <c r="BL36" s="40">
        <f t="shared" ca="1" si="12"/>
        <v>0</v>
      </c>
      <c r="BN36" s="6">
        <f t="shared" ca="1" si="38"/>
        <v>3126.8999999999937</v>
      </c>
      <c r="BO36" s="6">
        <f t="shared" ca="1" si="39"/>
        <v>0</v>
      </c>
      <c r="BP36" s="6">
        <f t="shared" ca="1" si="40"/>
        <v>41346.86</v>
      </c>
      <c r="BQ36" s="12">
        <f t="shared" ca="1" si="41"/>
        <v>41346.899999999994</v>
      </c>
      <c r="BR36" s="2">
        <f t="shared" ca="1" si="13"/>
        <v>2.6908432074603143E-2</v>
      </c>
      <c r="BS36" s="2">
        <f t="shared" ca="1" si="14"/>
        <v>0</v>
      </c>
      <c r="BT36" s="2">
        <f t="shared" ca="1" si="15"/>
        <v>0.51809712220615123</v>
      </c>
      <c r="BU36" s="13">
        <f t="shared" ca="1" si="16"/>
        <v>0.51809775326698593</v>
      </c>
      <c r="BV36" s="2">
        <f t="shared" ca="1" si="17"/>
        <v>0.19643155414460295</v>
      </c>
      <c r="BW36" s="2">
        <f t="shared" ca="1" si="18"/>
        <v>0</v>
      </c>
      <c r="BX36" s="2">
        <f t="shared" ca="1" si="19"/>
        <v>3.782108992104904</v>
      </c>
      <c r="BY36" s="13">
        <f t="shared" ca="1" si="20"/>
        <v>3.7821135988489969</v>
      </c>
      <c r="CF36" s="39" t="str">
        <f t="shared" si="21"/>
        <v>C2020-05-3200000.CFE</v>
      </c>
      <c r="CG36" s="39" t="str">
        <f t="shared" si="22"/>
        <v>P2020-05-3200000.CFE</v>
      </c>
      <c r="CH36" s="95" t="s">
        <v>317</v>
      </c>
      <c r="CI36" s="100" t="str">
        <f>IF([1]!w_info_callput(CH36)="认购","C","P")</f>
        <v>C</v>
      </c>
      <c r="CJ36" s="104">
        <f>[1]!w_info_strikeprice(CH36,"")</f>
        <v>3200</v>
      </c>
      <c r="CK36" s="102" t="str">
        <f>[1]!w_info_lasttradingdate(CH36)</f>
        <v>2020-05-15</v>
      </c>
      <c r="CL36" s="39" t="str">
        <f t="shared" si="23"/>
        <v>IO2005-P-3200.CFE</v>
      </c>
    </row>
    <row r="37" spans="1:90">
      <c r="A37" s="35">
        <f t="shared" si="2"/>
        <v>1</v>
      </c>
      <c r="B37" s="112" t="s">
        <v>318</v>
      </c>
      <c r="C37" s="29" t="str">
        <f>IF([1]!w_info_callput(B37)="认购","C","P")</f>
        <v>C</v>
      </c>
      <c r="D37" s="96">
        <f>[1]!w_info_strikeprice(B37,"")</f>
        <v>3250</v>
      </c>
      <c r="E37" s="18" t="str">
        <f>[1]!w_info_lasttradingdate(B37)</f>
        <v>2020-05-15</v>
      </c>
      <c r="F37" s="4">
        <f>IF(G37&gt;0,RTD("wdf.rtq",,$B37,F$5),0)</f>
        <v>485</v>
      </c>
      <c r="G37" s="53">
        <f>RTD("wdf.rtq",,$B37,G$5)</f>
        <v>6</v>
      </c>
      <c r="H37" s="4">
        <f>RTD("wdf.rtq",,$B37,H$5)</f>
        <v>111.4</v>
      </c>
      <c r="I37" s="53">
        <f>RTD("wdf.rtq",,$B37,I$5)</f>
        <v>1</v>
      </c>
      <c r="J37" s="4">
        <f>RTD("wdf.rtq",,$B37,J$5)</f>
        <v>0</v>
      </c>
      <c r="K37" s="54">
        <f>RTD("wdf.rtq",,$B37,K$5)</f>
        <v>0</v>
      </c>
      <c r="L37" s="4">
        <f>[1]!s_dq_presettle(B37,"")</f>
        <v>452.8</v>
      </c>
      <c r="M37" s="6">
        <f t="shared" si="43"/>
        <v>0</v>
      </c>
      <c r="N37" s="3">
        <f t="shared" si="42"/>
        <v>4620</v>
      </c>
      <c r="O37" s="4">
        <f t="shared" si="26"/>
        <v>37571</v>
      </c>
      <c r="P37" s="4">
        <f t="shared" si="27"/>
        <v>16250</v>
      </c>
      <c r="Q37" s="8">
        <f t="shared" si="28"/>
        <v>42191.01</v>
      </c>
      <c r="R37" s="55">
        <f ca="1">IF(NOW()-TODAY()&gt;15/24, G37, [1]!s_dq_volume(B37,R$2,1))/$AI$2</f>
        <v>0</v>
      </c>
      <c r="AB37" s="39" t="s">
        <v>325</v>
      </c>
      <c r="AC37" s="29" t="str">
        <f>IF([1]!w_info_callput(AB37)="认购","C","P")</f>
        <v>P</v>
      </c>
      <c r="AD37" s="31">
        <f>[1]!w_info_strikeprice(AB37,"")</f>
        <v>3250</v>
      </c>
      <c r="AE37" s="18" t="str">
        <f>[1]!w_info_lasttradingdate(AB37)</f>
        <v>2020-05-15</v>
      </c>
      <c r="AF37" s="4">
        <f>RTD("wdf.rtq",,$AB37,F$5)</f>
        <v>46.2</v>
      </c>
      <c r="AG37" s="53">
        <f>RTD("wdf.rtq",,$AB37,G$5)</f>
        <v>31</v>
      </c>
      <c r="AH37" s="4">
        <f>RTD("wdf.rtq",,$AB37,H$5)</f>
        <v>33.200000000000003</v>
      </c>
      <c r="AI37" s="53">
        <f>RTD("wdf.rtq",,$AB37,I$5)</f>
        <v>1</v>
      </c>
      <c r="AJ37" s="4">
        <f>RTD("wdf.rtq",,$AB37,J$5)</f>
        <v>140</v>
      </c>
      <c r="AK37" s="54">
        <f>RTD("wdf.rtq",,$AB37,K$5)</f>
        <v>2</v>
      </c>
      <c r="AL37" s="4">
        <f>[1]!s_dq_presettle(AB37,"")</f>
        <v>53.2</v>
      </c>
      <c r="AM37" s="6">
        <f t="shared" si="29"/>
        <v>507.09999999999991</v>
      </c>
      <c r="AN37" s="6">
        <f t="shared" si="30"/>
        <v>4620</v>
      </c>
      <c r="AO37" s="6">
        <f t="shared" si="31"/>
        <v>-13138.999999999987</v>
      </c>
      <c r="AP37" s="4">
        <f t="shared" si="32"/>
        <v>16250</v>
      </c>
      <c r="AQ37" s="8">
        <f t="shared" si="33"/>
        <v>20870.009999999998</v>
      </c>
      <c r="AR37" s="55">
        <f ca="1">IF(NOW()-TODAY()&gt;15/24, AG37, [1]!s_dq_volume(AB37,AR$2,1))/AI$2</f>
        <v>83</v>
      </c>
      <c r="AS37" s="110"/>
      <c r="AT37" s="110"/>
      <c r="AU37" s="110"/>
      <c r="AV37" s="110"/>
      <c r="AY37" s="10"/>
      <c r="AZ37" s="10"/>
      <c r="BA37" s="6">
        <f t="shared" ca="1" si="34"/>
        <v>-634.16666666665651</v>
      </c>
      <c r="BB37" s="6">
        <f t="shared" ca="1" si="35"/>
        <v>-47374.166666666657</v>
      </c>
      <c r="BC37" s="6">
        <f t="shared" ca="1" si="36"/>
        <v>0</v>
      </c>
      <c r="BD37" s="12">
        <f t="shared" ca="1" si="37"/>
        <v>0</v>
      </c>
      <c r="BE37" s="2">
        <f t="shared" ca="1" si="5"/>
        <v>-1.5009115562481887E-3</v>
      </c>
      <c r="BF37" s="2">
        <f t="shared" ca="1" si="6"/>
        <v>-0.10968755703226223</v>
      </c>
      <c r="BG37" s="2">
        <f t="shared" ca="1" si="7"/>
        <v>0</v>
      </c>
      <c r="BH37" s="13">
        <f t="shared" ca="1" si="8"/>
        <v>0</v>
      </c>
      <c r="BI37" s="2">
        <f t="shared" ca="1" si="9"/>
        <v>-1.0956654360611778E-2</v>
      </c>
      <c r="BJ37" s="2">
        <f t="shared" ca="1" si="10"/>
        <v>-0.80071916633551421</v>
      </c>
      <c r="BK37" s="2">
        <f t="shared" ca="1" si="11"/>
        <v>0</v>
      </c>
      <c r="BL37" s="40">
        <f t="shared" ca="1" si="12"/>
        <v>0</v>
      </c>
      <c r="BN37" s="6">
        <f t="shared" ca="1" si="38"/>
        <v>3006.8999999999892</v>
      </c>
      <c r="BO37" s="6">
        <f t="shared" ca="1" si="39"/>
        <v>0</v>
      </c>
      <c r="BP37" s="6">
        <f t="shared" ca="1" si="40"/>
        <v>49746.86</v>
      </c>
      <c r="BQ37" s="12">
        <f t="shared" ca="1" si="41"/>
        <v>49746.899999999994</v>
      </c>
      <c r="BR37" s="2">
        <f t="shared" ca="1" si="13"/>
        <v>2.6271412196963242E-2</v>
      </c>
      <c r="BS37" s="2">
        <f t="shared" ca="1" si="14"/>
        <v>0</v>
      </c>
      <c r="BT37" s="2">
        <f t="shared" ca="1" si="15"/>
        <v>0.64526508319645726</v>
      </c>
      <c r="BU37" s="13">
        <f t="shared" ca="1" si="16"/>
        <v>0.64526576942977387</v>
      </c>
      <c r="BV37" s="2">
        <f t="shared" ca="1" si="17"/>
        <v>0.19178130903783167</v>
      </c>
      <c r="BW37" s="2">
        <f t="shared" ca="1" si="18"/>
        <v>0</v>
      </c>
      <c r="BX37" s="2">
        <f t="shared" ca="1" si="19"/>
        <v>4.7104351073341384</v>
      </c>
      <c r="BY37" s="13">
        <f t="shared" ca="1" si="20"/>
        <v>4.7104401168373498</v>
      </c>
      <c r="CF37" s="39" t="str">
        <f t="shared" si="21"/>
        <v>C2020-05-3250000.CFE</v>
      </c>
      <c r="CG37" s="39" t="str">
        <f t="shared" si="22"/>
        <v>P2020-05-3250000.CFE</v>
      </c>
      <c r="CH37" s="95" t="s">
        <v>318</v>
      </c>
      <c r="CI37" s="100" t="str">
        <f>IF([1]!w_info_callput(CH37)="认购","C","P")</f>
        <v>C</v>
      </c>
      <c r="CJ37" s="104">
        <f>[1]!w_info_strikeprice(CH37,"")</f>
        <v>3250</v>
      </c>
      <c r="CK37" s="102" t="str">
        <f>[1]!w_info_lasttradingdate(CH37)</f>
        <v>2020-05-15</v>
      </c>
      <c r="CL37" s="39" t="str">
        <f t="shared" si="23"/>
        <v>IO2005-P-3250.CFE</v>
      </c>
    </row>
    <row r="38" spans="1:90">
      <c r="A38" s="35">
        <f t="shared" ref="A38:A64" si="44">AND(D38=AD38,E38=AE38,C38&lt;&gt;AC38)+0</f>
        <v>1</v>
      </c>
      <c r="B38" s="112" t="s">
        <v>319</v>
      </c>
      <c r="C38" s="29" t="str">
        <f>IF([1]!w_info_callput(B38)="认购","C","P")</f>
        <v>C</v>
      </c>
      <c r="D38" s="96">
        <f>[1]!w_info_strikeprice(B38,"")</f>
        <v>3300</v>
      </c>
      <c r="E38" s="18" t="str">
        <f>[1]!w_info_lasttradingdate(B38)</f>
        <v>2020-05-15</v>
      </c>
      <c r="F38" s="4">
        <f>IF(G38&gt;0,RTD("wdf.rtq",,$B38,F$5),0)</f>
        <v>464</v>
      </c>
      <c r="G38" s="53">
        <f>RTD("wdf.rtq",,$B38,G$5)</f>
        <v>6</v>
      </c>
      <c r="H38" s="4">
        <f>RTD("wdf.rtq",,$B38,H$5)</f>
        <v>77.8</v>
      </c>
      <c r="I38" s="53">
        <f>RTD("wdf.rtq",,$B38,I$5)</f>
        <v>1</v>
      </c>
      <c r="J38" s="4">
        <f>RTD("wdf.rtq",,$B38,J$5)</f>
        <v>0</v>
      </c>
      <c r="K38" s="54">
        <f>RTD("wdf.rtq",,$B38,K$5)</f>
        <v>0</v>
      </c>
      <c r="L38" s="4">
        <f>[1]!s_dq_presettle(B38,"")</f>
        <v>412.4</v>
      </c>
      <c r="M38" s="6">
        <f t="shared" si="43"/>
        <v>0</v>
      </c>
      <c r="N38" s="3">
        <f t="shared" si="42"/>
        <v>4420</v>
      </c>
      <c r="O38" s="4">
        <f t="shared" si="26"/>
        <v>37571</v>
      </c>
      <c r="P38" s="4">
        <f t="shared" si="27"/>
        <v>16500</v>
      </c>
      <c r="Q38" s="8">
        <f t="shared" si="28"/>
        <v>41991.01</v>
      </c>
      <c r="R38" s="55">
        <f ca="1">IF(NOW()-TODAY()&gt;15/24, G38, [1]!s_dq_volume(B38,R$2,1))/$AI$2</f>
        <v>13</v>
      </c>
      <c r="AB38" s="39" t="s">
        <v>326</v>
      </c>
      <c r="AC38" s="29" t="str">
        <f>IF([1]!w_info_callput(AB38)="认购","C","P")</f>
        <v>P</v>
      </c>
      <c r="AD38" s="31">
        <f>[1]!w_info_strikeprice(AB38,"")</f>
        <v>3300</v>
      </c>
      <c r="AE38" s="18" t="str">
        <f>[1]!w_info_lasttradingdate(AB38)</f>
        <v>2020-05-15</v>
      </c>
      <c r="AF38" s="4">
        <f>RTD("wdf.rtq",,$AB38,F$5)</f>
        <v>44.2</v>
      </c>
      <c r="AG38" s="53">
        <f>RTD("wdf.rtq",,$AB38,G$5)</f>
        <v>117</v>
      </c>
      <c r="AH38" s="4">
        <f>RTD("wdf.rtq",,$AB38,H$5)</f>
        <v>41.2</v>
      </c>
      <c r="AI38" s="53">
        <f>RTD("wdf.rtq",,$AB38,I$5)</f>
        <v>1</v>
      </c>
      <c r="AJ38" s="4">
        <f>RTD("wdf.rtq",,$AB38,J$5)</f>
        <v>290</v>
      </c>
      <c r="AK38" s="54">
        <f>RTD("wdf.rtq",,$AB38,K$5)</f>
        <v>1</v>
      </c>
      <c r="AL38" s="4">
        <f>[1]!s_dq_presettle(AB38,"")</f>
        <v>61.6</v>
      </c>
      <c r="AM38" s="6">
        <f t="shared" si="29"/>
        <v>457.09999999999991</v>
      </c>
      <c r="AN38" s="6">
        <f t="shared" si="30"/>
        <v>4420</v>
      </c>
      <c r="AO38" s="6">
        <f t="shared" si="31"/>
        <v>-8138.9999999999873</v>
      </c>
      <c r="AP38" s="4">
        <f t="shared" si="32"/>
        <v>16500</v>
      </c>
      <c r="AQ38" s="8">
        <f t="shared" si="33"/>
        <v>20920.009999999998</v>
      </c>
      <c r="AR38" s="55">
        <f ca="1">IF(NOW()-TODAY()&gt;15/24, AG38, [1]!s_dq_volume(AB38,AR$2,1))/AI$2</f>
        <v>257</v>
      </c>
      <c r="AS38" s="110"/>
      <c r="AT38" s="110"/>
      <c r="AU38" s="110"/>
      <c r="AV38" s="110"/>
      <c r="AY38" s="10"/>
      <c r="AZ38" s="10"/>
      <c r="BA38" s="6">
        <f t="shared" ca="1" si="34"/>
        <v>2465.8333333333435</v>
      </c>
      <c r="BB38" s="6">
        <f t="shared" ca="1" si="35"/>
        <v>-60734.166666666664</v>
      </c>
      <c r="BC38" s="6">
        <f t="shared" ca="1" si="36"/>
        <v>0</v>
      </c>
      <c r="BD38" s="12">
        <f t="shared" ca="1" si="37"/>
        <v>0</v>
      </c>
      <c r="BE38" s="2">
        <f t="shared" ref="BE38:BE64" ca="1" si="45">BA38/(Q38+AH$2*AI$2*($AF$3+AF38))</f>
        <v>5.8415318709991327E-3</v>
      </c>
      <c r="BF38" s="2">
        <f t="shared" ref="BF38:BF64" ca="1" si="46">BB38/(Q38+AH$2*AI$2*($AF$3+AJ38))</f>
        <v>-0.1359615611047458</v>
      </c>
      <c r="BG38" s="2">
        <f t="shared" ref="BG38:BG64" ca="1" si="47">BC38/(Q38+AH$2*AI$2*($AF$3+AH38+$BC$3))</f>
        <v>0</v>
      </c>
      <c r="BH38" s="13">
        <f t="shared" ref="BH38:BH64" ca="1" si="48">BD38/(Q38+AH$2*AI$2*($AF$3+AH38))</f>
        <v>0</v>
      </c>
      <c r="BI38" s="2">
        <f t="shared" ref="BI38:BI64" ca="1" si="49">BE38*365/(AE38+1-TODAY())</f>
        <v>4.2643182658293671E-2</v>
      </c>
      <c r="BJ38" s="2">
        <f t="shared" ref="BJ38:BJ64" ca="1" si="50">BF38*365/(AE38+1-TODAY())</f>
        <v>-0.99251939606464434</v>
      </c>
      <c r="BK38" s="2">
        <f t="shared" ref="BK38:BK64" ca="1" si="51">BG38*365/(AE38+1-TODAY())</f>
        <v>0</v>
      </c>
      <c r="BL38" s="40">
        <f t="shared" ref="BL38:BL64" ca="1" si="52">BH38*365/(AE38+1-TODAY())</f>
        <v>0</v>
      </c>
      <c r="BN38" s="6">
        <f t="shared" ca="1" si="38"/>
        <v>-93.100000000010738</v>
      </c>
      <c r="BO38" s="6">
        <f t="shared" ca="1" si="39"/>
        <v>0</v>
      </c>
      <c r="BP38" s="6">
        <f t="shared" ca="1" si="40"/>
        <v>63106.86</v>
      </c>
      <c r="BQ38" s="12">
        <f t="shared" ca="1" si="41"/>
        <v>63106.899999999994</v>
      </c>
      <c r="BR38" s="2">
        <f t="shared" ref="BR38:BR64" ca="1" si="53">BN38/(AQ38+AH$2*AI$2*(F38+0.12*$AF$3))</f>
        <v>-8.2825342348464756E-4</v>
      </c>
      <c r="BS38" s="2">
        <f t="shared" ref="BS38:BS64" ca="1" si="54">BO38/(AQ38+H$2*I$2*(J38+0.12*$AF$3))</f>
        <v>0</v>
      </c>
      <c r="BT38" s="2">
        <f t="shared" ref="BT38:BT64" ca="1" si="55">BP38/(AQ38+H$2*I$2*(H38+$BP$3+0.12*$AF$3))</f>
        <v>0.85527767549142297</v>
      </c>
      <c r="BU38" s="13">
        <f t="shared" ref="BU38:BU64" ca="1" si="56">BQ38/(AQ38+H$2*I$2*(H38+0.12*$AF$3))</f>
        <v>0.85527844943451403</v>
      </c>
      <c r="BV38" s="2">
        <f t="shared" ref="BV38:BV64" ca="1" si="57">BR38*365/(AE38+1-TODAY())</f>
        <v>-6.0462499914379275E-3</v>
      </c>
      <c r="BW38" s="2">
        <f t="shared" ref="BW38:BW64" ca="1" si="58">BS38*365/(AE38+1-TODAY())</f>
        <v>0</v>
      </c>
      <c r="BX38" s="2">
        <f t="shared" ref="BX38:BX64" ca="1" si="59">BT38*365/(AE38+1-TODAY())</f>
        <v>6.2435270310873872</v>
      </c>
      <c r="BY38" s="13">
        <f t="shared" ref="BY38:BY64" ca="1" si="60">BU38*365/(AE38+1-TODAY())</f>
        <v>6.2435326808719527</v>
      </c>
      <c r="CF38" s="39" t="str">
        <f t="shared" si="21"/>
        <v>C2020-05-3300000.CFE</v>
      </c>
      <c r="CG38" s="39" t="str">
        <f t="shared" si="22"/>
        <v>P2020-05-3300000.CFE</v>
      </c>
      <c r="CH38" s="95" t="s">
        <v>319</v>
      </c>
      <c r="CI38" s="100" t="str">
        <f>IF([1]!w_info_callput(CH38)="认购","C","P")</f>
        <v>C</v>
      </c>
      <c r="CJ38" s="104">
        <f>[1]!w_info_strikeprice(CH38,"")</f>
        <v>3300</v>
      </c>
      <c r="CK38" s="102" t="str">
        <f>[1]!w_info_lasttradingdate(CH38)</f>
        <v>2020-05-15</v>
      </c>
      <c r="CL38" s="39" t="str">
        <f t="shared" ref="CL38:CL69" si="61">VLOOKUP(CG38,CF:CH,3,0)</f>
        <v>IO2005-P-3300.CFE</v>
      </c>
    </row>
    <row r="39" spans="1:90">
      <c r="A39" s="35">
        <f t="shared" si="44"/>
        <v>1</v>
      </c>
      <c r="B39" s="112" t="s">
        <v>320</v>
      </c>
      <c r="C39" s="29" t="str">
        <f>IF([1]!w_info_callput(B39)="认购","C","P")</f>
        <v>C</v>
      </c>
      <c r="D39" s="96">
        <f>[1]!w_info_strikeprice(B39,"")</f>
        <v>3350</v>
      </c>
      <c r="E39" s="18" t="str">
        <f>[1]!w_info_lasttradingdate(B39)</f>
        <v>2020-05-15</v>
      </c>
      <c r="F39" s="4">
        <f>IF(G39&gt;0,RTD("wdf.rtq",,$B39,F$5),0)</f>
        <v>415.8</v>
      </c>
      <c r="G39" s="53">
        <f>RTD("wdf.rtq",,$B39,G$5)</f>
        <v>4</v>
      </c>
      <c r="H39" s="4">
        <f>RTD("wdf.rtq",,$B39,H$5)</f>
        <v>71.2</v>
      </c>
      <c r="I39" s="53">
        <f>RTD("wdf.rtq",,$B39,I$5)</f>
        <v>1</v>
      </c>
      <c r="J39" s="4">
        <f>RTD("wdf.rtq",,$B39,J$5)</f>
        <v>0</v>
      </c>
      <c r="K39" s="54">
        <f>RTD("wdf.rtq",,$B39,K$5)</f>
        <v>0</v>
      </c>
      <c r="L39" s="4">
        <f>[1]!s_dq_presettle(B39,"")</f>
        <v>373</v>
      </c>
      <c r="M39" s="6">
        <f t="shared" si="43"/>
        <v>0</v>
      </c>
      <c r="N39" s="3">
        <f t="shared" si="42"/>
        <v>5360</v>
      </c>
      <c r="O39" s="4">
        <f t="shared" si="26"/>
        <v>37571</v>
      </c>
      <c r="P39" s="4">
        <f t="shared" si="27"/>
        <v>16750</v>
      </c>
      <c r="Q39" s="8">
        <f t="shared" si="28"/>
        <v>42931.01</v>
      </c>
      <c r="R39" s="55">
        <f ca="1">IF(NOW()-TODAY()&gt;15/24, G39, [1]!s_dq_volume(B39,R$2,1))/$AI$2</f>
        <v>13</v>
      </c>
      <c r="AB39" s="39" t="s">
        <v>327</v>
      </c>
      <c r="AC39" s="29" t="str">
        <f>IF([1]!w_info_callput(AB39)="认购","C","P")</f>
        <v>P</v>
      </c>
      <c r="AD39" s="31">
        <f>[1]!w_info_strikeprice(AB39,"")</f>
        <v>3350</v>
      </c>
      <c r="AE39" s="18" t="str">
        <f>[1]!w_info_lasttradingdate(AB39)</f>
        <v>2020-05-15</v>
      </c>
      <c r="AF39" s="4">
        <f>RTD("wdf.rtq",,$AB39,F$5)</f>
        <v>53.6</v>
      </c>
      <c r="AG39" s="53">
        <f>RTD("wdf.rtq",,$AB39,G$5)</f>
        <v>20</v>
      </c>
      <c r="AH39" s="4">
        <f>RTD("wdf.rtq",,$AB39,H$5)</f>
        <v>50.2</v>
      </c>
      <c r="AI39" s="53">
        <f>RTD("wdf.rtq",,$AB39,I$5)</f>
        <v>1</v>
      </c>
      <c r="AJ39" s="4">
        <f>RTD("wdf.rtq",,$AB39,J$5)</f>
        <v>0</v>
      </c>
      <c r="AK39" s="54">
        <f>RTD("wdf.rtq",,$AB39,K$5)</f>
        <v>0</v>
      </c>
      <c r="AL39" s="4">
        <f>[1]!s_dq_presettle(AB39,"")</f>
        <v>73.400000000000006</v>
      </c>
      <c r="AM39" s="6">
        <f t="shared" si="29"/>
        <v>407.09999999999991</v>
      </c>
      <c r="AN39" s="6">
        <f t="shared" si="30"/>
        <v>5360</v>
      </c>
      <c r="AO39" s="6">
        <f t="shared" si="31"/>
        <v>-3138.9999999999873</v>
      </c>
      <c r="AP39" s="4">
        <f t="shared" si="32"/>
        <v>16750</v>
      </c>
      <c r="AQ39" s="8">
        <f t="shared" si="33"/>
        <v>22110.01</v>
      </c>
      <c r="AR39" s="55">
        <f ca="1">IF(NOW()-TODAY()&gt;15/24, AG39, [1]!s_dq_volume(AB39,AR$2,1))/AI$2</f>
        <v>26</v>
      </c>
      <c r="AS39" s="110"/>
      <c r="AT39" s="110"/>
      <c r="AU39" s="110"/>
      <c r="AV39" s="110"/>
      <c r="AY39" s="10"/>
      <c r="AZ39" s="10"/>
      <c r="BA39" s="6">
        <f t="shared" ca="1" si="34"/>
        <v>1705.8333333333412</v>
      </c>
      <c r="BB39" s="6">
        <f t="shared" ca="1" si="35"/>
        <v>0</v>
      </c>
      <c r="BC39" s="6">
        <f t="shared" ca="1" si="36"/>
        <v>0</v>
      </c>
      <c r="BD39" s="12">
        <f t="shared" ca="1" si="37"/>
        <v>0</v>
      </c>
      <c r="BE39" s="2">
        <f t="shared" ca="1" si="45"/>
        <v>4.023182240375657E-3</v>
      </c>
      <c r="BF39" s="2">
        <f t="shared" ca="1" si="46"/>
        <v>0</v>
      </c>
      <c r="BG39" s="2">
        <f t="shared" ca="1" si="47"/>
        <v>0</v>
      </c>
      <c r="BH39" s="13">
        <f t="shared" ca="1" si="48"/>
        <v>0</v>
      </c>
      <c r="BI39" s="2">
        <f t="shared" ca="1" si="49"/>
        <v>2.9369230354742294E-2</v>
      </c>
      <c r="BJ39" s="2">
        <f t="shared" ca="1" si="50"/>
        <v>0</v>
      </c>
      <c r="BK39" s="2">
        <f t="shared" ca="1" si="51"/>
        <v>0</v>
      </c>
      <c r="BL39" s="40">
        <f t="shared" ca="1" si="52"/>
        <v>0</v>
      </c>
      <c r="BN39" s="6">
        <f t="shared" ca="1" si="38"/>
        <v>666.89999999999156</v>
      </c>
      <c r="BO39" s="6">
        <f t="shared" ca="1" si="39"/>
        <v>0</v>
      </c>
      <c r="BP39" s="6">
        <f t="shared" ca="1" si="40"/>
        <v>0</v>
      </c>
      <c r="BQ39" s="12">
        <f t="shared" ca="1" si="41"/>
        <v>0</v>
      </c>
      <c r="BR39" s="2">
        <f t="shared" ca="1" si="53"/>
        <v>6.1309925303751796E-3</v>
      </c>
      <c r="BS39" s="2">
        <f t="shared" ca="1" si="54"/>
        <v>0</v>
      </c>
      <c r="BT39" s="2">
        <f t="shared" ca="1" si="55"/>
        <v>0</v>
      </c>
      <c r="BU39" s="13">
        <f t="shared" ca="1" si="56"/>
        <v>0</v>
      </c>
      <c r="BV39" s="2">
        <f t="shared" ca="1" si="57"/>
        <v>4.4756245471738815E-2</v>
      </c>
      <c r="BW39" s="2">
        <f t="shared" ca="1" si="58"/>
        <v>0</v>
      </c>
      <c r="BX39" s="2">
        <f t="shared" ca="1" si="59"/>
        <v>0</v>
      </c>
      <c r="BY39" s="13">
        <f t="shared" ca="1" si="60"/>
        <v>0</v>
      </c>
      <c r="CF39" s="39" t="str">
        <f t="shared" si="21"/>
        <v>C2020-05-3350000.CFE</v>
      </c>
      <c r="CG39" s="39" t="str">
        <f t="shared" si="22"/>
        <v>P2020-05-3350000.CFE</v>
      </c>
      <c r="CH39" s="95" t="s">
        <v>320</v>
      </c>
      <c r="CI39" s="100" t="str">
        <f>IF([1]!w_info_callput(CH39)="认购","C","P")</f>
        <v>C</v>
      </c>
      <c r="CJ39" s="104">
        <f>[1]!w_info_strikeprice(CH39,"")</f>
        <v>3350</v>
      </c>
      <c r="CK39" s="102" t="str">
        <f>[1]!w_info_lasttradingdate(CH39)</f>
        <v>2020-05-15</v>
      </c>
      <c r="CL39" s="39" t="str">
        <f t="shared" si="61"/>
        <v>IO2005-P-3350.CFE</v>
      </c>
    </row>
    <row r="40" spans="1:90">
      <c r="A40" s="35">
        <f t="shared" si="44"/>
        <v>1</v>
      </c>
      <c r="B40" s="112" t="s">
        <v>321</v>
      </c>
      <c r="C40" s="29" t="str">
        <f>IF([1]!w_info_callput(B40)="认购","C","P")</f>
        <v>C</v>
      </c>
      <c r="D40" s="96">
        <f>[1]!w_info_strikeprice(B40,"")</f>
        <v>3400</v>
      </c>
      <c r="E40" s="18" t="str">
        <f>[1]!w_info_lasttradingdate(B40)</f>
        <v>2020-05-15</v>
      </c>
      <c r="F40" s="4">
        <f>IF(G40&gt;0,RTD("wdf.rtq",,$B40,F$5),0)</f>
        <v>364.40000000000003</v>
      </c>
      <c r="G40" s="53">
        <f>RTD("wdf.rtq",,$B40,G$5)</f>
        <v>1</v>
      </c>
      <c r="H40" s="4">
        <f>RTD("wdf.rtq",,$B40,H$5)</f>
        <v>45.6</v>
      </c>
      <c r="I40" s="53">
        <f>RTD("wdf.rtq",,$B40,I$5)</f>
        <v>1</v>
      </c>
      <c r="J40" s="4">
        <f>RTD("wdf.rtq",,$B40,J$5)</f>
        <v>0</v>
      </c>
      <c r="K40" s="54">
        <f>RTD("wdf.rtq",,$B40,K$5)</f>
        <v>0</v>
      </c>
      <c r="L40" s="4">
        <f>[1]!s_dq_presettle(B40,"")</f>
        <v>340</v>
      </c>
      <c r="M40" s="6">
        <f t="shared" si="43"/>
        <v>0</v>
      </c>
      <c r="N40" s="3">
        <f t="shared" si="42"/>
        <v>6440.0000000000009</v>
      </c>
      <c r="O40" s="4">
        <f t="shared" si="26"/>
        <v>37571</v>
      </c>
      <c r="P40" s="4">
        <f t="shared" si="27"/>
        <v>17000</v>
      </c>
      <c r="Q40" s="8">
        <f t="shared" si="28"/>
        <v>44011.01</v>
      </c>
      <c r="R40" s="55">
        <f ca="1">IF(NOW()-TODAY()&gt;15/24, G40, [1]!s_dq_volume(B40,R$2,1))/$AI$2</f>
        <v>19</v>
      </c>
      <c r="AB40" s="39" t="s">
        <v>328</v>
      </c>
      <c r="AC40" s="29" t="str">
        <f>IF([1]!w_info_callput(AB40)="认购","C","P")</f>
        <v>P</v>
      </c>
      <c r="AD40" s="31">
        <f>[1]!w_info_strikeprice(AB40,"")</f>
        <v>3400</v>
      </c>
      <c r="AE40" s="18" t="str">
        <f>[1]!w_info_lasttradingdate(AB40)</f>
        <v>2020-05-15</v>
      </c>
      <c r="AF40" s="4">
        <f>RTD("wdf.rtq",,$AB40,F$5)</f>
        <v>64.400000000000006</v>
      </c>
      <c r="AG40" s="53">
        <f>RTD("wdf.rtq",,$AB40,G$5)</f>
        <v>25</v>
      </c>
      <c r="AH40" s="4">
        <f>RTD("wdf.rtq",,$AB40,H$5)</f>
        <v>46</v>
      </c>
      <c r="AI40" s="53">
        <f>RTD("wdf.rtq",,$AB40,I$5)</f>
        <v>3</v>
      </c>
      <c r="AJ40" s="4">
        <f>RTD("wdf.rtq",,$AB40,J$5)</f>
        <v>0</v>
      </c>
      <c r="AK40" s="54">
        <f>RTD("wdf.rtq",,$AB40,K$5)</f>
        <v>0</v>
      </c>
      <c r="AL40" s="4">
        <f>[1]!s_dq_presettle(AB40,"")</f>
        <v>84.8</v>
      </c>
      <c r="AM40" s="6">
        <f t="shared" si="29"/>
        <v>357.09999999999991</v>
      </c>
      <c r="AN40" s="6">
        <f t="shared" si="30"/>
        <v>6440.0000000000009</v>
      </c>
      <c r="AO40" s="6">
        <f t="shared" si="31"/>
        <v>1861.0000000000127</v>
      </c>
      <c r="AP40" s="4">
        <f t="shared" si="32"/>
        <v>17000</v>
      </c>
      <c r="AQ40" s="8">
        <f t="shared" si="33"/>
        <v>23440.01</v>
      </c>
      <c r="AR40" s="55">
        <f ca="1">IF(NOW()-TODAY()&gt;15/24, AG40, [1]!s_dq_volume(AB40,AR$2,1))/AI$2</f>
        <v>53</v>
      </c>
      <c r="AS40" s="110"/>
      <c r="AT40" s="110"/>
      <c r="AU40" s="110"/>
      <c r="AV40" s="110"/>
      <c r="AY40" s="10"/>
      <c r="AZ40" s="10"/>
      <c r="BA40" s="6">
        <f t="shared" ca="1" si="34"/>
        <v>485.83333333334235</v>
      </c>
      <c r="BB40" s="6">
        <f t="shared" ca="1" si="35"/>
        <v>0</v>
      </c>
      <c r="BC40" s="6">
        <f t="shared" ca="1" si="36"/>
        <v>0</v>
      </c>
      <c r="BD40" s="12">
        <f t="shared" ca="1" si="37"/>
        <v>0</v>
      </c>
      <c r="BE40" s="2">
        <f t="shared" ca="1" si="45"/>
        <v>1.1400229536093467E-3</v>
      </c>
      <c r="BF40" s="2">
        <f t="shared" ca="1" si="46"/>
        <v>0</v>
      </c>
      <c r="BG40" s="2">
        <f t="shared" ca="1" si="47"/>
        <v>0</v>
      </c>
      <c r="BH40" s="13">
        <f t="shared" ca="1" si="48"/>
        <v>0</v>
      </c>
      <c r="BI40" s="2">
        <f t="shared" ca="1" si="49"/>
        <v>8.3221675613482319E-3</v>
      </c>
      <c r="BJ40" s="2">
        <f t="shared" ca="1" si="50"/>
        <v>0</v>
      </c>
      <c r="BK40" s="2">
        <f t="shared" ca="1" si="51"/>
        <v>0</v>
      </c>
      <c r="BL40" s="40">
        <f t="shared" ca="1" si="52"/>
        <v>0</v>
      </c>
      <c r="BN40" s="6">
        <f t="shared" ca="1" si="38"/>
        <v>1886.8999999999903</v>
      </c>
      <c r="BO40" s="6">
        <f t="shared" ca="1" si="39"/>
        <v>0</v>
      </c>
      <c r="BP40" s="6">
        <f t="shared" ca="1" si="40"/>
        <v>0</v>
      </c>
      <c r="BQ40" s="12">
        <f t="shared" ca="1" si="41"/>
        <v>0</v>
      </c>
      <c r="BR40" s="2">
        <f t="shared" ca="1" si="53"/>
        <v>1.7976432381738582E-2</v>
      </c>
      <c r="BS40" s="2">
        <f t="shared" ca="1" si="54"/>
        <v>0</v>
      </c>
      <c r="BT40" s="2">
        <f t="shared" ca="1" si="55"/>
        <v>0</v>
      </c>
      <c r="BU40" s="13">
        <f t="shared" ca="1" si="56"/>
        <v>0</v>
      </c>
      <c r="BV40" s="2">
        <f t="shared" ca="1" si="57"/>
        <v>0.13122795638669166</v>
      </c>
      <c r="BW40" s="2">
        <f t="shared" ca="1" si="58"/>
        <v>0</v>
      </c>
      <c r="BX40" s="2">
        <f t="shared" ca="1" si="59"/>
        <v>0</v>
      </c>
      <c r="BY40" s="13">
        <f t="shared" ca="1" si="60"/>
        <v>0</v>
      </c>
      <c r="CF40" s="39" t="str">
        <f t="shared" si="21"/>
        <v>C2020-05-3400000.CFE</v>
      </c>
      <c r="CG40" s="39" t="str">
        <f t="shared" si="22"/>
        <v>P2020-05-3400000.CFE</v>
      </c>
      <c r="CH40" s="95" t="s">
        <v>321</v>
      </c>
      <c r="CI40" s="100" t="str">
        <f>IF([1]!w_info_callput(CH40)="认购","C","P")</f>
        <v>C</v>
      </c>
      <c r="CJ40" s="104">
        <f>[1]!w_info_strikeprice(CH40,"")</f>
        <v>3400</v>
      </c>
      <c r="CK40" s="102" t="str">
        <f>[1]!w_info_lasttradingdate(CH40)</f>
        <v>2020-05-15</v>
      </c>
      <c r="CL40" s="39" t="str">
        <f t="shared" si="61"/>
        <v>IO2005-P-3400.CFE</v>
      </c>
    </row>
    <row r="41" spans="1:90">
      <c r="A41" s="35">
        <f t="shared" si="44"/>
        <v>1</v>
      </c>
      <c r="B41" s="112" t="s">
        <v>322</v>
      </c>
      <c r="C41" s="29" t="str">
        <f>IF([1]!w_info_callput(B41)="认购","C","P")</f>
        <v>C</v>
      </c>
      <c r="D41" s="96">
        <f>[1]!w_info_strikeprice(B41,"")</f>
        <v>3450</v>
      </c>
      <c r="E41" s="18" t="str">
        <f>[1]!w_info_lasttradingdate(B41)</f>
        <v>2020-05-15</v>
      </c>
      <c r="F41" s="4">
        <f>IF(G41&gt;0,RTD("wdf.rtq",,$B41,F$5),0)</f>
        <v>326.60000000000002</v>
      </c>
      <c r="G41" s="53">
        <f>RTD("wdf.rtq",,$B41,G$5)</f>
        <v>1</v>
      </c>
      <c r="H41" s="4">
        <f>RTD("wdf.rtq",,$B41,H$5)</f>
        <v>33.4</v>
      </c>
      <c r="I41" s="53">
        <f>RTD("wdf.rtq",,$B41,I$5)</f>
        <v>1</v>
      </c>
      <c r="J41" s="4">
        <f>RTD("wdf.rtq",,$B41,J$5)</f>
        <v>0</v>
      </c>
      <c r="K41" s="54">
        <f>RTD("wdf.rtq",,$B41,K$5)</f>
        <v>0</v>
      </c>
      <c r="L41" s="4">
        <f>[1]!s_dq_presettle(B41,"")</f>
        <v>304.8</v>
      </c>
      <c r="M41" s="6">
        <f t="shared" si="43"/>
        <v>0</v>
      </c>
      <c r="N41" s="3">
        <f t="shared" si="42"/>
        <v>7760.0000000000009</v>
      </c>
      <c r="O41" s="4">
        <f t="shared" si="26"/>
        <v>37571</v>
      </c>
      <c r="P41" s="4">
        <f t="shared" si="27"/>
        <v>17250</v>
      </c>
      <c r="Q41" s="8">
        <f t="shared" si="28"/>
        <v>45331.01</v>
      </c>
      <c r="R41" s="55">
        <f ca="1">IF(NOW()-TODAY()&gt;15/24, G41, [1]!s_dq_volume(B41,R$2,1))/$AI$2</f>
        <v>20</v>
      </c>
      <c r="AB41" s="39" t="s">
        <v>329</v>
      </c>
      <c r="AC41" s="29" t="str">
        <f>IF([1]!w_info_callput(AB41)="认购","C","P")</f>
        <v>P</v>
      </c>
      <c r="AD41" s="31">
        <f>[1]!w_info_strikeprice(AB41,"")</f>
        <v>3450</v>
      </c>
      <c r="AE41" s="18" t="str">
        <f>[1]!w_info_lasttradingdate(AB41)</f>
        <v>2020-05-15</v>
      </c>
      <c r="AF41" s="4">
        <f>RTD("wdf.rtq",,$AB41,F$5)</f>
        <v>77.600000000000009</v>
      </c>
      <c r="AG41" s="53">
        <f>RTD("wdf.rtq",,$AB41,G$5)</f>
        <v>45</v>
      </c>
      <c r="AH41" s="4">
        <f>RTD("wdf.rtq",,$AB41,H$5)</f>
        <v>14</v>
      </c>
      <c r="AI41" s="53">
        <f>RTD("wdf.rtq",,$AB41,I$5)</f>
        <v>1</v>
      </c>
      <c r="AJ41" s="4">
        <f>RTD("wdf.rtq",,$AB41,J$5)</f>
        <v>171.6</v>
      </c>
      <c r="AK41" s="54">
        <f>RTD("wdf.rtq",,$AB41,K$5)</f>
        <v>3</v>
      </c>
      <c r="AL41" s="4">
        <f>[1]!s_dq_presettle(AB41,"")</f>
        <v>100.6</v>
      </c>
      <c r="AM41" s="6">
        <f t="shared" si="29"/>
        <v>307.09999999999991</v>
      </c>
      <c r="AN41" s="6">
        <f t="shared" si="30"/>
        <v>7760.0000000000009</v>
      </c>
      <c r="AO41" s="6">
        <f t="shared" si="31"/>
        <v>6861.0000000000127</v>
      </c>
      <c r="AP41" s="4">
        <f t="shared" si="32"/>
        <v>17250</v>
      </c>
      <c r="AQ41" s="8">
        <f t="shared" si="33"/>
        <v>25010.01</v>
      </c>
      <c r="AR41" s="55">
        <f ca="1">IF(NOW()-TODAY()&gt;15/24, AG41, [1]!s_dq_volume(AB41,AR$2,1))/AI$2</f>
        <v>198</v>
      </c>
      <c r="AS41" s="110"/>
      <c r="AT41" s="110"/>
      <c r="AU41" s="110"/>
      <c r="AV41" s="110"/>
      <c r="AY41" s="10"/>
      <c r="AZ41" s="10"/>
      <c r="BA41" s="6">
        <f t="shared" ca="1" si="34"/>
        <v>385.83333333334235</v>
      </c>
      <c r="BB41" s="6">
        <f t="shared" ca="1" si="35"/>
        <v>-38334.166666666657</v>
      </c>
      <c r="BC41" s="6">
        <f t="shared" ca="1" si="36"/>
        <v>0</v>
      </c>
      <c r="BD41" s="12">
        <f t="shared" ca="1" si="37"/>
        <v>0</v>
      </c>
      <c r="BE41" s="2">
        <f t="shared" ca="1" si="45"/>
        <v>8.9979576618381182E-4</v>
      </c>
      <c r="BF41" s="2">
        <f t="shared" ca="1" si="46"/>
        <v>-8.7480781175439684E-2</v>
      </c>
      <c r="BG41" s="2">
        <f t="shared" ca="1" si="47"/>
        <v>0</v>
      </c>
      <c r="BH41" s="13">
        <f t="shared" ca="1" si="48"/>
        <v>0</v>
      </c>
      <c r="BI41" s="2">
        <f t="shared" ca="1" si="49"/>
        <v>6.5685090931418269E-3</v>
      </c>
      <c r="BJ41" s="2">
        <f t="shared" ca="1" si="50"/>
        <v>-0.6386097025807097</v>
      </c>
      <c r="BK41" s="2">
        <f t="shared" ca="1" si="51"/>
        <v>0</v>
      </c>
      <c r="BL41" s="40">
        <f t="shared" ca="1" si="52"/>
        <v>0</v>
      </c>
      <c r="BN41" s="6">
        <f t="shared" ca="1" si="38"/>
        <v>1986.8999999999905</v>
      </c>
      <c r="BO41" s="6">
        <f t="shared" ca="1" si="39"/>
        <v>0</v>
      </c>
      <c r="BP41" s="6">
        <f t="shared" ca="1" si="40"/>
        <v>40706.859999999993</v>
      </c>
      <c r="BQ41" s="12">
        <f t="shared" ca="1" si="41"/>
        <v>40706.899999999987</v>
      </c>
      <c r="BR41" s="2">
        <f t="shared" ca="1" si="53"/>
        <v>1.933624582150132E-2</v>
      </c>
      <c r="BS41" s="2">
        <f t="shared" ca="1" si="54"/>
        <v>0</v>
      </c>
      <c r="BT41" s="2">
        <f t="shared" ca="1" si="55"/>
        <v>0.55432331321083894</v>
      </c>
      <c r="BU41" s="13">
        <f t="shared" ca="1" si="56"/>
        <v>0.55432400887802991</v>
      </c>
      <c r="BV41" s="2">
        <f t="shared" ca="1" si="57"/>
        <v>0.14115459449695963</v>
      </c>
      <c r="BW41" s="2">
        <f t="shared" ca="1" si="58"/>
        <v>0</v>
      </c>
      <c r="BX41" s="2">
        <f t="shared" ca="1" si="59"/>
        <v>4.0465601864391241</v>
      </c>
      <c r="BY41" s="13">
        <f t="shared" ca="1" si="60"/>
        <v>4.046565264809618</v>
      </c>
      <c r="CF41" s="39" t="str">
        <f t="shared" si="21"/>
        <v>C2020-05-3450000.CFE</v>
      </c>
      <c r="CG41" s="39" t="str">
        <f t="shared" si="22"/>
        <v>P2020-05-3450000.CFE</v>
      </c>
      <c r="CH41" s="95" t="s">
        <v>322</v>
      </c>
      <c r="CI41" s="100" t="str">
        <f>IF([1]!w_info_callput(CH41)="认购","C","P")</f>
        <v>C</v>
      </c>
      <c r="CJ41" s="104">
        <f>[1]!w_info_strikeprice(CH41,"")</f>
        <v>3450</v>
      </c>
      <c r="CK41" s="102" t="str">
        <f>[1]!w_info_lasttradingdate(CH41)</f>
        <v>2020-05-15</v>
      </c>
      <c r="CL41" s="39" t="str">
        <f t="shared" si="61"/>
        <v>IO2005-P-3450.CFE</v>
      </c>
    </row>
    <row r="42" spans="1:90">
      <c r="A42" s="35">
        <f t="shared" si="44"/>
        <v>1</v>
      </c>
      <c r="B42" s="112" t="s">
        <v>302</v>
      </c>
      <c r="C42" s="29" t="str">
        <f>IF([1]!w_info_callput(B42)="认购","C","P")</f>
        <v>C</v>
      </c>
      <c r="D42" s="96">
        <f>[1]!w_info_strikeprice(B42,"")</f>
        <v>3500</v>
      </c>
      <c r="E42" s="18" t="str">
        <f>[1]!w_info_lasttradingdate(B42)</f>
        <v>2020-05-15</v>
      </c>
      <c r="F42" s="4">
        <f>IF(G42&gt;0,RTD("wdf.rtq",,$B42,F$5),0)</f>
        <v>287.8</v>
      </c>
      <c r="G42" s="53">
        <f>RTD("wdf.rtq",,$B42,G$5)</f>
        <v>1</v>
      </c>
      <c r="H42" s="4">
        <f>RTD("wdf.rtq",,$B42,H$5)</f>
        <v>31.400000000000002</v>
      </c>
      <c r="I42" s="53">
        <f>RTD("wdf.rtq",,$B42,I$5)</f>
        <v>1</v>
      </c>
      <c r="J42" s="4">
        <f>RTD("wdf.rtq",,$B42,J$5)</f>
        <v>0</v>
      </c>
      <c r="K42" s="54">
        <f>RTD("wdf.rtq",,$B42,K$5)</f>
        <v>0</v>
      </c>
      <c r="L42" s="4">
        <f>[1]!s_dq_presettle(B42,"")</f>
        <v>271.8</v>
      </c>
      <c r="M42" s="6">
        <f t="shared" si="43"/>
        <v>0</v>
      </c>
      <c r="N42" s="3">
        <f t="shared" si="42"/>
        <v>9260</v>
      </c>
      <c r="O42" s="4">
        <f t="shared" si="26"/>
        <v>37571</v>
      </c>
      <c r="P42" s="4">
        <f t="shared" si="27"/>
        <v>17500</v>
      </c>
      <c r="Q42" s="8">
        <f t="shared" si="28"/>
        <v>46831.01</v>
      </c>
      <c r="R42" s="55">
        <f ca="1">IF(NOW()-TODAY()&gt;15/24, G42, [1]!s_dq_volume(B42,R$2,1))/$AI$2</f>
        <v>36</v>
      </c>
      <c r="AB42" s="39" t="s">
        <v>305</v>
      </c>
      <c r="AC42" s="29" t="str">
        <f>IF([1]!w_info_callput(AB42)="认购","C","P")</f>
        <v>P</v>
      </c>
      <c r="AD42" s="31">
        <f>[1]!w_info_strikeprice(AB42,"")</f>
        <v>3500</v>
      </c>
      <c r="AE42" s="18" t="str">
        <f>[1]!w_info_lasttradingdate(AB42)</f>
        <v>2020-05-15</v>
      </c>
      <c r="AF42" s="4">
        <f>RTD("wdf.rtq",,$AB42,F$5)</f>
        <v>92.600000000000009</v>
      </c>
      <c r="AG42" s="53">
        <f>RTD("wdf.rtq",,$AB42,G$5)</f>
        <v>122</v>
      </c>
      <c r="AH42" s="4">
        <f>RTD("wdf.rtq",,$AB42,H$5)</f>
        <v>17</v>
      </c>
      <c r="AI42" s="53">
        <f>RTD("wdf.rtq",,$AB42,I$5)</f>
        <v>1</v>
      </c>
      <c r="AJ42" s="4">
        <f>RTD("wdf.rtq",,$AB42,J$5)</f>
        <v>130</v>
      </c>
      <c r="AK42" s="54">
        <f>RTD("wdf.rtq",,$AB42,K$5)</f>
        <v>1</v>
      </c>
      <c r="AL42" s="4">
        <f>[1]!s_dq_presettle(AB42,"")</f>
        <v>116.2</v>
      </c>
      <c r="AM42" s="6">
        <f t="shared" si="29"/>
        <v>257.09999999999991</v>
      </c>
      <c r="AN42" s="6">
        <f t="shared" si="30"/>
        <v>9260</v>
      </c>
      <c r="AO42" s="6">
        <f t="shared" si="31"/>
        <v>11861.000000000013</v>
      </c>
      <c r="AP42" s="4">
        <f t="shared" si="32"/>
        <v>17500</v>
      </c>
      <c r="AQ42" s="8">
        <f t="shared" si="33"/>
        <v>26760.01</v>
      </c>
      <c r="AR42" s="55">
        <f ca="1">IF(NOW()-TODAY()&gt;15/24, AG42, [1]!s_dq_volume(AB42,AR$2,1))/AI$2</f>
        <v>183</v>
      </c>
      <c r="AS42" s="110"/>
      <c r="AT42" s="110"/>
      <c r="AU42" s="110"/>
      <c r="AV42" s="110"/>
      <c r="AY42" s="10"/>
      <c r="AZ42" s="10"/>
      <c r="BA42" s="6">
        <f t="shared" ca="1" si="34"/>
        <v>5.8333333333411872</v>
      </c>
      <c r="BB42" s="6">
        <f t="shared" ca="1" si="35"/>
        <v>-29374.166666666661</v>
      </c>
      <c r="BC42" s="6">
        <f t="shared" ca="1" si="36"/>
        <v>0</v>
      </c>
      <c r="BD42" s="12">
        <f t="shared" ca="1" si="37"/>
        <v>0</v>
      </c>
      <c r="BE42" s="2">
        <f t="shared" ca="1" si="45"/>
        <v>1.3509309145296319E-5</v>
      </c>
      <c r="BF42" s="2">
        <f t="shared" ca="1" si="46"/>
        <v>-6.744294106005462E-2</v>
      </c>
      <c r="BG42" s="2">
        <f t="shared" ca="1" si="47"/>
        <v>0</v>
      </c>
      <c r="BH42" s="13">
        <f t="shared" ca="1" si="48"/>
        <v>0</v>
      </c>
      <c r="BI42" s="2">
        <f t="shared" ca="1" si="49"/>
        <v>9.8617956760663135E-5</v>
      </c>
      <c r="BJ42" s="2">
        <f t="shared" ca="1" si="50"/>
        <v>-0.4923334697383987</v>
      </c>
      <c r="BK42" s="2">
        <f t="shared" ca="1" si="51"/>
        <v>0</v>
      </c>
      <c r="BL42" s="40">
        <f t="shared" ca="1" si="52"/>
        <v>0</v>
      </c>
      <c r="BN42" s="6">
        <f t="shared" ca="1" si="38"/>
        <v>2366.8999999999915</v>
      </c>
      <c r="BO42" s="6">
        <f t="shared" ca="1" si="39"/>
        <v>0</v>
      </c>
      <c r="BP42" s="6">
        <f t="shared" ca="1" si="40"/>
        <v>31746.85999999999</v>
      </c>
      <c r="BQ42" s="12">
        <f t="shared" ca="1" si="41"/>
        <v>31746.899999999991</v>
      </c>
      <c r="BR42" s="2">
        <f t="shared" ca="1" si="53"/>
        <v>2.3521938488376734E-2</v>
      </c>
      <c r="BS42" s="2">
        <f t="shared" ca="1" si="54"/>
        <v>0</v>
      </c>
      <c r="BT42" s="2">
        <f t="shared" ca="1" si="55"/>
        <v>0.42337484328580433</v>
      </c>
      <c r="BU42" s="13">
        <f t="shared" ca="1" si="56"/>
        <v>0.42337548964655825</v>
      </c>
      <c r="BV42" s="2">
        <f t="shared" ca="1" si="57"/>
        <v>0.17171015096515016</v>
      </c>
      <c r="BW42" s="2">
        <f t="shared" ca="1" si="58"/>
        <v>0</v>
      </c>
      <c r="BX42" s="2">
        <f t="shared" ca="1" si="59"/>
        <v>3.0906363559863719</v>
      </c>
      <c r="BY42" s="13">
        <f t="shared" ca="1" si="60"/>
        <v>3.0906410744198753</v>
      </c>
      <c r="CF42" s="39" t="str">
        <f t="shared" si="21"/>
        <v>C2020-05-3500000.CFE</v>
      </c>
      <c r="CG42" s="39" t="str">
        <f t="shared" si="22"/>
        <v>P2020-05-3500000.CFE</v>
      </c>
      <c r="CH42" s="95" t="s">
        <v>302</v>
      </c>
      <c r="CI42" s="100" t="str">
        <f>IF([1]!w_info_callput(CH42)="认购","C","P")</f>
        <v>C</v>
      </c>
      <c r="CJ42" s="104">
        <f>[1]!w_info_strikeprice(CH42,"")</f>
        <v>3500</v>
      </c>
      <c r="CK42" s="102" t="str">
        <f>[1]!w_info_lasttradingdate(CH42)</f>
        <v>2020-05-15</v>
      </c>
      <c r="CL42" s="39" t="str">
        <f t="shared" si="61"/>
        <v>IO2005-P-3500.CFE</v>
      </c>
    </row>
    <row r="43" spans="1:90">
      <c r="A43" s="35">
        <f t="shared" si="44"/>
        <v>1</v>
      </c>
      <c r="B43" s="112" t="s">
        <v>303</v>
      </c>
      <c r="C43" s="29" t="str">
        <f>IF([1]!w_info_callput(B43)="认购","C","P")</f>
        <v>C</v>
      </c>
      <c r="D43" s="96">
        <f>[1]!w_info_strikeprice(B43,"")</f>
        <v>3550</v>
      </c>
      <c r="E43" s="18" t="str">
        <f>[1]!w_info_lasttradingdate(B43)</f>
        <v>2020-05-15</v>
      </c>
      <c r="F43" s="4">
        <f>IF(G43&gt;0,RTD("wdf.rtq",,$B43,F$5),0)</f>
        <v>278</v>
      </c>
      <c r="G43" s="53">
        <f>RTD("wdf.rtq",,$B43,G$5)</f>
        <v>39</v>
      </c>
      <c r="H43" s="4">
        <f>RTD("wdf.rtq",,$B43,H$5)</f>
        <v>42</v>
      </c>
      <c r="I43" s="53">
        <f>RTD("wdf.rtq",,$B43,I$5)</f>
        <v>1</v>
      </c>
      <c r="J43" s="4">
        <f>RTD("wdf.rtq",,$B43,J$5)</f>
        <v>0</v>
      </c>
      <c r="K43" s="54">
        <f>RTD("wdf.rtq",,$B43,K$5)</f>
        <v>0</v>
      </c>
      <c r="L43" s="4">
        <f>[1]!s_dq_presettle(B43,"")</f>
        <v>237.2</v>
      </c>
      <c r="M43" s="6">
        <f t="shared" si="43"/>
        <v>0</v>
      </c>
      <c r="N43" s="3">
        <f t="shared" si="42"/>
        <v>10500</v>
      </c>
      <c r="O43" s="4">
        <f t="shared" si="26"/>
        <v>37571</v>
      </c>
      <c r="P43" s="4">
        <f t="shared" si="27"/>
        <v>17750</v>
      </c>
      <c r="Q43" s="8">
        <f t="shared" si="28"/>
        <v>48071.01</v>
      </c>
      <c r="R43" s="55">
        <f ca="1">IF(NOW()-TODAY()&gt;15/24, G43, [1]!s_dq_volume(B43,R$2,1))/$AI$2</f>
        <v>32</v>
      </c>
      <c r="AB43" s="39" t="s">
        <v>306</v>
      </c>
      <c r="AC43" s="29" t="str">
        <f>IF([1]!w_info_callput(AB43)="认购","C","P")</f>
        <v>P</v>
      </c>
      <c r="AD43" s="31">
        <f>[1]!w_info_strikeprice(AB43,"")</f>
        <v>3550</v>
      </c>
      <c r="AE43" s="18" t="str">
        <f>[1]!w_info_lasttradingdate(AB43)</f>
        <v>2020-05-15</v>
      </c>
      <c r="AF43" s="4">
        <f>RTD("wdf.rtq",,$AB43,F$5)</f>
        <v>105</v>
      </c>
      <c r="AG43" s="53">
        <f>RTD("wdf.rtq",,$AB43,G$5)</f>
        <v>34</v>
      </c>
      <c r="AH43" s="4">
        <f>RTD("wdf.rtq",,$AB43,H$5)</f>
        <v>19</v>
      </c>
      <c r="AI43" s="53">
        <f>RTD("wdf.rtq",,$AB43,I$5)</f>
        <v>1</v>
      </c>
      <c r="AJ43" s="4">
        <f>RTD("wdf.rtq",,$AB43,J$5)</f>
        <v>188.6</v>
      </c>
      <c r="AK43" s="54">
        <f>RTD("wdf.rtq",,$AB43,K$5)</f>
        <v>3</v>
      </c>
      <c r="AL43" s="4">
        <f>[1]!s_dq_presettle(AB43,"")</f>
        <v>134.6</v>
      </c>
      <c r="AM43" s="6">
        <f t="shared" si="29"/>
        <v>207.09999999999991</v>
      </c>
      <c r="AN43" s="6">
        <f t="shared" si="30"/>
        <v>10500</v>
      </c>
      <c r="AO43" s="6">
        <f t="shared" si="31"/>
        <v>16861.000000000015</v>
      </c>
      <c r="AP43" s="4">
        <f t="shared" si="32"/>
        <v>17750</v>
      </c>
      <c r="AQ43" s="8">
        <f t="shared" si="33"/>
        <v>28250.01</v>
      </c>
      <c r="AR43" s="55">
        <f ca="1">IF(NOW()-TODAY()&gt;15/24, AG43, [1]!s_dq_volume(AB43,AR$2,1))/AI$2</f>
        <v>49</v>
      </c>
      <c r="AS43" s="110"/>
      <c r="AT43" s="110"/>
      <c r="AU43" s="110"/>
      <c r="AV43" s="110"/>
      <c r="AY43" s="10"/>
      <c r="AZ43" s="10"/>
      <c r="BA43" s="6">
        <f t="shared" ca="1" si="34"/>
        <v>2785.8333333333421</v>
      </c>
      <c r="BB43" s="6">
        <f t="shared" ca="1" si="35"/>
        <v>-29174.166666666661</v>
      </c>
      <c r="BC43" s="6">
        <f t="shared" ca="1" si="36"/>
        <v>0</v>
      </c>
      <c r="BD43" s="12">
        <f t="shared" ca="1" si="37"/>
        <v>0</v>
      </c>
      <c r="BE43" s="2">
        <f t="shared" ca="1" si="45"/>
        <v>6.4148172938377898E-3</v>
      </c>
      <c r="BF43" s="2">
        <f t="shared" ca="1" si="46"/>
        <v>-6.5909317048293059E-2</v>
      </c>
      <c r="BG43" s="2">
        <f t="shared" ca="1" si="47"/>
        <v>0</v>
      </c>
      <c r="BH43" s="13">
        <f t="shared" ca="1" si="48"/>
        <v>0</v>
      </c>
      <c r="BI43" s="2">
        <f t="shared" ca="1" si="49"/>
        <v>4.6828166245015866E-2</v>
      </c>
      <c r="BJ43" s="2">
        <f t="shared" ca="1" si="50"/>
        <v>-0.48113801445253934</v>
      </c>
      <c r="BK43" s="2">
        <f t="shared" ca="1" si="51"/>
        <v>0</v>
      </c>
      <c r="BL43" s="40">
        <f t="shared" ca="1" si="52"/>
        <v>0</v>
      </c>
      <c r="BN43" s="6">
        <f t="shared" ca="1" si="38"/>
        <v>-413.10000000000957</v>
      </c>
      <c r="BO43" s="6">
        <f t="shared" ca="1" si="39"/>
        <v>0</v>
      </c>
      <c r="BP43" s="6">
        <f t="shared" ca="1" si="40"/>
        <v>31546.85999999999</v>
      </c>
      <c r="BQ43" s="12">
        <f t="shared" ca="1" si="41"/>
        <v>31546.899999999991</v>
      </c>
      <c r="BR43" s="2">
        <f t="shared" ca="1" si="53"/>
        <v>-4.08463086199168E-3</v>
      </c>
      <c r="BS43" s="2">
        <f t="shared" ca="1" si="54"/>
        <v>0</v>
      </c>
      <c r="BT43" s="2">
        <f t="shared" ca="1" si="55"/>
        <v>0.40687130224544366</v>
      </c>
      <c r="BU43" s="13">
        <f t="shared" ca="1" si="56"/>
        <v>0.40687192309145731</v>
      </c>
      <c r="BV43" s="2">
        <f t="shared" ca="1" si="57"/>
        <v>-2.9817805292539266E-2</v>
      </c>
      <c r="BW43" s="2">
        <f t="shared" ca="1" si="58"/>
        <v>0</v>
      </c>
      <c r="BX43" s="2">
        <f t="shared" ca="1" si="59"/>
        <v>2.9701605063917382</v>
      </c>
      <c r="BY43" s="13">
        <f t="shared" ca="1" si="60"/>
        <v>2.9701650385676386</v>
      </c>
      <c r="CF43" s="39" t="str">
        <f t="shared" si="21"/>
        <v>C2020-05-3550000.CFE</v>
      </c>
      <c r="CG43" s="39" t="str">
        <f t="shared" si="22"/>
        <v>P2020-05-3550000.CFE</v>
      </c>
      <c r="CH43" s="95" t="s">
        <v>303</v>
      </c>
      <c r="CI43" s="100" t="str">
        <f>IF([1]!w_info_callput(CH43)="认购","C","P")</f>
        <v>C</v>
      </c>
      <c r="CJ43" s="104">
        <f>[1]!w_info_strikeprice(CH43,"")</f>
        <v>3550</v>
      </c>
      <c r="CK43" s="102" t="str">
        <f>[1]!w_info_lasttradingdate(CH43)</f>
        <v>2020-05-15</v>
      </c>
      <c r="CL43" s="39" t="str">
        <f t="shared" si="61"/>
        <v>IO2005-P-3550.CFE</v>
      </c>
    </row>
    <row r="44" spans="1:90">
      <c r="A44" s="35">
        <f t="shared" si="44"/>
        <v>1</v>
      </c>
      <c r="B44" s="112" t="s">
        <v>304</v>
      </c>
      <c r="C44" s="29" t="str">
        <f>IF([1]!w_info_callput(B44)="认购","C","P")</f>
        <v>C</v>
      </c>
      <c r="D44" s="96">
        <f>[1]!w_info_strikeprice(B44,"")</f>
        <v>3600</v>
      </c>
      <c r="E44" s="18" t="str">
        <f>[1]!w_info_lasttradingdate(B44)</f>
        <v>2020-05-15</v>
      </c>
      <c r="F44" s="4">
        <f>IF(G44&gt;0,RTD("wdf.rtq",,$B44,F$5),0)</f>
        <v>252</v>
      </c>
      <c r="G44" s="53">
        <f>RTD("wdf.rtq",,$B44,G$5)</f>
        <v>134</v>
      </c>
      <c r="H44" s="4">
        <f>RTD("wdf.rtq",,$B44,H$5)</f>
        <v>230.20000000000002</v>
      </c>
      <c r="I44" s="53">
        <f>RTD("wdf.rtq",,$B44,I$5)</f>
        <v>1</v>
      </c>
      <c r="J44" s="4">
        <f>RTD("wdf.rtq",,$B44,J$5)</f>
        <v>0</v>
      </c>
      <c r="K44" s="54">
        <f>RTD("wdf.rtq",,$B44,K$5)</f>
        <v>0</v>
      </c>
      <c r="L44" s="4">
        <f>[1]!s_dq_presettle(B44,"")</f>
        <v>210.4</v>
      </c>
      <c r="M44" s="6">
        <f t="shared" si="43"/>
        <v>0</v>
      </c>
      <c r="N44" s="3">
        <f t="shared" si="42"/>
        <v>12220</v>
      </c>
      <c r="O44" s="4">
        <f t="shared" si="26"/>
        <v>37571</v>
      </c>
      <c r="P44" s="4">
        <f t="shared" si="27"/>
        <v>18000</v>
      </c>
      <c r="Q44" s="8">
        <f t="shared" si="28"/>
        <v>49791.01</v>
      </c>
      <c r="R44" s="55">
        <f ca="1">IF(NOW()-TODAY()&gt;15/24, G44, [1]!s_dq_volume(B44,R$2,1))/$AI$2</f>
        <v>156</v>
      </c>
      <c r="AB44" s="39" t="s">
        <v>307</v>
      </c>
      <c r="AC44" s="29" t="str">
        <f>IF([1]!w_info_callput(AB44)="认购","C","P")</f>
        <v>P</v>
      </c>
      <c r="AD44" s="31">
        <f>[1]!w_info_strikeprice(AB44,"")</f>
        <v>3600</v>
      </c>
      <c r="AE44" s="18" t="str">
        <f>[1]!w_info_lasttradingdate(AB44)</f>
        <v>2020-05-15</v>
      </c>
      <c r="AF44" s="4">
        <f>RTD("wdf.rtq",,$AB44,F$5)</f>
        <v>122.2</v>
      </c>
      <c r="AG44" s="53">
        <f>RTD("wdf.rtq",,$AB44,G$5)</f>
        <v>100</v>
      </c>
      <c r="AH44" s="4">
        <f>RTD("wdf.rtq",,$AB44,H$5)</f>
        <v>22</v>
      </c>
      <c r="AI44" s="53">
        <f>RTD("wdf.rtq",,$AB44,I$5)</f>
        <v>1</v>
      </c>
      <c r="AJ44" s="4">
        <f>RTD("wdf.rtq",,$AB44,J$5)</f>
        <v>158.20000000000002</v>
      </c>
      <c r="AK44" s="54">
        <f>RTD("wdf.rtq",,$AB44,K$5)</f>
        <v>1</v>
      </c>
      <c r="AL44" s="4">
        <f>[1]!s_dq_presettle(AB44,"")</f>
        <v>156.19999999999999</v>
      </c>
      <c r="AM44" s="6">
        <f t="shared" si="29"/>
        <v>157.09999999999991</v>
      </c>
      <c r="AN44" s="6">
        <f t="shared" si="30"/>
        <v>12220</v>
      </c>
      <c r="AO44" s="6">
        <f t="shared" si="31"/>
        <v>21861.000000000015</v>
      </c>
      <c r="AP44" s="4">
        <f t="shared" si="32"/>
        <v>18000</v>
      </c>
      <c r="AQ44" s="8">
        <f t="shared" si="33"/>
        <v>34081.010000000017</v>
      </c>
      <c r="AR44" s="55">
        <f ca="1">IF(NOW()-TODAY()&gt;15/24, AG44, [1]!s_dq_volume(AB44,AR$2,1))/AI$2</f>
        <v>122</v>
      </c>
      <c r="AS44" s="110"/>
      <c r="AT44" s="110"/>
      <c r="AU44" s="110"/>
      <c r="AV44" s="110"/>
      <c r="AY44" s="10"/>
      <c r="AZ44" s="10"/>
      <c r="BA44" s="6">
        <f t="shared" ca="1" si="34"/>
        <v>3465.8333333333435</v>
      </c>
      <c r="BB44" s="6">
        <f t="shared" ca="1" si="35"/>
        <v>-2314.1666666666579</v>
      </c>
      <c r="BC44" s="6">
        <f t="shared" ca="1" si="36"/>
        <v>0</v>
      </c>
      <c r="BD44" s="12">
        <f t="shared" ca="1" si="37"/>
        <v>0</v>
      </c>
      <c r="BE44" s="2">
        <f t="shared" ca="1" si="45"/>
        <v>7.917904907816381E-3</v>
      </c>
      <c r="BF44" s="2">
        <f t="shared" ca="1" si="46"/>
        <v>-5.2437264807915166E-3</v>
      </c>
      <c r="BG44" s="2">
        <f t="shared" ca="1" si="47"/>
        <v>0</v>
      </c>
      <c r="BH44" s="13">
        <f t="shared" ca="1" si="48"/>
        <v>0</v>
      </c>
      <c r="BI44" s="2">
        <f t="shared" ca="1" si="49"/>
        <v>5.7800705827059581E-2</v>
      </c>
      <c r="BJ44" s="2">
        <f t="shared" ca="1" si="50"/>
        <v>-3.8279203309778069E-2</v>
      </c>
      <c r="BK44" s="2">
        <f t="shared" ca="1" si="51"/>
        <v>0</v>
      </c>
      <c r="BL44" s="40">
        <f t="shared" ca="1" si="52"/>
        <v>0</v>
      </c>
      <c r="BN44" s="6">
        <f t="shared" ca="1" si="38"/>
        <v>-1093.1000000000108</v>
      </c>
      <c r="BO44" s="6">
        <f t="shared" ca="1" si="39"/>
        <v>0</v>
      </c>
      <c r="BP44" s="6">
        <f t="shared" ca="1" si="40"/>
        <v>4686.8599999999897</v>
      </c>
      <c r="BQ44" s="12">
        <f t="shared" ca="1" si="41"/>
        <v>4686.8999999999905</v>
      </c>
      <c r="BR44" s="2">
        <f t="shared" ca="1" si="53"/>
        <v>-1.047369641955965E-2</v>
      </c>
      <c r="BS44" s="2">
        <f t="shared" ca="1" si="54"/>
        <v>0</v>
      </c>
      <c r="BT44" s="2">
        <f t="shared" ca="1" si="55"/>
        <v>4.5865866663247969E-2</v>
      </c>
      <c r="BU44" s="13">
        <f t="shared" ca="1" si="56"/>
        <v>4.5866267082417381E-2</v>
      </c>
      <c r="BV44" s="2">
        <f t="shared" ca="1" si="57"/>
        <v>-7.6457983862785447E-2</v>
      </c>
      <c r="BW44" s="2">
        <f t="shared" ca="1" si="58"/>
        <v>0</v>
      </c>
      <c r="BX44" s="2">
        <f t="shared" ca="1" si="59"/>
        <v>0.33482082664171015</v>
      </c>
      <c r="BY44" s="13">
        <f t="shared" ca="1" si="60"/>
        <v>0.33482374970164686</v>
      </c>
      <c r="CF44" s="39" t="str">
        <f t="shared" si="21"/>
        <v>C2020-05-3600000.CFE</v>
      </c>
      <c r="CG44" s="39" t="str">
        <f t="shared" si="22"/>
        <v>P2020-05-3600000.CFE</v>
      </c>
      <c r="CH44" s="95" t="s">
        <v>304</v>
      </c>
      <c r="CI44" s="100" t="str">
        <f>IF([1]!w_info_callput(CH44)="认购","C","P")</f>
        <v>C</v>
      </c>
      <c r="CJ44" s="104">
        <f>[1]!w_info_strikeprice(CH44,"")</f>
        <v>3600</v>
      </c>
      <c r="CK44" s="102" t="str">
        <f>[1]!w_info_lasttradingdate(CH44)</f>
        <v>2020-05-15</v>
      </c>
      <c r="CL44" s="39" t="str">
        <f t="shared" si="61"/>
        <v>IO2005-P-3600.CFE</v>
      </c>
    </row>
    <row r="45" spans="1:90">
      <c r="A45" s="35">
        <f t="shared" si="44"/>
        <v>1</v>
      </c>
      <c r="B45" s="112" t="s">
        <v>282</v>
      </c>
      <c r="C45" s="29" t="str">
        <f>IF([1]!w_info_callput(B45)="认购","C","P")</f>
        <v>C</v>
      </c>
      <c r="D45" s="96">
        <f>[1]!w_info_strikeprice(B45,"")</f>
        <v>3650</v>
      </c>
      <c r="E45" s="18" t="str">
        <f>[1]!w_info_lasttradingdate(B45)</f>
        <v>2020-05-15</v>
      </c>
      <c r="F45" s="4">
        <f>IF(G45&gt;0,RTD("wdf.rtq",,$B45,F$5),0)</f>
        <v>213.20000000000002</v>
      </c>
      <c r="G45" s="53">
        <f>RTD("wdf.rtq",,$B45,G$5)</f>
        <v>54</v>
      </c>
      <c r="H45" s="4">
        <f>RTD("wdf.rtq",,$B45,H$5)</f>
        <v>32</v>
      </c>
      <c r="I45" s="53">
        <f>RTD("wdf.rtq",,$B45,I$5)</f>
        <v>1</v>
      </c>
      <c r="J45" s="4">
        <f>RTD("wdf.rtq",,$B45,J$5)</f>
        <v>287.40000000000003</v>
      </c>
      <c r="K45" s="54">
        <f>RTD("wdf.rtq",,$B45,K$5)</f>
        <v>1</v>
      </c>
      <c r="L45" s="4">
        <f>[1]!s_dq_presettle(B45,"")</f>
        <v>183</v>
      </c>
      <c r="M45" s="6">
        <f t="shared" si="43"/>
        <v>0</v>
      </c>
      <c r="N45" s="3">
        <f t="shared" si="42"/>
        <v>14320.000000000002</v>
      </c>
      <c r="O45" s="4">
        <f t="shared" si="26"/>
        <v>37571</v>
      </c>
      <c r="P45" s="4">
        <f t="shared" si="27"/>
        <v>18250</v>
      </c>
      <c r="Q45" s="8">
        <f t="shared" si="28"/>
        <v>51891.01</v>
      </c>
      <c r="R45" s="55">
        <f ca="1">IF(NOW()-TODAY()&gt;15/24, G45, [1]!s_dq_volume(B45,R$2,1))/$AI$2</f>
        <v>57</v>
      </c>
      <c r="AB45" s="39" t="s">
        <v>283</v>
      </c>
      <c r="AC45" s="29" t="str">
        <f>IF([1]!w_info_callput(AB45)="认购","C","P")</f>
        <v>P</v>
      </c>
      <c r="AD45" s="31">
        <f>[1]!w_info_strikeprice(AB45,"")</f>
        <v>3650</v>
      </c>
      <c r="AE45" s="18" t="str">
        <f>[1]!w_info_lasttradingdate(AB45)</f>
        <v>2020-05-15</v>
      </c>
      <c r="AF45" s="4">
        <f>RTD("wdf.rtq",,$AB45,F$5)</f>
        <v>143.20000000000002</v>
      </c>
      <c r="AG45" s="53">
        <f>RTD("wdf.rtq",,$AB45,G$5)</f>
        <v>95</v>
      </c>
      <c r="AH45" s="4">
        <f>RTD("wdf.rtq",,$AB45,H$5)</f>
        <v>24</v>
      </c>
      <c r="AI45" s="53">
        <f>RTD("wdf.rtq",,$AB45,I$5)</f>
        <v>1</v>
      </c>
      <c r="AJ45" s="4">
        <f>RTD("wdf.rtq",,$AB45,J$5)</f>
        <v>151.20000000000002</v>
      </c>
      <c r="AK45" s="54">
        <f>RTD("wdf.rtq",,$AB45,K$5)</f>
        <v>1</v>
      </c>
      <c r="AL45" s="4">
        <f>[1]!s_dq_presettle(AB45,"")</f>
        <v>180</v>
      </c>
      <c r="AM45" s="6">
        <f t="shared" si="29"/>
        <v>107.09999999999991</v>
      </c>
      <c r="AN45" s="6">
        <f t="shared" si="30"/>
        <v>14320.000000000002</v>
      </c>
      <c r="AO45" s="6">
        <f t="shared" si="31"/>
        <v>26861.000000000015</v>
      </c>
      <c r="AP45" s="4">
        <f t="shared" si="32"/>
        <v>18250</v>
      </c>
      <c r="AQ45" s="8">
        <f t="shared" si="33"/>
        <v>41181.010000000017</v>
      </c>
      <c r="AR45" s="55">
        <f ca="1">IF(NOW()-TODAY()&gt;15/24, AG45, [1]!s_dq_volume(AB45,AR$2,1))/AI$2</f>
        <v>68</v>
      </c>
      <c r="AS45" s="110"/>
      <c r="AT45" s="110"/>
      <c r="AU45" s="110"/>
      <c r="AV45" s="110"/>
      <c r="AY45" s="10"/>
      <c r="AZ45" s="10"/>
      <c r="BA45" s="6">
        <f t="shared" ca="1" si="34"/>
        <v>2485.8333333333421</v>
      </c>
      <c r="BB45" s="6">
        <f t="shared" ca="1" si="35"/>
        <v>-16434.166666666657</v>
      </c>
      <c r="BC45" s="6">
        <f t="shared" ca="1" si="36"/>
        <v>21825.793333333346</v>
      </c>
      <c r="BD45" s="12">
        <f t="shared" ca="1" si="37"/>
        <v>21825.833333333347</v>
      </c>
      <c r="BE45" s="2">
        <f t="shared" ca="1" si="45"/>
        <v>5.6250625724568789E-3</v>
      </c>
      <c r="BF45" s="2">
        <f t="shared" ca="1" si="46"/>
        <v>-3.712081942229635E-2</v>
      </c>
      <c r="BG45" s="2">
        <f t="shared" ca="1" si="47"/>
        <v>5.0757537332720683E-2</v>
      </c>
      <c r="BH45" s="13">
        <f t="shared" ca="1" si="48"/>
        <v>5.0757632716568142E-2</v>
      </c>
      <c r="BI45" s="2">
        <f t="shared" ca="1" si="49"/>
        <v>4.106295677893522E-2</v>
      </c>
      <c r="BJ45" s="2">
        <f t="shared" ca="1" si="50"/>
        <v>-0.27098198178276334</v>
      </c>
      <c r="BK45" s="2">
        <f t="shared" ca="1" si="51"/>
        <v>0.37053002252886097</v>
      </c>
      <c r="BL45" s="40">
        <f t="shared" ca="1" si="52"/>
        <v>0.37053071883094746</v>
      </c>
      <c r="BN45" s="6">
        <f t="shared" ca="1" si="38"/>
        <v>-113.1000000000096</v>
      </c>
      <c r="BO45" s="6">
        <f t="shared" ca="1" si="39"/>
        <v>-19453.100000000013</v>
      </c>
      <c r="BP45" s="6">
        <f t="shared" ca="1" si="40"/>
        <v>18806.859999999993</v>
      </c>
      <c r="BQ45" s="12">
        <f t="shared" ca="1" si="41"/>
        <v>18806.899999999994</v>
      </c>
      <c r="BR45" s="2">
        <f t="shared" ca="1" si="53"/>
        <v>-1.0512499696755707E-3</v>
      </c>
      <c r="BS45" s="2">
        <f t="shared" ca="1" si="54"/>
        <v>-0.16914825729845379</v>
      </c>
      <c r="BT45" s="2">
        <f t="shared" ca="1" si="55"/>
        <v>0.21021183076564187</v>
      </c>
      <c r="BU45" s="13">
        <f t="shared" ca="1" si="56"/>
        <v>0.21021232485426608</v>
      </c>
      <c r="BV45" s="2">
        <f t="shared" ca="1" si="57"/>
        <v>-7.6741247786316661E-3</v>
      </c>
      <c r="BW45" s="2">
        <f t="shared" ca="1" si="58"/>
        <v>-1.2347822782787126</v>
      </c>
      <c r="BX45" s="2">
        <f t="shared" ca="1" si="59"/>
        <v>1.5345463645891857</v>
      </c>
      <c r="BY45" s="13">
        <f t="shared" ca="1" si="60"/>
        <v>1.5345499714361424</v>
      </c>
      <c r="CF45" s="39" t="str">
        <f t="shared" si="21"/>
        <v>C2020-05-3650000.CFE</v>
      </c>
      <c r="CG45" s="39" t="str">
        <f t="shared" si="22"/>
        <v>P2020-05-3650000.CFE</v>
      </c>
      <c r="CH45" s="95" t="s">
        <v>282</v>
      </c>
      <c r="CI45" s="100" t="str">
        <f>IF([1]!w_info_callput(CH45)="认购","C","P")</f>
        <v>C</v>
      </c>
      <c r="CJ45" s="104">
        <f>[1]!w_info_strikeprice(CH45,"")</f>
        <v>3650</v>
      </c>
      <c r="CK45" s="102" t="str">
        <f>[1]!w_info_lasttradingdate(CH45)</f>
        <v>2020-05-15</v>
      </c>
      <c r="CL45" s="39" t="str">
        <f t="shared" si="61"/>
        <v>IO2005-P-3650.CFE</v>
      </c>
    </row>
    <row r="46" spans="1:90">
      <c r="A46" s="35">
        <f t="shared" si="44"/>
        <v>1</v>
      </c>
      <c r="B46" s="112" t="s">
        <v>263</v>
      </c>
      <c r="C46" s="29" t="str">
        <f>IF([1]!w_info_callput(B46)="认购","C","P")</f>
        <v>C</v>
      </c>
      <c r="D46" s="96">
        <f>[1]!w_info_strikeprice(B46,"")</f>
        <v>3700</v>
      </c>
      <c r="E46" s="18" t="str">
        <f>[1]!w_info_lasttradingdate(B46)</f>
        <v>2020-05-15</v>
      </c>
      <c r="F46" s="4">
        <f>IF(G46&gt;0,RTD("wdf.rtq",,$B46,F$5),0)</f>
        <v>189.8</v>
      </c>
      <c r="G46" s="53">
        <f>RTD("wdf.rtq",,$B46,G$5)</f>
        <v>138</v>
      </c>
      <c r="H46" s="4">
        <f>RTD("wdf.rtq",,$B46,H$5)</f>
        <v>38</v>
      </c>
      <c r="I46" s="53">
        <f>RTD("wdf.rtq",,$B46,I$5)</f>
        <v>1</v>
      </c>
      <c r="J46" s="4">
        <f>RTD("wdf.rtq",,$B46,J$5)</f>
        <v>195</v>
      </c>
      <c r="K46" s="54">
        <f>RTD("wdf.rtq",,$B46,K$5)</f>
        <v>1</v>
      </c>
      <c r="L46" s="4">
        <f>[1]!s_dq_presettle(B46,"")</f>
        <v>161.6</v>
      </c>
      <c r="M46" s="6">
        <f t="shared" si="43"/>
        <v>0</v>
      </c>
      <c r="N46" s="3">
        <f t="shared" si="42"/>
        <v>16500</v>
      </c>
      <c r="O46" s="4">
        <f t="shared" si="26"/>
        <v>37571</v>
      </c>
      <c r="P46" s="4">
        <f t="shared" si="27"/>
        <v>18500</v>
      </c>
      <c r="Q46" s="8">
        <f t="shared" si="28"/>
        <v>54071.01</v>
      </c>
      <c r="R46" s="55">
        <f ca="1">IF(NOW()-TODAY()&gt;15/24, G46, [1]!s_dq_volume(B46,R$2,1))/$AI$2</f>
        <v>181</v>
      </c>
      <c r="AB46" s="39" t="s">
        <v>244</v>
      </c>
      <c r="AC46" s="29" t="str">
        <f>IF([1]!w_info_callput(AB46)="认购","C","P")</f>
        <v>P</v>
      </c>
      <c r="AD46" s="31">
        <f>[1]!w_info_strikeprice(AB46,"")</f>
        <v>3700</v>
      </c>
      <c r="AE46" s="18" t="str">
        <f>[1]!w_info_lasttradingdate(AB46)</f>
        <v>2020-05-15</v>
      </c>
      <c r="AF46" s="4">
        <f>RTD("wdf.rtq",,$AB46,F$5)</f>
        <v>165</v>
      </c>
      <c r="AG46" s="53">
        <f>RTD("wdf.rtq",,$AB46,G$5)</f>
        <v>80</v>
      </c>
      <c r="AH46" s="4">
        <f>RTD("wdf.rtq",,$AB46,H$5)</f>
        <v>155</v>
      </c>
      <c r="AI46" s="53">
        <f>RTD("wdf.rtq",,$AB46,I$5)</f>
        <v>1</v>
      </c>
      <c r="AJ46" s="4">
        <f>RTD("wdf.rtq",,$AB46,J$5)</f>
        <v>0</v>
      </c>
      <c r="AK46" s="54">
        <f>RTD("wdf.rtq",,$AB46,K$5)</f>
        <v>0</v>
      </c>
      <c r="AL46" s="4">
        <f>[1]!s_dq_presettle(AB46,"")</f>
        <v>206.2</v>
      </c>
      <c r="AM46" s="6">
        <f t="shared" si="29"/>
        <v>57.099999999999909</v>
      </c>
      <c r="AN46" s="6">
        <f t="shared" si="30"/>
        <v>16500</v>
      </c>
      <c r="AO46" s="6">
        <f t="shared" si="31"/>
        <v>31861.000000000015</v>
      </c>
      <c r="AP46" s="4">
        <f t="shared" si="32"/>
        <v>18500</v>
      </c>
      <c r="AQ46" s="8">
        <f t="shared" si="33"/>
        <v>48361.010000000017</v>
      </c>
      <c r="AR46" s="55">
        <f ca="1">IF(NOW()-TODAY()&gt;15/24, AG46, [1]!s_dq_volume(AB46,AR$2,1))/AI$2</f>
        <v>143</v>
      </c>
      <c r="AS46" s="110"/>
      <c r="AT46" s="110"/>
      <c r="AU46" s="110"/>
      <c r="AV46" s="110"/>
      <c r="AY46" s="10"/>
      <c r="AZ46" s="10"/>
      <c r="BA46" s="6">
        <f t="shared" ca="1" si="34"/>
        <v>2965.8333333333435</v>
      </c>
      <c r="BB46" s="6">
        <f t="shared" ca="1" si="35"/>
        <v>0</v>
      </c>
      <c r="BC46" s="6">
        <f t="shared" ca="1" si="36"/>
        <v>4485.7933333333413</v>
      </c>
      <c r="BD46" s="12">
        <f t="shared" ca="1" si="37"/>
        <v>4485.8333333333421</v>
      </c>
      <c r="BE46" s="2">
        <f t="shared" ca="1" si="45"/>
        <v>6.6456633082670122E-3</v>
      </c>
      <c r="BF46" s="2">
        <f t="shared" ca="1" si="46"/>
        <v>0</v>
      </c>
      <c r="BG46" s="2">
        <f t="shared" ca="1" si="47"/>
        <v>1.0074072397230445E-2</v>
      </c>
      <c r="BH46" s="13">
        <f t="shared" ca="1" si="48"/>
        <v>1.0074162680625751E-2</v>
      </c>
      <c r="BI46" s="2">
        <f t="shared" ca="1" si="49"/>
        <v>4.8513342150349192E-2</v>
      </c>
      <c r="BJ46" s="2">
        <f t="shared" ca="1" si="50"/>
        <v>0</v>
      </c>
      <c r="BK46" s="2">
        <f t="shared" ca="1" si="51"/>
        <v>7.3540728499782243E-2</v>
      </c>
      <c r="BL46" s="40">
        <f t="shared" ca="1" si="52"/>
        <v>7.3541387568567984E-2</v>
      </c>
      <c r="BN46" s="6">
        <f t="shared" ca="1" si="38"/>
        <v>-593.10000000001071</v>
      </c>
      <c r="BO46" s="6">
        <f t="shared" ca="1" si="39"/>
        <v>-2113.1000000000095</v>
      </c>
      <c r="BP46" s="6">
        <f t="shared" ca="1" si="40"/>
        <v>0</v>
      </c>
      <c r="BQ46" s="12">
        <f t="shared" ca="1" si="41"/>
        <v>0</v>
      </c>
      <c r="BR46" s="2">
        <f t="shared" ca="1" si="53"/>
        <v>-5.2754602329831328E-3</v>
      </c>
      <c r="BS46" s="2">
        <f t="shared" ca="1" si="54"/>
        <v>-1.8708905770277808E-2</v>
      </c>
      <c r="BT46" s="2">
        <f t="shared" ca="1" si="55"/>
        <v>0</v>
      </c>
      <c r="BU46" s="13">
        <f t="shared" ca="1" si="56"/>
        <v>0</v>
      </c>
      <c r="BV46" s="2">
        <f t="shared" ca="1" si="57"/>
        <v>-3.8510859700776869E-2</v>
      </c>
      <c r="BW46" s="2">
        <f t="shared" ca="1" si="58"/>
        <v>-0.136575012123028</v>
      </c>
      <c r="BX46" s="2">
        <f t="shared" ca="1" si="59"/>
        <v>0</v>
      </c>
      <c r="BY46" s="13">
        <f t="shared" ca="1" si="60"/>
        <v>0</v>
      </c>
      <c r="CF46" s="39" t="str">
        <f t="shared" si="21"/>
        <v>C2020-05-3700000.CFE</v>
      </c>
      <c r="CG46" s="39" t="str">
        <f t="shared" si="22"/>
        <v>P2020-05-3700000.CFE</v>
      </c>
      <c r="CH46" s="95" t="s">
        <v>263</v>
      </c>
      <c r="CI46" s="100" t="str">
        <f>IF([1]!w_info_callput(CH46)="认购","C","P")</f>
        <v>C</v>
      </c>
      <c r="CJ46" s="104">
        <f>[1]!w_info_strikeprice(CH46,"")</f>
        <v>3700</v>
      </c>
      <c r="CK46" s="102" t="str">
        <f>[1]!w_info_lasttradingdate(CH46)</f>
        <v>2020-05-15</v>
      </c>
      <c r="CL46" s="39" t="str">
        <f t="shared" si="61"/>
        <v>IO2005-P-3700.CFE</v>
      </c>
    </row>
    <row r="47" spans="1:90">
      <c r="A47" s="35">
        <f t="shared" si="44"/>
        <v>1</v>
      </c>
      <c r="B47" s="112" t="s">
        <v>264</v>
      </c>
      <c r="C47" s="29" t="str">
        <f>IF([1]!w_info_callput(B47)="认购","C","P")</f>
        <v>C</v>
      </c>
      <c r="D47" s="96">
        <f>[1]!w_info_strikeprice(B47,"")</f>
        <v>3750</v>
      </c>
      <c r="E47" s="18" t="str">
        <f>[1]!w_info_lasttradingdate(B47)</f>
        <v>2020-05-15</v>
      </c>
      <c r="F47" s="4">
        <f>IF(G47&gt;0,RTD("wdf.rtq",,$B47,F$5),0)</f>
        <v>161.6</v>
      </c>
      <c r="G47" s="53">
        <f>RTD("wdf.rtq",,$B47,G$5)</f>
        <v>84</v>
      </c>
      <c r="H47" s="4">
        <f>RTD("wdf.rtq",,$B47,H$5)</f>
        <v>38</v>
      </c>
      <c r="I47" s="53">
        <f>RTD("wdf.rtq",,$B47,I$5)</f>
        <v>1</v>
      </c>
      <c r="J47" s="4">
        <f>RTD("wdf.rtq",,$B47,J$5)</f>
        <v>167.8</v>
      </c>
      <c r="K47" s="54">
        <f>RTD("wdf.rtq",,$B47,K$5)</f>
        <v>1</v>
      </c>
      <c r="L47" s="4">
        <f>[1]!s_dq_presettle(B47,"")</f>
        <v>140</v>
      </c>
      <c r="M47" s="6">
        <f t="shared" si="43"/>
        <v>0</v>
      </c>
      <c r="N47" s="3">
        <f t="shared" si="42"/>
        <v>18820</v>
      </c>
      <c r="O47" s="4">
        <f t="shared" si="26"/>
        <v>37571</v>
      </c>
      <c r="P47" s="4">
        <f t="shared" si="27"/>
        <v>18750</v>
      </c>
      <c r="Q47" s="8">
        <f t="shared" si="28"/>
        <v>56391.01</v>
      </c>
      <c r="R47" s="55">
        <f ca="1">IF(NOW()-TODAY()&gt;15/24, G47, [1]!s_dq_volume(B47,R$2,1))/$AI$2</f>
        <v>146</v>
      </c>
      <c r="AB47" s="39" t="s">
        <v>245</v>
      </c>
      <c r="AC47" s="29" t="str">
        <f>IF([1]!w_info_callput(AB47)="认购","C","P")</f>
        <v>P</v>
      </c>
      <c r="AD47" s="31">
        <f>[1]!w_info_strikeprice(AB47,"")</f>
        <v>3750</v>
      </c>
      <c r="AE47" s="18" t="str">
        <f>[1]!w_info_lasttradingdate(AB47)</f>
        <v>2020-05-15</v>
      </c>
      <c r="AF47" s="4">
        <f>RTD("wdf.rtq",,$AB47,F$5)</f>
        <v>188.20000000000002</v>
      </c>
      <c r="AG47" s="53">
        <f>RTD("wdf.rtq",,$AB47,G$5)</f>
        <v>43</v>
      </c>
      <c r="AH47" s="4">
        <f>RTD("wdf.rtq",,$AB47,H$5)</f>
        <v>7</v>
      </c>
      <c r="AI47" s="53">
        <f>RTD("wdf.rtq",,$AB47,I$5)</f>
        <v>3</v>
      </c>
      <c r="AJ47" s="4">
        <f>RTD("wdf.rtq",,$AB47,J$5)</f>
        <v>0</v>
      </c>
      <c r="AK47" s="54">
        <f>RTD("wdf.rtq",,$AB47,K$5)</f>
        <v>0</v>
      </c>
      <c r="AL47" s="4">
        <f>[1]!s_dq_presettle(AB47,"")</f>
        <v>237.2</v>
      </c>
      <c r="AM47" s="6">
        <f t="shared" si="29"/>
        <v>7.0999999999999091</v>
      </c>
      <c r="AN47" s="6">
        <f t="shared" si="30"/>
        <v>18820</v>
      </c>
      <c r="AO47" s="6">
        <f t="shared" si="31"/>
        <v>36861.000000000015</v>
      </c>
      <c r="AP47" s="4">
        <f t="shared" si="32"/>
        <v>18750</v>
      </c>
      <c r="AQ47" s="8">
        <f t="shared" si="33"/>
        <v>55681.010000000017</v>
      </c>
      <c r="AR47" s="55">
        <f ca="1">IF(NOW()-TODAY()&gt;15/24, AG47, [1]!s_dq_volume(AB47,AR$2,1))/AI$2</f>
        <v>48</v>
      </c>
      <c r="AS47" s="110"/>
      <c r="AT47" s="110"/>
      <c r="AU47" s="110"/>
      <c r="AV47" s="110"/>
      <c r="AY47" s="10"/>
      <c r="AZ47" s="10"/>
      <c r="BA47" s="6">
        <f t="shared" ca="1" si="34"/>
        <v>2825.8333333333399</v>
      </c>
      <c r="BB47" s="6">
        <f t="shared" ca="1" si="35"/>
        <v>0</v>
      </c>
      <c r="BC47" s="6">
        <f t="shared" ca="1" si="36"/>
        <v>21565.793333333342</v>
      </c>
      <c r="BD47" s="12">
        <f t="shared" ca="1" si="37"/>
        <v>21565.833333333343</v>
      </c>
      <c r="BE47" s="2">
        <f t="shared" ca="1" si="45"/>
        <v>6.2668034326751366E-3</v>
      </c>
      <c r="BF47" s="2">
        <f t="shared" ca="1" si="46"/>
        <v>0</v>
      </c>
      <c r="BG47" s="2">
        <f t="shared" ca="1" si="47"/>
        <v>4.9828424237653372E-2</v>
      </c>
      <c r="BH47" s="13">
        <f t="shared" ca="1" si="48"/>
        <v>4.9828518961481494E-2</v>
      </c>
      <c r="BI47" s="2">
        <f t="shared" ca="1" si="49"/>
        <v>4.5747665058528494E-2</v>
      </c>
      <c r="BJ47" s="2">
        <f t="shared" ca="1" si="50"/>
        <v>0</v>
      </c>
      <c r="BK47" s="2">
        <f t="shared" ca="1" si="51"/>
        <v>0.36374749693486963</v>
      </c>
      <c r="BL47" s="40">
        <f t="shared" ca="1" si="52"/>
        <v>0.3637481884188149</v>
      </c>
      <c r="BN47" s="6">
        <f t="shared" ca="1" si="38"/>
        <v>-453.1000000000073</v>
      </c>
      <c r="BO47" s="6">
        <f t="shared" ca="1" si="39"/>
        <v>-19193.100000000009</v>
      </c>
      <c r="BP47" s="6">
        <f t="shared" ca="1" si="40"/>
        <v>0</v>
      </c>
      <c r="BQ47" s="12">
        <f t="shared" ca="1" si="41"/>
        <v>0</v>
      </c>
      <c r="BR47" s="2">
        <f t="shared" ca="1" si="53"/>
        <v>-3.8750935312108999E-3</v>
      </c>
      <c r="BS47" s="2">
        <f t="shared" ca="1" si="54"/>
        <v>-0.16328131719431879</v>
      </c>
      <c r="BT47" s="2">
        <f t="shared" ca="1" si="55"/>
        <v>0</v>
      </c>
      <c r="BU47" s="13">
        <f t="shared" ca="1" si="56"/>
        <v>0</v>
      </c>
      <c r="BV47" s="2">
        <f t="shared" ca="1" si="57"/>
        <v>-2.8288182777839569E-2</v>
      </c>
      <c r="BW47" s="2">
        <f t="shared" ca="1" si="58"/>
        <v>-1.1919536155185271</v>
      </c>
      <c r="BX47" s="2">
        <f t="shared" ca="1" si="59"/>
        <v>0</v>
      </c>
      <c r="BY47" s="13">
        <f t="shared" ca="1" si="60"/>
        <v>0</v>
      </c>
      <c r="CF47" s="39" t="str">
        <f t="shared" si="21"/>
        <v>C2020-05-3750000.CFE</v>
      </c>
      <c r="CG47" s="39" t="str">
        <f t="shared" si="22"/>
        <v>P2020-05-3750000.CFE</v>
      </c>
      <c r="CH47" s="95" t="s">
        <v>264</v>
      </c>
      <c r="CI47" s="100" t="str">
        <f>IF([1]!w_info_callput(CH47)="认购","C","P")</f>
        <v>C</v>
      </c>
      <c r="CJ47" s="104">
        <f>[1]!w_info_strikeprice(CH47,"")</f>
        <v>3750</v>
      </c>
      <c r="CK47" s="102" t="str">
        <f>[1]!w_info_lasttradingdate(CH47)</f>
        <v>2020-05-15</v>
      </c>
      <c r="CL47" s="39" t="str">
        <f t="shared" si="61"/>
        <v>IO2005-P-3750.CFE</v>
      </c>
    </row>
    <row r="48" spans="1:90">
      <c r="A48" s="35">
        <f t="shared" si="44"/>
        <v>1</v>
      </c>
      <c r="B48" s="112" t="s">
        <v>265</v>
      </c>
      <c r="C48" s="29" t="str">
        <f>IF([1]!w_info_callput(B48)="认购","C","P")</f>
        <v>C</v>
      </c>
      <c r="D48" s="96">
        <f>[1]!w_info_strikeprice(B48,"")</f>
        <v>3800</v>
      </c>
      <c r="E48" s="18" t="str">
        <f>[1]!w_info_lasttradingdate(B48)</f>
        <v>2020-05-15</v>
      </c>
      <c r="F48" s="4">
        <f>IF(G48&gt;0,RTD("wdf.rtq",,$B48,F$5),0)</f>
        <v>145.20000000000002</v>
      </c>
      <c r="G48" s="53">
        <f>RTD("wdf.rtq",,$B48,G$5)</f>
        <v>121</v>
      </c>
      <c r="H48" s="4">
        <f>RTD("wdf.rtq",,$B48,H$5)</f>
        <v>139.6</v>
      </c>
      <c r="I48" s="53">
        <f>RTD("wdf.rtq",,$B48,I$5)</f>
        <v>1</v>
      </c>
      <c r="J48" s="4">
        <f>RTD("wdf.rtq",,$B48,J$5)</f>
        <v>0</v>
      </c>
      <c r="K48" s="54">
        <f>RTD("wdf.rtq",,$B48,K$5)</f>
        <v>0</v>
      </c>
      <c r="L48" s="4">
        <f>[1]!s_dq_presettle(B48,"")</f>
        <v>122</v>
      </c>
      <c r="M48" s="6">
        <f t="shared" si="43"/>
        <v>42.900000000000091</v>
      </c>
      <c r="N48" s="3">
        <f t="shared" si="42"/>
        <v>21820</v>
      </c>
      <c r="O48" s="4">
        <f t="shared" si="26"/>
        <v>33280.999999999993</v>
      </c>
      <c r="P48" s="4">
        <f t="shared" si="27"/>
        <v>19000</v>
      </c>
      <c r="Q48" s="8">
        <f t="shared" si="28"/>
        <v>55101.009999999995</v>
      </c>
      <c r="R48" s="55">
        <f ca="1">IF(NOW()-TODAY()&gt;15/24, G48, [1]!s_dq_volume(B48,R$2,1))/$AI$2</f>
        <v>212</v>
      </c>
      <c r="AB48" s="39" t="s">
        <v>246</v>
      </c>
      <c r="AC48" s="29" t="str">
        <f>IF([1]!w_info_callput(AB48)="认购","C","P")</f>
        <v>P</v>
      </c>
      <c r="AD48" s="31">
        <f>[1]!w_info_strikeprice(AB48,"")</f>
        <v>3800</v>
      </c>
      <c r="AE48" s="18" t="str">
        <f>[1]!w_info_lasttradingdate(AB48)</f>
        <v>2020-05-15</v>
      </c>
      <c r="AF48" s="4">
        <f>RTD("wdf.rtq",,$AB48,F$5)</f>
        <v>218.20000000000002</v>
      </c>
      <c r="AG48" s="53">
        <f>RTD("wdf.rtq",,$AB48,G$5)</f>
        <v>23</v>
      </c>
      <c r="AH48" s="4">
        <f>RTD("wdf.rtq",,$AB48,H$5)</f>
        <v>7</v>
      </c>
      <c r="AI48" s="53">
        <f>RTD("wdf.rtq",,$AB48,I$5)</f>
        <v>3</v>
      </c>
      <c r="AJ48" s="4">
        <f>RTD("wdf.rtq",,$AB48,J$5)</f>
        <v>0</v>
      </c>
      <c r="AK48" s="54">
        <f>RTD("wdf.rtq",,$AB48,K$5)</f>
        <v>0</v>
      </c>
      <c r="AL48" s="4">
        <f>[1]!s_dq_presettle(AB48,"")</f>
        <v>268.39999999999998</v>
      </c>
      <c r="AM48" s="6">
        <f t="shared" si="29"/>
        <v>0</v>
      </c>
      <c r="AN48" s="6">
        <f t="shared" si="30"/>
        <v>21820</v>
      </c>
      <c r="AO48" s="6">
        <f t="shared" si="31"/>
        <v>37571</v>
      </c>
      <c r="AP48" s="4">
        <f t="shared" si="32"/>
        <v>19000</v>
      </c>
      <c r="AQ48" s="8">
        <f t="shared" si="33"/>
        <v>59391.01</v>
      </c>
      <c r="AR48" s="55">
        <f ca="1">IF(NOW()-TODAY()&gt;15/24, AG48, [1]!s_dq_volume(AB48,AR$2,1))/AI$2</f>
        <v>23</v>
      </c>
      <c r="AS48" s="110"/>
      <c r="AT48" s="110"/>
      <c r="AU48" s="110"/>
      <c r="AV48" s="110"/>
      <c r="AY48" s="10"/>
      <c r="AZ48" s="10"/>
      <c r="BA48" s="6">
        <f t="shared" ca="1" si="34"/>
        <v>3185.8333333333421</v>
      </c>
      <c r="BB48" s="6">
        <f t="shared" ca="1" si="35"/>
        <v>0</v>
      </c>
      <c r="BC48" s="6">
        <f t="shared" ca="1" si="36"/>
        <v>0</v>
      </c>
      <c r="BD48" s="12">
        <f t="shared" ca="1" si="37"/>
        <v>0</v>
      </c>
      <c r="BE48" s="2">
        <f t="shared" ca="1" si="45"/>
        <v>7.0384778394510404E-3</v>
      </c>
      <c r="BF48" s="2">
        <f t="shared" ca="1" si="46"/>
        <v>0</v>
      </c>
      <c r="BG48" s="2">
        <f t="shared" ca="1" si="47"/>
        <v>0</v>
      </c>
      <c r="BH48" s="13">
        <f t="shared" ca="1" si="48"/>
        <v>0</v>
      </c>
      <c r="BI48" s="2">
        <f t="shared" ca="1" si="49"/>
        <v>5.1380888227992597E-2</v>
      </c>
      <c r="BJ48" s="2">
        <f t="shared" ca="1" si="50"/>
        <v>0</v>
      </c>
      <c r="BK48" s="2">
        <f t="shared" ca="1" si="51"/>
        <v>0</v>
      </c>
      <c r="BL48" s="40">
        <f t="shared" ca="1" si="52"/>
        <v>0</v>
      </c>
      <c r="BN48" s="6">
        <f t="shared" ca="1" si="38"/>
        <v>-813.10000000000957</v>
      </c>
      <c r="BO48" s="6">
        <f t="shared" ca="1" si="39"/>
        <v>0</v>
      </c>
      <c r="BP48" s="6">
        <f t="shared" ca="1" si="40"/>
        <v>0</v>
      </c>
      <c r="BQ48" s="12">
        <f t="shared" ca="1" si="41"/>
        <v>0</v>
      </c>
      <c r="BR48" s="2">
        <f t="shared" ca="1" si="53"/>
        <v>-6.8329907313855586E-3</v>
      </c>
      <c r="BS48" s="2">
        <f t="shared" ca="1" si="54"/>
        <v>0</v>
      </c>
      <c r="BT48" s="2">
        <f t="shared" ca="1" si="55"/>
        <v>0</v>
      </c>
      <c r="BU48" s="13">
        <f t="shared" ca="1" si="56"/>
        <v>0</v>
      </c>
      <c r="BV48" s="2">
        <f t="shared" ca="1" si="57"/>
        <v>-4.9880832339114577E-2</v>
      </c>
      <c r="BW48" s="2">
        <f t="shared" ca="1" si="58"/>
        <v>0</v>
      </c>
      <c r="BX48" s="2">
        <f t="shared" ca="1" si="59"/>
        <v>0</v>
      </c>
      <c r="BY48" s="13">
        <f t="shared" ca="1" si="60"/>
        <v>0</v>
      </c>
      <c r="CF48" s="39" t="str">
        <f t="shared" si="21"/>
        <v>C2020-05-3800000.CFE</v>
      </c>
      <c r="CG48" s="39" t="str">
        <f t="shared" si="22"/>
        <v>P2020-05-3800000.CFE</v>
      </c>
      <c r="CH48" s="95" t="s">
        <v>265</v>
      </c>
      <c r="CI48" s="100" t="str">
        <f>IF([1]!w_info_callput(CH48)="认购","C","P")</f>
        <v>C</v>
      </c>
      <c r="CJ48" s="104">
        <f>[1]!w_info_strikeprice(CH48,"")</f>
        <v>3800</v>
      </c>
      <c r="CK48" s="102" t="str">
        <f>[1]!w_info_lasttradingdate(CH48)</f>
        <v>2020-05-15</v>
      </c>
      <c r="CL48" s="39" t="str">
        <f t="shared" si="61"/>
        <v>IO2005-P-3800.CFE</v>
      </c>
    </row>
    <row r="49" spans="1:90">
      <c r="A49" s="35">
        <f t="shared" si="44"/>
        <v>1</v>
      </c>
      <c r="B49" s="112" t="s">
        <v>266</v>
      </c>
      <c r="C49" s="29" t="str">
        <f>IF([1]!w_info_callput(B49)="认购","C","P")</f>
        <v>C</v>
      </c>
      <c r="D49" s="96">
        <f>[1]!w_info_strikeprice(B49,"")</f>
        <v>3850</v>
      </c>
      <c r="E49" s="18" t="str">
        <f>[1]!w_info_lasttradingdate(B49)</f>
        <v>2020-05-15</v>
      </c>
      <c r="F49" s="4">
        <f>IF(G49&gt;0,RTD("wdf.rtq",,$B49,F$5),0)</f>
        <v>121.60000000000001</v>
      </c>
      <c r="G49" s="53">
        <f>RTD("wdf.rtq",,$B49,G$5)</f>
        <v>44</v>
      </c>
      <c r="H49" s="4">
        <f>RTD("wdf.rtq",,$B49,H$5)</f>
        <v>118.60000000000001</v>
      </c>
      <c r="I49" s="53">
        <f>RTD("wdf.rtq",,$B49,I$5)</f>
        <v>1</v>
      </c>
      <c r="J49" s="4">
        <f>RTD("wdf.rtq",,$B49,J$5)</f>
        <v>420</v>
      </c>
      <c r="K49" s="54">
        <f>RTD("wdf.rtq",,$B49,K$5)</f>
        <v>3</v>
      </c>
      <c r="L49" s="4">
        <f>[1]!s_dq_presettle(B49,"")</f>
        <v>102.2</v>
      </c>
      <c r="M49" s="6">
        <f t="shared" si="43"/>
        <v>92.900000000000091</v>
      </c>
      <c r="N49" s="3">
        <f t="shared" si="42"/>
        <v>25100</v>
      </c>
      <c r="O49" s="4">
        <f t="shared" si="26"/>
        <v>28280.999999999993</v>
      </c>
      <c r="P49" s="4">
        <f t="shared" si="27"/>
        <v>19250</v>
      </c>
      <c r="Q49" s="8">
        <f t="shared" si="28"/>
        <v>53381.009999999995</v>
      </c>
      <c r="R49" s="55">
        <f ca="1">IF(NOW()-TODAY()&gt;15/24, G49, [1]!s_dq_volume(B49,R$2,1))/$AI$2</f>
        <v>54</v>
      </c>
      <c r="AB49" s="39" t="s">
        <v>247</v>
      </c>
      <c r="AC49" s="29" t="str">
        <f>IF([1]!w_info_callput(AB49)="认购","C","P")</f>
        <v>P</v>
      </c>
      <c r="AD49" s="31">
        <f>[1]!w_info_strikeprice(AB49,"")</f>
        <v>3850</v>
      </c>
      <c r="AE49" s="18" t="str">
        <f>[1]!w_info_lasttradingdate(AB49)</f>
        <v>2020-05-15</v>
      </c>
      <c r="AF49" s="4">
        <f>RTD("wdf.rtq",,$AB49,F$5)</f>
        <v>251</v>
      </c>
      <c r="AG49" s="53">
        <f>RTD("wdf.rtq",,$AB49,G$5)</f>
        <v>1</v>
      </c>
      <c r="AH49" s="4">
        <f>RTD("wdf.rtq",,$AB49,H$5)</f>
        <v>2</v>
      </c>
      <c r="AI49" s="53">
        <f>RTD("wdf.rtq",,$AB49,I$5)</f>
        <v>1</v>
      </c>
      <c r="AJ49" s="4">
        <f>RTD("wdf.rtq",,$AB49,J$5)</f>
        <v>0</v>
      </c>
      <c r="AK49" s="54">
        <f>RTD("wdf.rtq",,$AB49,K$5)</f>
        <v>0</v>
      </c>
      <c r="AL49" s="4">
        <f>[1]!s_dq_presettle(AB49,"")</f>
        <v>301.60000000000002</v>
      </c>
      <c r="AM49" s="6">
        <f t="shared" si="29"/>
        <v>0</v>
      </c>
      <c r="AN49" s="6">
        <f t="shared" si="30"/>
        <v>25100</v>
      </c>
      <c r="AO49" s="6">
        <f t="shared" si="31"/>
        <v>37571</v>
      </c>
      <c r="AP49" s="4">
        <f t="shared" si="32"/>
        <v>19250</v>
      </c>
      <c r="AQ49" s="8">
        <f t="shared" si="33"/>
        <v>62671.01</v>
      </c>
      <c r="AR49" s="55">
        <f ca="1">IF(NOW()-TODAY()&gt;15/24, AG49, [1]!s_dq_volume(AB49,AR$2,1))/AI$2</f>
        <v>7</v>
      </c>
      <c r="AS49" s="110"/>
      <c r="AT49" s="110"/>
      <c r="AU49" s="110"/>
      <c r="AV49" s="110"/>
      <c r="AY49" s="10"/>
      <c r="AZ49" s="10"/>
      <c r="BA49" s="6">
        <f t="shared" ca="1" si="34"/>
        <v>2545.8333333333444</v>
      </c>
      <c r="BB49" s="6">
        <f t="shared" ca="1" si="35"/>
        <v>0</v>
      </c>
      <c r="BC49" s="6">
        <f t="shared" ca="1" si="36"/>
        <v>57285.793333333349</v>
      </c>
      <c r="BD49" s="12">
        <f t="shared" ca="1" si="37"/>
        <v>57285.833333333343</v>
      </c>
      <c r="BE49" s="2">
        <f t="shared" ca="1" si="45"/>
        <v>5.6052041482136435E-3</v>
      </c>
      <c r="BF49" s="2">
        <f t="shared" ca="1" si="46"/>
        <v>0</v>
      </c>
      <c r="BG49" s="2">
        <f t="shared" ca="1" si="47"/>
        <v>0.13344279132348363</v>
      </c>
      <c r="BH49" s="13">
        <f t="shared" ca="1" si="48"/>
        <v>0.13344289071726273</v>
      </c>
      <c r="BI49" s="2">
        <f t="shared" ca="1" si="49"/>
        <v>4.0917990281959603E-2</v>
      </c>
      <c r="BJ49" s="2">
        <f t="shared" ca="1" si="50"/>
        <v>0</v>
      </c>
      <c r="BK49" s="2">
        <f t="shared" ca="1" si="51"/>
        <v>0.97413237666143049</v>
      </c>
      <c r="BL49" s="40">
        <f t="shared" ca="1" si="52"/>
        <v>0.97413310223601801</v>
      </c>
      <c r="BN49" s="6">
        <f t="shared" ca="1" si="38"/>
        <v>-173.10000000001187</v>
      </c>
      <c r="BO49" s="6">
        <f t="shared" ca="1" si="39"/>
        <v>-54913.100000000013</v>
      </c>
      <c r="BP49" s="6">
        <f t="shared" ca="1" si="40"/>
        <v>0</v>
      </c>
      <c r="BQ49" s="12">
        <f t="shared" ca="1" si="41"/>
        <v>0</v>
      </c>
      <c r="BR49" s="2">
        <f t="shared" ca="1" si="53"/>
        <v>-1.4435079294118109E-3</v>
      </c>
      <c r="BS49" s="2">
        <f t="shared" ca="1" si="54"/>
        <v>-0.36668329146417378</v>
      </c>
      <c r="BT49" s="2">
        <f t="shared" ca="1" si="55"/>
        <v>0</v>
      </c>
      <c r="BU49" s="13">
        <f t="shared" ca="1" si="56"/>
        <v>0</v>
      </c>
      <c r="BV49" s="2">
        <f t="shared" ca="1" si="57"/>
        <v>-1.0537607884706219E-2</v>
      </c>
      <c r="BW49" s="2">
        <f t="shared" ca="1" si="58"/>
        <v>-2.6767880276884686</v>
      </c>
      <c r="BX49" s="2">
        <f t="shared" ca="1" si="59"/>
        <v>0</v>
      </c>
      <c r="BY49" s="13">
        <f t="shared" ca="1" si="60"/>
        <v>0</v>
      </c>
      <c r="CF49" s="39" t="str">
        <f t="shared" si="21"/>
        <v>C2020-05-3850000.CFE</v>
      </c>
      <c r="CG49" s="39" t="str">
        <f t="shared" si="22"/>
        <v>P2020-05-3850000.CFE</v>
      </c>
      <c r="CH49" s="95" t="s">
        <v>266</v>
      </c>
      <c r="CI49" s="100" t="str">
        <f>IF([1]!w_info_callput(CH49)="认购","C","P")</f>
        <v>C</v>
      </c>
      <c r="CJ49" s="104">
        <f>[1]!w_info_strikeprice(CH49,"")</f>
        <v>3850</v>
      </c>
      <c r="CK49" s="102" t="str">
        <f>[1]!w_info_lasttradingdate(CH49)</f>
        <v>2020-05-15</v>
      </c>
      <c r="CL49" s="39" t="str">
        <f t="shared" si="61"/>
        <v>IO2005-P-3850.CFE</v>
      </c>
    </row>
    <row r="50" spans="1:90">
      <c r="A50" s="35">
        <f t="shared" si="44"/>
        <v>1</v>
      </c>
      <c r="B50" s="112" t="s">
        <v>267</v>
      </c>
      <c r="C50" s="29" t="str">
        <f>IF([1]!w_info_callput(B50)="认购","C","P")</f>
        <v>C</v>
      </c>
      <c r="D50" s="96">
        <f>[1]!w_info_strikeprice(B50,"")</f>
        <v>3900</v>
      </c>
      <c r="E50" s="18" t="str">
        <f>[1]!w_info_lasttradingdate(B50)</f>
        <v>2020-05-15</v>
      </c>
      <c r="F50" s="4">
        <f>IF(G50&gt;0,RTD("wdf.rtq",,$B50,F$5),0)</f>
        <v>107.60000000000001</v>
      </c>
      <c r="G50" s="53">
        <f>RTD("wdf.rtq",,$B50,G$5)</f>
        <v>70</v>
      </c>
      <c r="H50" s="4">
        <f>RTD("wdf.rtq",,$B50,H$5)</f>
        <v>94.600000000000009</v>
      </c>
      <c r="I50" s="53">
        <f>RTD("wdf.rtq",,$B50,I$5)</f>
        <v>1</v>
      </c>
      <c r="J50" s="4">
        <f>RTD("wdf.rtq",,$B50,J$5)</f>
        <v>108.8</v>
      </c>
      <c r="K50" s="54">
        <f>RTD("wdf.rtq",,$B50,K$5)</f>
        <v>5</v>
      </c>
      <c r="L50" s="4">
        <f>[1]!s_dq_presettle(B50,"")</f>
        <v>88.6</v>
      </c>
      <c r="M50" s="6">
        <f t="shared" si="43"/>
        <v>142.90000000000009</v>
      </c>
      <c r="N50" s="3">
        <f t="shared" si="42"/>
        <v>30500</v>
      </c>
      <c r="O50" s="4">
        <f t="shared" si="26"/>
        <v>23280.999999999993</v>
      </c>
      <c r="P50" s="4">
        <f t="shared" si="27"/>
        <v>19500</v>
      </c>
      <c r="Q50" s="8">
        <f t="shared" si="28"/>
        <v>53781.009999999995</v>
      </c>
      <c r="R50" s="55">
        <f ca="1">IF(NOW()-TODAY()&gt;15/24, G50, [1]!s_dq_volume(B50,R$2,1))/$AI$2</f>
        <v>183</v>
      </c>
      <c r="AB50" s="39" t="s">
        <v>248</v>
      </c>
      <c r="AC50" s="29" t="str">
        <f>IF([1]!w_info_callput(AB50)="认购","C","P")</f>
        <v>P</v>
      </c>
      <c r="AD50" s="31">
        <f>[1]!w_info_strikeprice(AB50,"")</f>
        <v>3900</v>
      </c>
      <c r="AE50" s="18" t="str">
        <f>[1]!w_info_lasttradingdate(AB50)</f>
        <v>2020-05-15</v>
      </c>
      <c r="AF50" s="4">
        <f>RTD("wdf.rtq",,$AB50,F$5)</f>
        <v>305</v>
      </c>
      <c r="AG50" s="53">
        <f>RTD("wdf.rtq",,$AB50,G$5)</f>
        <v>12</v>
      </c>
      <c r="AH50" s="4">
        <f>RTD("wdf.rtq",,$AB50,H$5)</f>
        <v>103.2</v>
      </c>
      <c r="AI50" s="53">
        <f>RTD("wdf.rtq",,$AB50,I$5)</f>
        <v>1</v>
      </c>
      <c r="AJ50" s="4">
        <f>RTD("wdf.rtq",,$AB50,J$5)</f>
        <v>0</v>
      </c>
      <c r="AK50" s="54">
        <f>RTD("wdf.rtq",,$AB50,K$5)</f>
        <v>0</v>
      </c>
      <c r="AL50" s="4">
        <f>[1]!s_dq_presettle(AB50,"")</f>
        <v>336.8</v>
      </c>
      <c r="AM50" s="6">
        <f t="shared" si="29"/>
        <v>0</v>
      </c>
      <c r="AN50" s="6">
        <f t="shared" si="30"/>
        <v>30500</v>
      </c>
      <c r="AO50" s="6">
        <f t="shared" si="31"/>
        <v>37571</v>
      </c>
      <c r="AP50" s="4">
        <f t="shared" si="32"/>
        <v>19500</v>
      </c>
      <c r="AQ50" s="8">
        <f t="shared" si="33"/>
        <v>68071.009999999995</v>
      </c>
      <c r="AR50" s="55">
        <f ca="1">IF(NOW()-TODAY()&gt;15/24, AG50, [1]!s_dq_volume(AB50,AR$2,1))/AI$2</f>
        <v>27</v>
      </c>
      <c r="AS50" s="110"/>
      <c r="AT50" s="110"/>
      <c r="AU50" s="110"/>
      <c r="AV50" s="110"/>
      <c r="AY50" s="10"/>
      <c r="AZ50" s="10"/>
      <c r="BA50" s="6">
        <f t="shared" ca="1" si="34"/>
        <v>745.83333333334463</v>
      </c>
      <c r="BB50" s="6">
        <f t="shared" ca="1" si="35"/>
        <v>0</v>
      </c>
      <c r="BC50" s="6">
        <f t="shared" ca="1" si="36"/>
        <v>21045.793333333342</v>
      </c>
      <c r="BD50" s="12">
        <f t="shared" ca="1" si="37"/>
        <v>21045.833333333343</v>
      </c>
      <c r="BE50" s="2">
        <f t="shared" ca="1" si="45"/>
        <v>1.6214084995559905E-3</v>
      </c>
      <c r="BF50" s="2">
        <f t="shared" ca="1" si="46"/>
        <v>0</v>
      </c>
      <c r="BG50" s="2">
        <f t="shared" ca="1" si="47"/>
        <v>4.7851899788264388E-2</v>
      </c>
      <c r="BH50" s="13">
        <f t="shared" ca="1" si="48"/>
        <v>4.7851992912440598E-2</v>
      </c>
      <c r="BI50" s="2">
        <f t="shared" ca="1" si="49"/>
        <v>1.1836282046758731E-2</v>
      </c>
      <c r="BJ50" s="2">
        <f t="shared" ca="1" si="50"/>
        <v>0</v>
      </c>
      <c r="BK50" s="2">
        <f t="shared" ca="1" si="51"/>
        <v>0.34931886845433008</v>
      </c>
      <c r="BL50" s="40">
        <f t="shared" ca="1" si="52"/>
        <v>0.34931954826081635</v>
      </c>
      <c r="BN50" s="6">
        <f t="shared" ca="1" si="38"/>
        <v>1626.899999999988</v>
      </c>
      <c r="BO50" s="6">
        <f t="shared" ca="1" si="39"/>
        <v>-18673.100000000009</v>
      </c>
      <c r="BP50" s="6">
        <f t="shared" ca="1" si="40"/>
        <v>0</v>
      </c>
      <c r="BQ50" s="12">
        <f t="shared" ca="1" si="41"/>
        <v>0</v>
      </c>
      <c r="BR50" s="2">
        <f t="shared" ca="1" si="53"/>
        <v>1.3129032916678038E-2</v>
      </c>
      <c r="BS50" s="2">
        <f t="shared" ca="1" si="54"/>
        <v>-0.15054555439899373</v>
      </c>
      <c r="BT50" s="2">
        <f t="shared" ca="1" si="55"/>
        <v>0</v>
      </c>
      <c r="BU50" s="13">
        <f t="shared" ca="1" si="56"/>
        <v>0</v>
      </c>
      <c r="BV50" s="2">
        <f t="shared" ca="1" si="57"/>
        <v>9.584194029174968E-2</v>
      </c>
      <c r="BW50" s="2">
        <f t="shared" ca="1" si="58"/>
        <v>-1.0989825471126542</v>
      </c>
      <c r="BX50" s="2">
        <f t="shared" ca="1" si="59"/>
        <v>0</v>
      </c>
      <c r="BY50" s="13">
        <f t="shared" ca="1" si="60"/>
        <v>0</v>
      </c>
      <c r="CF50" s="39" t="str">
        <f t="shared" si="21"/>
        <v>C2020-05-3900000.CFE</v>
      </c>
      <c r="CG50" s="39" t="str">
        <f t="shared" si="22"/>
        <v>P2020-05-3900000.CFE</v>
      </c>
      <c r="CH50" s="95" t="s">
        <v>267</v>
      </c>
      <c r="CI50" s="100" t="str">
        <f>IF([1]!w_info_callput(CH50)="认购","C","P")</f>
        <v>C</v>
      </c>
      <c r="CJ50" s="104">
        <f>[1]!w_info_strikeprice(CH50,"")</f>
        <v>3900</v>
      </c>
      <c r="CK50" s="102" t="str">
        <f>[1]!w_info_lasttradingdate(CH50)</f>
        <v>2020-05-15</v>
      </c>
      <c r="CL50" s="39" t="str">
        <f t="shared" si="61"/>
        <v>IO2005-P-3900.CFE</v>
      </c>
    </row>
    <row r="51" spans="1:90">
      <c r="A51" s="35">
        <f t="shared" si="44"/>
        <v>1</v>
      </c>
      <c r="B51" s="112" t="s">
        <v>268</v>
      </c>
      <c r="C51" s="29" t="str">
        <f>IF([1]!w_info_callput(B51)="认购","C","P")</f>
        <v>C</v>
      </c>
      <c r="D51" s="96">
        <f>[1]!w_info_strikeprice(B51,"")</f>
        <v>3950</v>
      </c>
      <c r="E51" s="18" t="str">
        <f>[1]!w_info_lasttradingdate(B51)</f>
        <v>2020-05-15</v>
      </c>
      <c r="F51" s="4">
        <f>IF(G51&gt;0,RTD("wdf.rtq",,$B51,F$5),0)</f>
        <v>88</v>
      </c>
      <c r="G51" s="53">
        <f>RTD("wdf.rtq",,$B51,G$5)</f>
        <v>59</v>
      </c>
      <c r="H51" s="4">
        <f>RTD("wdf.rtq",,$B51,H$5)</f>
        <v>88.2</v>
      </c>
      <c r="I51" s="53">
        <f>RTD("wdf.rtq",,$B51,I$5)</f>
        <v>1</v>
      </c>
      <c r="J51" s="4">
        <f>RTD("wdf.rtq",,$B51,J$5)</f>
        <v>96</v>
      </c>
      <c r="K51" s="54">
        <f>RTD("wdf.rtq",,$B51,K$5)</f>
        <v>5</v>
      </c>
      <c r="L51" s="4">
        <f>[1]!s_dq_presettle(B51,"")</f>
        <v>75.599999999999994</v>
      </c>
      <c r="M51" s="6">
        <f t="shared" si="43"/>
        <v>192.90000000000009</v>
      </c>
      <c r="N51" s="3">
        <f t="shared" si="42"/>
        <v>34460</v>
      </c>
      <c r="O51" s="4">
        <f t="shared" si="26"/>
        <v>18280.999999999993</v>
      </c>
      <c r="P51" s="4">
        <f t="shared" si="27"/>
        <v>19750</v>
      </c>
      <c r="Q51" s="8">
        <f t="shared" si="28"/>
        <v>54210.01</v>
      </c>
      <c r="R51" s="55">
        <f ca="1">IF(NOW()-TODAY()&gt;15/24, G51, [1]!s_dq_volume(B51,R$2,1))/$AI$2</f>
        <v>47</v>
      </c>
      <c r="AB51" s="39" t="s">
        <v>249</v>
      </c>
      <c r="AC51" s="29" t="str">
        <f>IF([1]!w_info_callput(AB51)="认购","C","P")</f>
        <v>P</v>
      </c>
      <c r="AD51" s="31">
        <f>[1]!w_info_strikeprice(AB51,"")</f>
        <v>3950</v>
      </c>
      <c r="AE51" s="18" t="str">
        <f>[1]!w_info_lasttradingdate(AB51)</f>
        <v>2020-05-15</v>
      </c>
      <c r="AF51" s="4">
        <f>RTD("wdf.rtq",,$AB51,F$5)</f>
        <v>344.6</v>
      </c>
      <c r="AG51" s="53">
        <f>RTD("wdf.rtq",,$AB51,G$5)</f>
        <v>17</v>
      </c>
      <c r="AH51" s="4">
        <f>RTD("wdf.rtq",,$AB51,H$5)</f>
        <v>111.2</v>
      </c>
      <c r="AI51" s="53">
        <f>RTD("wdf.rtq",,$AB51,I$5)</f>
        <v>1</v>
      </c>
      <c r="AJ51" s="4">
        <f>RTD("wdf.rtq",,$AB51,J$5)</f>
        <v>0</v>
      </c>
      <c r="AK51" s="54">
        <f>RTD("wdf.rtq",,$AB51,K$5)</f>
        <v>0</v>
      </c>
      <c r="AL51" s="4">
        <f>[1]!s_dq_presettle(AB51,"")</f>
        <v>373.8</v>
      </c>
      <c r="AM51" s="6">
        <f t="shared" si="29"/>
        <v>0</v>
      </c>
      <c r="AN51" s="6">
        <f t="shared" si="30"/>
        <v>34460</v>
      </c>
      <c r="AO51" s="6">
        <f t="shared" si="31"/>
        <v>37571</v>
      </c>
      <c r="AP51" s="4">
        <f t="shared" si="32"/>
        <v>19750</v>
      </c>
      <c r="AQ51" s="8">
        <f t="shared" si="33"/>
        <v>72031.009999999995</v>
      </c>
      <c r="AR51" s="55">
        <f ca="1">IF(NOW()-TODAY()&gt;15/24, AG51, [1]!s_dq_volume(AB51,AR$2,1))/AI$2</f>
        <v>6</v>
      </c>
      <c r="AS51" s="110"/>
      <c r="AT51" s="110"/>
      <c r="AU51" s="110"/>
      <c r="AV51" s="110"/>
      <c r="AY51" s="10"/>
      <c r="AZ51" s="10"/>
      <c r="BA51" s="6">
        <f t="shared" ca="1" si="34"/>
        <v>-174.16666666665995</v>
      </c>
      <c r="BB51" s="6">
        <f t="shared" ca="1" si="35"/>
        <v>0</v>
      </c>
      <c r="BC51" s="6">
        <f t="shared" ca="1" si="36"/>
        <v>23965.793333333342</v>
      </c>
      <c r="BD51" s="12">
        <f t="shared" ca="1" si="37"/>
        <v>23965.833333333343</v>
      </c>
      <c r="BE51" s="2">
        <f t="shared" ca="1" si="45"/>
        <v>-3.7505203263736515E-4</v>
      </c>
      <c r="BF51" s="2">
        <f t="shared" ca="1" si="46"/>
        <v>0</v>
      </c>
      <c r="BG51" s="2">
        <f t="shared" ca="1" si="47"/>
        <v>5.4339270141382276E-2</v>
      </c>
      <c r="BH51" s="13">
        <f t="shared" ca="1" si="48"/>
        <v>5.433936330024422E-2</v>
      </c>
      <c r="BI51" s="2">
        <f t="shared" ca="1" si="49"/>
        <v>-2.7378798382527657E-3</v>
      </c>
      <c r="BJ51" s="2">
        <f t="shared" ca="1" si="50"/>
        <v>0</v>
      </c>
      <c r="BK51" s="2">
        <f t="shared" ca="1" si="51"/>
        <v>0.39667667203209062</v>
      </c>
      <c r="BL51" s="40">
        <f t="shared" ca="1" si="52"/>
        <v>0.39667735209178284</v>
      </c>
      <c r="BN51" s="6">
        <f t="shared" ca="1" si="38"/>
        <v>2546.8999999999928</v>
      </c>
      <c r="BO51" s="6">
        <f t="shared" ca="1" si="39"/>
        <v>-21593.100000000009</v>
      </c>
      <c r="BP51" s="6">
        <f t="shared" ca="1" si="40"/>
        <v>0</v>
      </c>
      <c r="BQ51" s="12">
        <f t="shared" ca="1" si="41"/>
        <v>0</v>
      </c>
      <c r="BR51" s="2">
        <f t="shared" ca="1" si="53"/>
        <v>2.0226942980574088E-2</v>
      </c>
      <c r="BS51" s="2">
        <f t="shared" ca="1" si="54"/>
        <v>-0.17040519125374734</v>
      </c>
      <c r="BT51" s="2">
        <f t="shared" ca="1" si="55"/>
        <v>0</v>
      </c>
      <c r="BU51" s="13">
        <f t="shared" ca="1" si="56"/>
        <v>0</v>
      </c>
      <c r="BV51" s="2">
        <f t="shared" ca="1" si="57"/>
        <v>0.14765668375819085</v>
      </c>
      <c r="BW51" s="2">
        <f t="shared" ca="1" si="58"/>
        <v>-1.2439578961523556</v>
      </c>
      <c r="BX51" s="2">
        <f t="shared" ca="1" si="59"/>
        <v>0</v>
      </c>
      <c r="BY51" s="13">
        <f t="shared" ca="1" si="60"/>
        <v>0</v>
      </c>
      <c r="CF51" s="39" t="str">
        <f t="shared" si="21"/>
        <v>C2020-05-3950000.CFE</v>
      </c>
      <c r="CG51" s="39" t="str">
        <f t="shared" si="22"/>
        <v>P2020-05-3950000.CFE</v>
      </c>
      <c r="CH51" s="95" t="s">
        <v>268</v>
      </c>
      <c r="CI51" s="100" t="str">
        <f>IF([1]!w_info_callput(CH51)="认购","C","P")</f>
        <v>C</v>
      </c>
      <c r="CJ51" s="104">
        <f>[1]!w_info_strikeprice(CH51,"")</f>
        <v>3950</v>
      </c>
      <c r="CK51" s="102" t="str">
        <f>[1]!w_info_lasttradingdate(CH51)</f>
        <v>2020-05-15</v>
      </c>
      <c r="CL51" s="39" t="str">
        <f t="shared" si="61"/>
        <v>IO2005-P-3950.CFE</v>
      </c>
    </row>
    <row r="52" spans="1:90">
      <c r="A52" s="35">
        <f t="shared" si="44"/>
        <v>1</v>
      </c>
      <c r="B52" s="112" t="s">
        <v>269</v>
      </c>
      <c r="C52" s="29" t="str">
        <f>IF([1]!w_info_callput(B52)="认购","C","P")</f>
        <v>C</v>
      </c>
      <c r="D52" s="96">
        <f>[1]!w_info_strikeprice(B52,"")</f>
        <v>4000</v>
      </c>
      <c r="E52" s="18" t="str">
        <f>[1]!w_info_lasttradingdate(B52)</f>
        <v>2020-05-15</v>
      </c>
      <c r="F52" s="4">
        <f>IF(G52&gt;0,RTD("wdf.rtq",,$B52,F$5),0)</f>
        <v>77</v>
      </c>
      <c r="G52" s="53">
        <f>RTD("wdf.rtq",,$B52,G$5)</f>
        <v>81</v>
      </c>
      <c r="H52" s="4">
        <f>RTD("wdf.rtq",,$B52,H$5)</f>
        <v>72.600000000000009</v>
      </c>
      <c r="I52" s="53">
        <f>RTD("wdf.rtq",,$B52,I$5)</f>
        <v>1</v>
      </c>
      <c r="J52" s="4">
        <f>RTD("wdf.rtq",,$B52,J$5)</f>
        <v>77.8</v>
      </c>
      <c r="K52" s="54">
        <f>RTD("wdf.rtq",,$B52,K$5)</f>
        <v>5</v>
      </c>
      <c r="L52" s="4">
        <f>[1]!s_dq_presettle(B52,"")</f>
        <v>65.400000000000006</v>
      </c>
      <c r="M52" s="6">
        <f t="shared" si="43"/>
        <v>242.90000000000009</v>
      </c>
      <c r="N52" s="3">
        <f t="shared" si="42"/>
        <v>35140</v>
      </c>
      <c r="O52" s="4">
        <f t="shared" si="26"/>
        <v>13280.999999999995</v>
      </c>
      <c r="P52" s="4">
        <f t="shared" si="27"/>
        <v>20000</v>
      </c>
      <c r="Q52" s="8">
        <f t="shared" si="28"/>
        <v>55140.01</v>
      </c>
      <c r="R52" s="55">
        <f ca="1">IF(NOW()-TODAY()&gt;15/24, G52, [1]!s_dq_volume(B52,R$2,1))/$AI$2</f>
        <v>210</v>
      </c>
      <c r="AB52" s="39" t="s">
        <v>250</v>
      </c>
      <c r="AC52" s="29" t="str">
        <f>IF([1]!w_info_callput(AB52)="认购","C","P")</f>
        <v>P</v>
      </c>
      <c r="AD52" s="31">
        <f>[1]!w_info_strikeprice(AB52,"")</f>
        <v>4000</v>
      </c>
      <c r="AE52" s="18" t="str">
        <f>[1]!w_info_lasttradingdate(AB52)</f>
        <v>2020-05-15</v>
      </c>
      <c r="AF52" s="4">
        <f>RTD("wdf.rtq",,$AB52,F$5)</f>
        <v>351.40000000000003</v>
      </c>
      <c r="AG52" s="53">
        <f>RTD("wdf.rtq",,$AB52,G$5)</f>
        <v>13</v>
      </c>
      <c r="AH52" s="4">
        <f>RTD("wdf.rtq",,$AB52,H$5)</f>
        <v>218.8</v>
      </c>
      <c r="AI52" s="53">
        <f>RTD("wdf.rtq",,$AB52,I$5)</f>
        <v>1</v>
      </c>
      <c r="AJ52" s="4">
        <f>RTD("wdf.rtq",,$AB52,J$5)</f>
        <v>588.80000000000007</v>
      </c>
      <c r="AK52" s="54">
        <f>RTD("wdf.rtq",,$AB52,K$5)</f>
        <v>1</v>
      </c>
      <c r="AL52" s="4">
        <f>[1]!s_dq_presettle(AB52,"")</f>
        <v>411.8</v>
      </c>
      <c r="AM52" s="6">
        <f t="shared" si="29"/>
        <v>0</v>
      </c>
      <c r="AN52" s="6">
        <f t="shared" si="30"/>
        <v>35140</v>
      </c>
      <c r="AO52" s="6">
        <f t="shared" si="31"/>
        <v>37571</v>
      </c>
      <c r="AP52" s="4">
        <f t="shared" si="32"/>
        <v>20000</v>
      </c>
      <c r="AQ52" s="8">
        <f t="shared" si="33"/>
        <v>72711.009999999995</v>
      </c>
      <c r="AR52" s="55">
        <f ca="1">IF(NOW()-TODAY()&gt;15/24, AG52, [1]!s_dq_volume(AB52,AR$2,1))/AI$2</f>
        <v>0</v>
      </c>
      <c r="AS52" s="110"/>
      <c r="AT52" s="110"/>
      <c r="AU52" s="110"/>
      <c r="AV52" s="110"/>
      <c r="AY52" s="10"/>
      <c r="AZ52" s="10"/>
      <c r="BA52" s="6">
        <f t="shared" ca="1" si="34"/>
        <v>3045.8333333333389</v>
      </c>
      <c r="BB52" s="6">
        <f t="shared" ca="1" si="35"/>
        <v>-21134.166666666661</v>
      </c>
      <c r="BC52" s="6">
        <f t="shared" ca="1" si="36"/>
        <v>16385.793333333342</v>
      </c>
      <c r="BD52" s="12">
        <f t="shared" ca="1" si="37"/>
        <v>16385.833333333343</v>
      </c>
      <c r="BE52" s="2">
        <f t="shared" ca="1" si="45"/>
        <v>6.5362631557988526E-3</v>
      </c>
      <c r="BF52" s="2">
        <f t="shared" ca="1" si="46"/>
        <v>-4.3154730637533653E-2</v>
      </c>
      <c r="BG52" s="2">
        <f t="shared" ca="1" si="47"/>
        <v>3.6193298980704551E-2</v>
      </c>
      <c r="BH52" s="13">
        <f t="shared" ca="1" si="48"/>
        <v>3.6193388932475104E-2</v>
      </c>
      <c r="BI52" s="2">
        <f t="shared" ca="1" si="49"/>
        <v>4.7714721037331626E-2</v>
      </c>
      <c r="BJ52" s="2">
        <f t="shared" ca="1" si="50"/>
        <v>-0.31502953365399566</v>
      </c>
      <c r="BK52" s="2">
        <f t="shared" ca="1" si="51"/>
        <v>0.26421108255914322</v>
      </c>
      <c r="BL52" s="40">
        <f t="shared" ca="1" si="52"/>
        <v>0.26421173920706825</v>
      </c>
      <c r="BN52" s="6">
        <f t="shared" ca="1" si="38"/>
        <v>-673.10000000000616</v>
      </c>
      <c r="BO52" s="6">
        <f t="shared" ca="1" si="39"/>
        <v>-14013.100000000009</v>
      </c>
      <c r="BP52" s="6">
        <f t="shared" ca="1" si="40"/>
        <v>23506.859999999993</v>
      </c>
      <c r="BQ52" s="12">
        <f t="shared" ca="1" si="41"/>
        <v>23506.899999999994</v>
      </c>
      <c r="BR52" s="2">
        <f t="shared" ca="1" si="53"/>
        <v>-5.3635085872314886E-3</v>
      </c>
      <c r="BS52" s="2">
        <f t="shared" ca="1" si="54"/>
        <v>-0.1115904039467349</v>
      </c>
      <c r="BT52" s="2">
        <f t="shared" ca="1" si="55"/>
        <v>0.18797032342970835</v>
      </c>
      <c r="BU52" s="13">
        <f t="shared" ca="1" si="56"/>
        <v>0.187970673347609</v>
      </c>
      <c r="BV52" s="2">
        <f t="shared" ca="1" si="57"/>
        <v>-3.9153612686789865E-2</v>
      </c>
      <c r="BW52" s="2">
        <f t="shared" ca="1" si="58"/>
        <v>-0.81460994881116477</v>
      </c>
      <c r="BX52" s="2">
        <f t="shared" ca="1" si="59"/>
        <v>1.3721833610368708</v>
      </c>
      <c r="BY52" s="13">
        <f t="shared" ca="1" si="60"/>
        <v>1.3721859154375458</v>
      </c>
      <c r="CF52" s="39" t="str">
        <f t="shared" si="21"/>
        <v>C2020-05-4000000.CFE</v>
      </c>
      <c r="CG52" s="39" t="str">
        <f t="shared" si="22"/>
        <v>P2020-05-4000000.CFE</v>
      </c>
      <c r="CH52" s="95" t="s">
        <v>269</v>
      </c>
      <c r="CI52" s="100" t="str">
        <f>IF([1]!w_info_callput(CH52)="认购","C","P")</f>
        <v>C</v>
      </c>
      <c r="CJ52" s="104">
        <f>[1]!w_info_strikeprice(CH52,"")</f>
        <v>4000</v>
      </c>
      <c r="CK52" s="102" t="str">
        <f>[1]!w_info_lasttradingdate(CH52)</f>
        <v>2020-05-15</v>
      </c>
      <c r="CL52" s="39" t="str">
        <f t="shared" si="61"/>
        <v>IO2005-P-4000.CFE</v>
      </c>
    </row>
    <row r="53" spans="1:90">
      <c r="A53" s="35">
        <f t="shared" si="44"/>
        <v>1</v>
      </c>
      <c r="B53" s="112" t="s">
        <v>270</v>
      </c>
      <c r="C53" s="29" t="str">
        <f>IF([1]!w_info_callput(B53)="认购","C","P")</f>
        <v>C</v>
      </c>
      <c r="D53" s="96">
        <f>[1]!w_info_strikeprice(B53,"")</f>
        <v>4050</v>
      </c>
      <c r="E53" s="18" t="str">
        <f>[1]!w_info_lasttradingdate(B53)</f>
        <v>2020-05-15</v>
      </c>
      <c r="F53" s="4">
        <f>IF(G53&gt;0,RTD("wdf.rtq",,$B53,F$5),0)</f>
        <v>64.8</v>
      </c>
      <c r="G53" s="53">
        <f>RTD("wdf.rtq",,$B53,G$5)</f>
        <v>5</v>
      </c>
      <c r="H53" s="4">
        <f>RTD("wdf.rtq",,$B53,H$5)</f>
        <v>58.6</v>
      </c>
      <c r="I53" s="53">
        <f>RTD("wdf.rtq",,$B53,I$5)</f>
        <v>1</v>
      </c>
      <c r="J53" s="4">
        <f>RTD("wdf.rtq",,$B53,J$5)</f>
        <v>73</v>
      </c>
      <c r="K53" s="54">
        <f>RTD("wdf.rtq",,$B53,K$5)</f>
        <v>1</v>
      </c>
      <c r="L53" s="4">
        <f>[1]!s_dq_presettle(B53,"")</f>
        <v>54.8</v>
      </c>
      <c r="M53" s="6">
        <f t="shared" si="43"/>
        <v>292.90000000000009</v>
      </c>
      <c r="N53" s="3">
        <f t="shared" si="42"/>
        <v>42000</v>
      </c>
      <c r="O53" s="4">
        <f t="shared" si="26"/>
        <v>8280.9999999999945</v>
      </c>
      <c r="P53" s="4">
        <f t="shared" si="27"/>
        <v>20250</v>
      </c>
      <c r="Q53" s="8">
        <f t="shared" si="28"/>
        <v>62250.01</v>
      </c>
      <c r="R53" s="55">
        <f ca="1">IF(NOW()-TODAY()&gt;15/24, G53, [1]!s_dq_volume(B53,R$2,1))/$AI$2</f>
        <v>26</v>
      </c>
      <c r="AB53" s="39" t="s">
        <v>251</v>
      </c>
      <c r="AC53" s="29" t="str">
        <f>IF([1]!w_info_callput(AB53)="认购","C","P")</f>
        <v>P</v>
      </c>
      <c r="AD53" s="31">
        <f>[1]!w_info_strikeprice(AB53,"")</f>
        <v>4050</v>
      </c>
      <c r="AE53" s="18" t="str">
        <f>[1]!w_info_lasttradingdate(AB53)</f>
        <v>2020-05-15</v>
      </c>
      <c r="AF53" s="4">
        <f>RTD("wdf.rtq",,$AB53,F$5)</f>
        <v>420</v>
      </c>
      <c r="AG53" s="53">
        <f>RTD("wdf.rtq",,$AB53,G$5)</f>
        <v>9</v>
      </c>
      <c r="AH53" s="4">
        <f>RTD("wdf.rtq",,$AB53,H$5)</f>
        <v>123.4</v>
      </c>
      <c r="AI53" s="53">
        <f>RTD("wdf.rtq",,$AB53,I$5)</f>
        <v>1</v>
      </c>
      <c r="AJ53" s="4">
        <f>RTD("wdf.rtq",,$AB53,J$5)</f>
        <v>0</v>
      </c>
      <c r="AK53" s="54">
        <f>RTD("wdf.rtq",,$AB53,K$5)</f>
        <v>0</v>
      </c>
      <c r="AL53" s="4">
        <f>[1]!s_dq_presettle(AB53,"")</f>
        <v>453</v>
      </c>
      <c r="AM53" s="6">
        <f t="shared" si="29"/>
        <v>0</v>
      </c>
      <c r="AN53" s="6">
        <f t="shared" si="30"/>
        <v>42000</v>
      </c>
      <c r="AO53" s="6">
        <f t="shared" si="31"/>
        <v>37571</v>
      </c>
      <c r="AP53" s="4">
        <f t="shared" si="32"/>
        <v>20250</v>
      </c>
      <c r="AQ53" s="8">
        <f t="shared" si="33"/>
        <v>79571.009999999995</v>
      </c>
      <c r="AR53" s="55">
        <f ca="1">IF(NOW()-TODAY()&gt;15/24, AG53, [1]!s_dq_volume(AB53,AR$2,1))/AI$2</f>
        <v>10</v>
      </c>
      <c r="AS53" s="110"/>
      <c r="AT53" s="110"/>
      <c r="AU53" s="110"/>
      <c r="AV53" s="110"/>
      <c r="AY53" s="10"/>
      <c r="AZ53" s="10"/>
      <c r="BA53" s="6">
        <f t="shared" ca="1" si="34"/>
        <v>-34.166666666656539</v>
      </c>
      <c r="BB53" s="6">
        <f t="shared" ca="1" si="35"/>
        <v>0</v>
      </c>
      <c r="BC53" s="6">
        <f t="shared" ca="1" si="36"/>
        <v>30445.793333333339</v>
      </c>
      <c r="BD53" s="12">
        <f t="shared" ca="1" si="37"/>
        <v>30445.833333333339</v>
      </c>
      <c r="BE53" s="2">
        <f t="shared" ca="1" si="45"/>
        <v>-7.1186486279672622E-5</v>
      </c>
      <c r="BF53" s="2">
        <f t="shared" ca="1" si="46"/>
        <v>0</v>
      </c>
      <c r="BG53" s="2">
        <f t="shared" ca="1" si="47"/>
        <v>6.7612239184912645E-2</v>
      </c>
      <c r="BH53" s="13">
        <f t="shared" ca="1" si="48"/>
        <v>6.7612331017566127E-2</v>
      </c>
      <c r="BI53" s="2">
        <f t="shared" ca="1" si="49"/>
        <v>-5.1966134984161015E-4</v>
      </c>
      <c r="BJ53" s="2">
        <f t="shared" ca="1" si="50"/>
        <v>0</v>
      </c>
      <c r="BK53" s="2">
        <f t="shared" ca="1" si="51"/>
        <v>0.4935693460498623</v>
      </c>
      <c r="BL53" s="40">
        <f t="shared" ca="1" si="52"/>
        <v>0.49357001642823273</v>
      </c>
      <c r="BN53" s="6">
        <f t="shared" ca="1" si="38"/>
        <v>2406.8999999999892</v>
      </c>
      <c r="BO53" s="6">
        <f t="shared" ca="1" si="39"/>
        <v>-28073.100000000009</v>
      </c>
      <c r="BP53" s="6">
        <f t="shared" ca="1" si="40"/>
        <v>0</v>
      </c>
      <c r="BQ53" s="12">
        <f t="shared" ca="1" si="41"/>
        <v>0</v>
      </c>
      <c r="BR53" s="2">
        <f t="shared" ca="1" si="53"/>
        <v>1.8354198279788545E-2</v>
      </c>
      <c r="BS53" s="2">
        <f t="shared" ca="1" si="54"/>
        <v>-0.21274557673337247</v>
      </c>
      <c r="BT53" s="2">
        <f t="shared" ca="1" si="55"/>
        <v>0</v>
      </c>
      <c r="BU53" s="13">
        <f t="shared" ca="1" si="56"/>
        <v>0</v>
      </c>
      <c r="BV53" s="2">
        <f t="shared" ca="1" si="57"/>
        <v>0.13398564744245639</v>
      </c>
      <c r="BW53" s="2">
        <f t="shared" ca="1" si="58"/>
        <v>-1.5530427101536191</v>
      </c>
      <c r="BX53" s="2">
        <f t="shared" ca="1" si="59"/>
        <v>0</v>
      </c>
      <c r="BY53" s="13">
        <f t="shared" ca="1" si="60"/>
        <v>0</v>
      </c>
      <c r="CF53" s="39" t="str">
        <f t="shared" si="21"/>
        <v>C2020-05-4050000.CFE</v>
      </c>
      <c r="CG53" s="39" t="str">
        <f t="shared" si="22"/>
        <v>P2020-05-4050000.CFE</v>
      </c>
      <c r="CH53" s="95" t="s">
        <v>270</v>
      </c>
      <c r="CI53" s="100" t="str">
        <f>IF([1]!w_info_callput(CH53)="认购","C","P")</f>
        <v>C</v>
      </c>
      <c r="CJ53" s="104">
        <f>[1]!w_info_strikeprice(CH53,"")</f>
        <v>4050</v>
      </c>
      <c r="CK53" s="102" t="str">
        <f>[1]!w_info_lasttradingdate(CH53)</f>
        <v>2020-05-15</v>
      </c>
      <c r="CL53" s="39" t="str">
        <f t="shared" si="61"/>
        <v>IO2005-P-4050.CFE</v>
      </c>
    </row>
    <row r="54" spans="1:90">
      <c r="A54" s="35">
        <f t="shared" si="44"/>
        <v>1</v>
      </c>
      <c r="B54" s="112" t="s">
        <v>271</v>
      </c>
      <c r="C54" s="29" t="str">
        <f>IF([1]!w_info_callput(B54)="认购","C","P")</f>
        <v>C</v>
      </c>
      <c r="D54" s="96">
        <f>[1]!w_info_strikeprice(B54,"")</f>
        <v>4100</v>
      </c>
      <c r="E54" s="18" t="str">
        <f>[1]!w_info_lasttradingdate(B54)</f>
        <v>2020-05-15</v>
      </c>
      <c r="F54" s="4">
        <f>IF(G54&gt;0,RTD("wdf.rtq",,$B54,F$5),0)</f>
        <v>52</v>
      </c>
      <c r="G54" s="53">
        <f>RTD("wdf.rtq",,$B54,G$5)</f>
        <v>25</v>
      </c>
      <c r="H54" s="4">
        <f>RTD("wdf.rtq",,$B54,H$5)</f>
        <v>50.6</v>
      </c>
      <c r="I54" s="53">
        <f>RTD("wdf.rtq",,$B54,I$5)</f>
        <v>1</v>
      </c>
      <c r="J54" s="4">
        <f>RTD("wdf.rtq",,$B54,J$5)</f>
        <v>64.8</v>
      </c>
      <c r="K54" s="54">
        <f>RTD("wdf.rtq",,$B54,K$5)</f>
        <v>1</v>
      </c>
      <c r="L54" s="4">
        <f>[1]!s_dq_presettle(B54,"")</f>
        <v>47.2</v>
      </c>
      <c r="M54" s="6">
        <f t="shared" si="43"/>
        <v>342.90000000000009</v>
      </c>
      <c r="N54" s="3">
        <f t="shared" si="42"/>
        <v>46000</v>
      </c>
      <c r="O54" s="4">
        <f t="shared" si="26"/>
        <v>3280.9999999999945</v>
      </c>
      <c r="P54" s="4">
        <f t="shared" si="27"/>
        <v>20500</v>
      </c>
      <c r="Q54" s="8">
        <f t="shared" si="28"/>
        <v>66500.009999999995</v>
      </c>
      <c r="R54" s="55">
        <f ca="1">IF(NOW()-TODAY()&gt;15/24, G54, [1]!s_dq_volume(B54,R$2,1))/$AI$2</f>
        <v>130</v>
      </c>
      <c r="AB54" s="39" t="s">
        <v>252</v>
      </c>
      <c r="AC54" s="29" t="str">
        <f>IF([1]!w_info_callput(AB54)="认购","C","P")</f>
        <v>P</v>
      </c>
      <c r="AD54" s="31">
        <f>[1]!w_info_strikeprice(AB54,"")</f>
        <v>4100</v>
      </c>
      <c r="AE54" s="18" t="str">
        <f>[1]!w_info_lasttradingdate(AB54)</f>
        <v>2020-05-15</v>
      </c>
      <c r="AF54" s="4">
        <f>RTD("wdf.rtq",,$AB54,F$5)</f>
        <v>460</v>
      </c>
      <c r="AG54" s="53">
        <f>RTD("wdf.rtq",,$AB54,G$5)</f>
        <v>5</v>
      </c>
      <c r="AH54" s="4">
        <f>RTD("wdf.rtq",,$AB54,H$5)</f>
        <v>156.80000000000001</v>
      </c>
      <c r="AI54" s="53">
        <f>RTD("wdf.rtq",,$AB54,I$5)</f>
        <v>1</v>
      </c>
      <c r="AJ54" s="4">
        <f>RTD("wdf.rtq",,$AB54,J$5)</f>
        <v>0</v>
      </c>
      <c r="AK54" s="54">
        <f>RTD("wdf.rtq",,$AB54,K$5)</f>
        <v>0</v>
      </c>
      <c r="AL54" s="4">
        <f>[1]!s_dq_presettle(AB54,"")</f>
        <v>494.6</v>
      </c>
      <c r="AM54" s="6">
        <f t="shared" si="29"/>
        <v>0</v>
      </c>
      <c r="AN54" s="6">
        <f t="shared" si="30"/>
        <v>46000</v>
      </c>
      <c r="AO54" s="6">
        <f t="shared" si="31"/>
        <v>37571</v>
      </c>
      <c r="AP54" s="4">
        <f t="shared" si="32"/>
        <v>20500</v>
      </c>
      <c r="AQ54" s="8">
        <f t="shared" si="33"/>
        <v>83571.009999999995</v>
      </c>
      <c r="AR54" s="55">
        <f ca="1">IF(NOW()-TODAY()&gt;15/24, AG54, [1]!s_dq_volume(AB54,AR$2,1))/AI$2</f>
        <v>0</v>
      </c>
      <c r="AS54" s="110"/>
      <c r="AT54" s="110"/>
      <c r="AU54" s="110"/>
      <c r="AV54" s="110"/>
      <c r="AY54" s="10"/>
      <c r="AZ54" s="10"/>
      <c r="BA54" s="6">
        <f t="shared" ca="1" si="34"/>
        <v>-314.16666666665765</v>
      </c>
      <c r="BB54" s="6">
        <f t="shared" ca="1" si="35"/>
        <v>0</v>
      </c>
      <c r="BC54" s="6">
        <f t="shared" ca="1" si="36"/>
        <v>31285.793333333342</v>
      </c>
      <c r="BD54" s="12">
        <f t="shared" ca="1" si="37"/>
        <v>31285.833333333343</v>
      </c>
      <c r="BE54" s="2">
        <f t="shared" ca="1" si="45"/>
        <v>-6.4350722072793547E-4</v>
      </c>
      <c r="BF54" s="2">
        <f t="shared" ca="1" si="46"/>
        <v>0</v>
      </c>
      <c r="BG54" s="2">
        <f t="shared" ca="1" si="47"/>
        <v>6.8325998129580026E-2</v>
      </c>
      <c r="BH54" s="13">
        <f t="shared" ca="1" si="48"/>
        <v>6.8326088471188401E-2</v>
      </c>
      <c r="BI54" s="2">
        <f t="shared" ca="1" si="49"/>
        <v>-4.6976027113139291E-3</v>
      </c>
      <c r="BJ54" s="2">
        <f t="shared" ca="1" si="50"/>
        <v>0</v>
      </c>
      <c r="BK54" s="2">
        <f t="shared" ca="1" si="51"/>
        <v>0.49877978634593417</v>
      </c>
      <c r="BL54" s="40">
        <f t="shared" ca="1" si="52"/>
        <v>0.49878044583967529</v>
      </c>
      <c r="BN54" s="6">
        <f t="shared" ca="1" si="38"/>
        <v>2686.8999999999905</v>
      </c>
      <c r="BO54" s="6">
        <f t="shared" ca="1" si="39"/>
        <v>-28913.100000000013</v>
      </c>
      <c r="BP54" s="6">
        <f t="shared" ca="1" si="40"/>
        <v>0</v>
      </c>
      <c r="BQ54" s="12">
        <f t="shared" ca="1" si="41"/>
        <v>0</v>
      </c>
      <c r="BR54" s="2">
        <f t="shared" ca="1" si="53"/>
        <v>2.0073032099145724E-2</v>
      </c>
      <c r="BS54" s="2">
        <f t="shared" ca="1" si="54"/>
        <v>-0.21395523820003548</v>
      </c>
      <c r="BT54" s="2">
        <f t="shared" ca="1" si="55"/>
        <v>0</v>
      </c>
      <c r="BU54" s="13">
        <f t="shared" ca="1" si="56"/>
        <v>0</v>
      </c>
      <c r="BV54" s="2">
        <f t="shared" ca="1" si="57"/>
        <v>0.1465331343237638</v>
      </c>
      <c r="BW54" s="2">
        <f t="shared" ca="1" si="58"/>
        <v>-1.561873238860259</v>
      </c>
      <c r="BX54" s="2">
        <f t="shared" ca="1" si="59"/>
        <v>0</v>
      </c>
      <c r="BY54" s="13">
        <f t="shared" ca="1" si="60"/>
        <v>0</v>
      </c>
      <c r="CF54" s="39" t="str">
        <f t="shared" si="21"/>
        <v>C2020-05-4100000.CFE</v>
      </c>
      <c r="CG54" s="39" t="str">
        <f t="shared" si="22"/>
        <v>P2020-05-4100000.CFE</v>
      </c>
      <c r="CH54" s="95" t="s">
        <v>271</v>
      </c>
      <c r="CI54" s="100" t="str">
        <f>IF([1]!w_info_callput(CH54)="认购","C","P")</f>
        <v>C</v>
      </c>
      <c r="CJ54" s="104">
        <f>[1]!w_info_strikeprice(CH54,"")</f>
        <v>4100</v>
      </c>
      <c r="CK54" s="102" t="str">
        <f>[1]!w_info_lasttradingdate(CH54)</f>
        <v>2020-05-15</v>
      </c>
      <c r="CL54" s="39" t="str">
        <f t="shared" si="61"/>
        <v>IO2005-P-4100.CFE</v>
      </c>
    </row>
    <row r="55" spans="1:90">
      <c r="A55" s="35">
        <f t="shared" si="44"/>
        <v>1</v>
      </c>
      <c r="B55" s="112" t="s">
        <v>272</v>
      </c>
      <c r="C55" s="29" t="str">
        <f>IF([1]!w_info_callput(B55)="认购","C","P")</f>
        <v>C</v>
      </c>
      <c r="D55" s="96">
        <f>[1]!w_info_strikeprice(B55,"")</f>
        <v>4150</v>
      </c>
      <c r="E55" s="18" t="str">
        <f>[1]!w_info_lasttradingdate(B55)</f>
        <v>2020-05-15</v>
      </c>
      <c r="F55" s="4">
        <f>IF(G55&gt;0,RTD("wdf.rtq",,$B55,F$5),0)</f>
        <v>47.2</v>
      </c>
      <c r="G55" s="53">
        <f>RTD("wdf.rtq",,$B55,G$5)</f>
        <v>21</v>
      </c>
      <c r="H55" s="4">
        <f>RTD("wdf.rtq",,$B55,H$5)</f>
        <v>40.6</v>
      </c>
      <c r="I55" s="53">
        <f>RTD("wdf.rtq",,$B55,I$5)</f>
        <v>1</v>
      </c>
      <c r="J55" s="4">
        <f>RTD("wdf.rtq",,$B55,J$5)</f>
        <v>50</v>
      </c>
      <c r="K55" s="54">
        <f>RTD("wdf.rtq",,$B55,K$5)</f>
        <v>1</v>
      </c>
      <c r="L55" s="4">
        <f>[1]!s_dq_presettle(B55,"")</f>
        <v>40.6</v>
      </c>
      <c r="M55" s="6">
        <f t="shared" si="43"/>
        <v>392.90000000000009</v>
      </c>
      <c r="N55" s="3">
        <f t="shared" si="42"/>
        <v>52960</v>
      </c>
      <c r="O55" s="4">
        <f t="shared" si="26"/>
        <v>-1719.0000000000055</v>
      </c>
      <c r="P55" s="4">
        <f t="shared" si="27"/>
        <v>20750</v>
      </c>
      <c r="Q55" s="8">
        <f t="shared" si="28"/>
        <v>73710.009999999995</v>
      </c>
      <c r="R55" s="55">
        <f ca="1">IF(NOW()-TODAY()&gt;15/24, G55, [1]!s_dq_volume(B55,R$2,1))/$AI$2</f>
        <v>22</v>
      </c>
      <c r="AB55" s="39" t="s">
        <v>253</v>
      </c>
      <c r="AC55" s="29" t="str">
        <f>IF([1]!w_info_callput(AB55)="认购","C","P")</f>
        <v>P</v>
      </c>
      <c r="AD55" s="31">
        <f>[1]!w_info_strikeprice(AB55,"")</f>
        <v>4150</v>
      </c>
      <c r="AE55" s="18" t="str">
        <f>[1]!w_info_lasttradingdate(AB55)</f>
        <v>2020-05-15</v>
      </c>
      <c r="AF55" s="4">
        <f>RTD("wdf.rtq",,$AB55,F$5)</f>
        <v>529.6</v>
      </c>
      <c r="AG55" s="53">
        <f>RTD("wdf.rtq",,$AB55,G$5)</f>
        <v>0</v>
      </c>
      <c r="AH55" s="4">
        <f>RTD("wdf.rtq",,$AB55,H$5)</f>
        <v>201.4</v>
      </c>
      <c r="AI55" s="53">
        <f>RTD("wdf.rtq",,$AB55,I$5)</f>
        <v>1</v>
      </c>
      <c r="AJ55" s="4">
        <f>RTD("wdf.rtq",,$AB55,J$5)</f>
        <v>0</v>
      </c>
      <c r="AK55" s="54">
        <f>RTD("wdf.rtq",,$AB55,K$5)</f>
        <v>0</v>
      </c>
      <c r="AL55" s="4">
        <f>[1]!s_dq_presettle(AB55,"")</f>
        <v>539.4</v>
      </c>
      <c r="AM55" s="6">
        <f t="shared" si="29"/>
        <v>0</v>
      </c>
      <c r="AN55" s="6">
        <f t="shared" si="30"/>
        <v>52960</v>
      </c>
      <c r="AO55" s="6">
        <f t="shared" si="31"/>
        <v>37571</v>
      </c>
      <c r="AP55" s="4">
        <f t="shared" si="32"/>
        <v>20750</v>
      </c>
      <c r="AQ55" s="8">
        <f t="shared" si="33"/>
        <v>90531.01</v>
      </c>
      <c r="AR55" s="55">
        <f ca="1">IF(NOW()-TODAY()&gt;15/24, AG55, [1]!s_dq_volume(AB55,AR$2,1))/AI$2</f>
        <v>0</v>
      </c>
      <c r="AS55" s="110"/>
      <c r="AT55" s="110"/>
      <c r="AU55" s="110"/>
      <c r="AV55" s="110"/>
      <c r="AY55" s="10"/>
      <c r="AZ55" s="10"/>
      <c r="BA55" s="6">
        <f t="shared" ca="1" si="34"/>
        <v>-2754.1666666666611</v>
      </c>
      <c r="BB55" s="6">
        <f t="shared" ca="1" si="35"/>
        <v>0</v>
      </c>
      <c r="BC55" s="6">
        <f t="shared" ca="1" si="36"/>
        <v>30345.793333333339</v>
      </c>
      <c r="BD55" s="12">
        <f t="shared" ca="1" si="37"/>
        <v>30345.833333333339</v>
      </c>
      <c r="BE55" s="2">
        <f t="shared" ca="1" si="45"/>
        <v>-5.4822377718943497E-3</v>
      </c>
      <c r="BF55" s="2">
        <f t="shared" ca="1" si="46"/>
        <v>0</v>
      </c>
      <c r="BG55" s="2">
        <f t="shared" ca="1" si="47"/>
        <v>6.4626014555228081E-2</v>
      </c>
      <c r="BH55" s="13">
        <f t="shared" ca="1" si="48"/>
        <v>6.4626102493978002E-2</v>
      </c>
      <c r="BI55" s="2">
        <f t="shared" ca="1" si="49"/>
        <v>-4.0020335734828751E-2</v>
      </c>
      <c r="BJ55" s="2">
        <f t="shared" ca="1" si="50"/>
        <v>0</v>
      </c>
      <c r="BK55" s="2">
        <f t="shared" ca="1" si="51"/>
        <v>0.47176990625316501</v>
      </c>
      <c r="BL55" s="40">
        <f t="shared" ca="1" si="52"/>
        <v>0.47177054820603942</v>
      </c>
      <c r="BN55" s="6">
        <f t="shared" ca="1" si="38"/>
        <v>5126.8999999999942</v>
      </c>
      <c r="BO55" s="6">
        <f t="shared" ca="1" si="39"/>
        <v>-27973.100000000009</v>
      </c>
      <c r="BP55" s="6">
        <f t="shared" ca="1" si="40"/>
        <v>0</v>
      </c>
      <c r="BQ55" s="12">
        <f t="shared" ca="1" si="41"/>
        <v>0</v>
      </c>
      <c r="BR55" s="2">
        <f t="shared" ca="1" si="53"/>
        <v>3.6532980333443481E-2</v>
      </c>
      <c r="BS55" s="2">
        <f t="shared" ca="1" si="54"/>
        <v>-0.19893225681448826</v>
      </c>
      <c r="BT55" s="2">
        <f t="shared" ca="1" si="55"/>
        <v>0</v>
      </c>
      <c r="BU55" s="13">
        <f t="shared" ca="1" si="56"/>
        <v>0</v>
      </c>
      <c r="BV55" s="2">
        <f t="shared" ca="1" si="57"/>
        <v>0.26669075643413742</v>
      </c>
      <c r="BW55" s="2">
        <f t="shared" ca="1" si="58"/>
        <v>-1.4522054747457642</v>
      </c>
      <c r="BX55" s="2">
        <f t="shared" ca="1" si="59"/>
        <v>0</v>
      </c>
      <c r="BY55" s="13">
        <f t="shared" ca="1" si="60"/>
        <v>0</v>
      </c>
      <c r="CF55" s="39" t="str">
        <f t="shared" si="21"/>
        <v>C2020-05-4150000.CFE</v>
      </c>
      <c r="CG55" s="39" t="str">
        <f t="shared" si="22"/>
        <v>P2020-05-4150000.CFE</v>
      </c>
      <c r="CH55" s="95" t="s">
        <v>272</v>
      </c>
      <c r="CI55" s="100" t="str">
        <f>IF([1]!w_info_callput(CH55)="认购","C","P")</f>
        <v>C</v>
      </c>
      <c r="CJ55" s="104">
        <f>[1]!w_info_strikeprice(CH55,"")</f>
        <v>4150</v>
      </c>
      <c r="CK55" s="102" t="str">
        <f>[1]!w_info_lasttradingdate(CH55)</f>
        <v>2020-05-15</v>
      </c>
      <c r="CL55" s="39" t="str">
        <f t="shared" si="61"/>
        <v>IO2005-P-4150.CFE</v>
      </c>
    </row>
    <row r="56" spans="1:90">
      <c r="A56" s="35">
        <f t="shared" si="44"/>
        <v>1</v>
      </c>
      <c r="B56" s="112" t="s">
        <v>273</v>
      </c>
      <c r="C56" s="29" t="str">
        <f>IF([1]!w_info_callput(B56)="认购","C","P")</f>
        <v>C</v>
      </c>
      <c r="D56" s="96">
        <f>[1]!w_info_strikeprice(B56,"")</f>
        <v>4200</v>
      </c>
      <c r="E56" s="18" t="str">
        <f>[1]!w_info_lasttradingdate(B56)</f>
        <v>2020-05-15</v>
      </c>
      <c r="F56" s="4">
        <f>IF(G56&gt;0,RTD("wdf.rtq",,$B56,F$5),0)</f>
        <v>39.4</v>
      </c>
      <c r="G56" s="53">
        <f>RTD("wdf.rtq",,$B56,G$5)</f>
        <v>65</v>
      </c>
      <c r="H56" s="4">
        <f>RTD("wdf.rtq",,$B56,H$5)</f>
        <v>36.6</v>
      </c>
      <c r="I56" s="53">
        <f>RTD("wdf.rtq",,$B56,I$5)</f>
        <v>1</v>
      </c>
      <c r="J56" s="4">
        <f>RTD("wdf.rtq",,$B56,J$5)</f>
        <v>50.6</v>
      </c>
      <c r="K56" s="54">
        <f>RTD("wdf.rtq",,$B56,K$5)</f>
        <v>1</v>
      </c>
      <c r="L56" s="4">
        <f>[1]!s_dq_presettle(B56,"")</f>
        <v>34.799999999999997</v>
      </c>
      <c r="M56" s="6">
        <f t="shared" si="43"/>
        <v>442.90000000000009</v>
      </c>
      <c r="N56" s="3">
        <f t="shared" si="42"/>
        <v>70660</v>
      </c>
      <c r="O56" s="4">
        <f t="shared" si="26"/>
        <v>-6719.0000000000055</v>
      </c>
      <c r="P56" s="4">
        <f t="shared" si="27"/>
        <v>21000</v>
      </c>
      <c r="Q56" s="8">
        <f t="shared" si="28"/>
        <v>91660.01</v>
      </c>
      <c r="R56" s="55">
        <f ca="1">IF(NOW()-TODAY()&gt;15/24, G56, [1]!s_dq_volume(B56,R$2,1))/$AI$2</f>
        <v>92</v>
      </c>
      <c r="AB56" s="39" t="s">
        <v>254</v>
      </c>
      <c r="AC56" s="29" t="str">
        <f>IF([1]!w_info_callput(AB56)="认购","C","P")</f>
        <v>P</v>
      </c>
      <c r="AD56" s="31">
        <f>[1]!w_info_strikeprice(AB56,"")</f>
        <v>4200</v>
      </c>
      <c r="AE56" s="18" t="str">
        <f>[1]!w_info_lasttradingdate(AB56)</f>
        <v>2020-05-15</v>
      </c>
      <c r="AF56" s="4">
        <f>RTD("wdf.rtq",,$AB56,F$5)</f>
        <v>706.6</v>
      </c>
      <c r="AG56" s="53">
        <f>RTD("wdf.rtq",,$AB56,G$5)</f>
        <v>0</v>
      </c>
      <c r="AH56" s="4">
        <f>RTD("wdf.rtq",,$AB56,H$5)</f>
        <v>234.6</v>
      </c>
      <c r="AI56" s="53">
        <f>RTD("wdf.rtq",,$AB56,I$5)</f>
        <v>1</v>
      </c>
      <c r="AJ56" s="4">
        <f>RTD("wdf.rtq",,$AB56,J$5)</f>
        <v>0</v>
      </c>
      <c r="AK56" s="54">
        <f>RTD("wdf.rtq",,$AB56,K$5)</f>
        <v>0</v>
      </c>
      <c r="AL56" s="4">
        <f>[1]!s_dq_presettle(AB56,"")</f>
        <v>583.79999999999995</v>
      </c>
      <c r="AM56" s="6">
        <f t="shared" si="29"/>
        <v>0</v>
      </c>
      <c r="AN56" s="6">
        <f t="shared" si="30"/>
        <v>70660</v>
      </c>
      <c r="AO56" s="6">
        <f t="shared" si="31"/>
        <v>37571</v>
      </c>
      <c r="AP56" s="4">
        <f t="shared" si="32"/>
        <v>21000</v>
      </c>
      <c r="AQ56" s="8">
        <f t="shared" si="33"/>
        <v>108231.01</v>
      </c>
      <c r="AR56" s="55">
        <f ca="1">IF(NOW()-TODAY()&gt;15/24, AG56, [1]!s_dq_volume(AB56,AR$2,1))/AI$2</f>
        <v>0</v>
      </c>
      <c r="AS56" s="110"/>
      <c r="AT56" s="110"/>
      <c r="AU56" s="110"/>
      <c r="AV56" s="110"/>
      <c r="AY56" s="10"/>
      <c r="AZ56" s="10"/>
      <c r="BA56" s="6">
        <f t="shared" ca="1" si="34"/>
        <v>-16234.166666666661</v>
      </c>
      <c r="BB56" s="6">
        <f t="shared" ca="1" si="35"/>
        <v>0</v>
      </c>
      <c r="BC56" s="6">
        <f t="shared" ca="1" si="36"/>
        <v>32085.793333333342</v>
      </c>
      <c r="BD56" s="12">
        <f t="shared" ca="1" si="37"/>
        <v>32085.833333333343</v>
      </c>
      <c r="BE56" s="2">
        <f t="shared" ca="1" si="45"/>
        <v>-3.0173347889398697E-2</v>
      </c>
      <c r="BF56" s="2">
        <f t="shared" ca="1" si="46"/>
        <v>0</v>
      </c>
      <c r="BG56" s="2">
        <f t="shared" ca="1" si="47"/>
        <v>6.5370477298084928E-2</v>
      </c>
      <c r="BH56" s="13">
        <f t="shared" ca="1" si="48"/>
        <v>6.5370561456365189E-2</v>
      </c>
      <c r="BI56" s="2">
        <f t="shared" ca="1" si="49"/>
        <v>-0.22026543959261047</v>
      </c>
      <c r="BJ56" s="2">
        <f t="shared" ca="1" si="50"/>
        <v>0</v>
      </c>
      <c r="BK56" s="2">
        <f t="shared" ca="1" si="51"/>
        <v>0.47720448427601991</v>
      </c>
      <c r="BL56" s="40">
        <f t="shared" ca="1" si="52"/>
        <v>0.47720509863146587</v>
      </c>
      <c r="BN56" s="6">
        <f t="shared" ca="1" si="38"/>
        <v>18606.899999999994</v>
      </c>
      <c r="BO56" s="6">
        <f t="shared" ca="1" si="39"/>
        <v>-29713.100000000013</v>
      </c>
      <c r="BP56" s="6">
        <f t="shared" ca="1" si="40"/>
        <v>0</v>
      </c>
      <c r="BQ56" s="12">
        <f t="shared" ca="1" si="41"/>
        <v>0</v>
      </c>
      <c r="BR56" s="2">
        <f t="shared" ca="1" si="53"/>
        <v>0.11832219535241244</v>
      </c>
      <c r="BS56" s="2">
        <f t="shared" ca="1" si="54"/>
        <v>-0.18761087918444327</v>
      </c>
      <c r="BT56" s="2">
        <f t="shared" ca="1" si="55"/>
        <v>0</v>
      </c>
      <c r="BU56" s="13">
        <f t="shared" ca="1" si="56"/>
        <v>0</v>
      </c>
      <c r="BV56" s="2">
        <f t="shared" ca="1" si="57"/>
        <v>0.8637520260726107</v>
      </c>
      <c r="BW56" s="2">
        <f t="shared" ca="1" si="58"/>
        <v>-1.3695594180464361</v>
      </c>
      <c r="BX56" s="2">
        <f t="shared" ca="1" si="59"/>
        <v>0</v>
      </c>
      <c r="BY56" s="13">
        <f t="shared" ca="1" si="60"/>
        <v>0</v>
      </c>
      <c r="CF56" s="39" t="str">
        <f t="shared" si="21"/>
        <v>C2020-05-4200000.CFE</v>
      </c>
      <c r="CG56" s="39" t="str">
        <f t="shared" si="22"/>
        <v>P2020-05-4200000.CFE</v>
      </c>
      <c r="CH56" s="95" t="s">
        <v>273</v>
      </c>
      <c r="CI56" s="100" t="str">
        <f>IF([1]!w_info_callput(CH56)="认购","C","P")</f>
        <v>C</v>
      </c>
      <c r="CJ56" s="104">
        <f>[1]!w_info_strikeprice(CH56,"")</f>
        <v>4200</v>
      </c>
      <c r="CK56" s="102" t="str">
        <f>[1]!w_info_lasttradingdate(CH56)</f>
        <v>2020-05-15</v>
      </c>
      <c r="CL56" s="39" t="str">
        <f t="shared" si="61"/>
        <v>IO2005-P-4200.CFE</v>
      </c>
    </row>
    <row r="57" spans="1:90">
      <c r="A57" s="35">
        <f t="shared" si="44"/>
        <v>1</v>
      </c>
      <c r="B57" s="112" t="s">
        <v>274</v>
      </c>
      <c r="C57" s="29" t="str">
        <f>IF([1]!w_info_callput(B57)="认购","C","P")</f>
        <v>C</v>
      </c>
      <c r="D57" s="96">
        <f>[1]!w_info_strikeprice(B57,"")</f>
        <v>4250</v>
      </c>
      <c r="E57" s="18" t="str">
        <f>[1]!w_info_lasttradingdate(B57)</f>
        <v>2020-05-15</v>
      </c>
      <c r="F57" s="4">
        <f>IF(G57&gt;0,RTD("wdf.rtq",,$B57,F$5),0)</f>
        <v>33</v>
      </c>
      <c r="G57" s="53">
        <f>RTD("wdf.rtq",,$B57,G$5)</f>
        <v>17</v>
      </c>
      <c r="H57" s="4">
        <f>RTD("wdf.rtq",,$B57,H$5)</f>
        <v>6</v>
      </c>
      <c r="I57" s="53">
        <f>RTD("wdf.rtq",,$B57,I$5)</f>
        <v>1</v>
      </c>
      <c r="J57" s="4">
        <f>RTD("wdf.rtq",,$B57,J$5)</f>
        <v>35.4</v>
      </c>
      <c r="K57" s="54">
        <f>RTD("wdf.rtq",,$B57,K$5)</f>
        <v>1</v>
      </c>
      <c r="L57" s="4">
        <f>[1]!s_dq_presettle(B57,"")</f>
        <v>29.8</v>
      </c>
      <c r="M57" s="6">
        <f t="shared" si="43"/>
        <v>492.90000000000009</v>
      </c>
      <c r="N57" s="3">
        <f t="shared" si="42"/>
        <v>62920.000000000007</v>
      </c>
      <c r="O57" s="4">
        <f t="shared" si="26"/>
        <v>-11719.000000000005</v>
      </c>
      <c r="P57" s="4">
        <f t="shared" si="27"/>
        <v>21250</v>
      </c>
      <c r="Q57" s="8">
        <f t="shared" si="28"/>
        <v>84170.01</v>
      </c>
      <c r="R57" s="55">
        <f ca="1">IF(NOW()-TODAY()&gt;15/24, G57, [1]!s_dq_volume(B57,R$2,1))/$AI$2</f>
        <v>35</v>
      </c>
      <c r="AB57" s="39" t="s">
        <v>255</v>
      </c>
      <c r="AC57" s="29" t="str">
        <f>IF([1]!w_info_callput(AB57)="认购","C","P")</f>
        <v>P</v>
      </c>
      <c r="AD57" s="31">
        <f>[1]!w_info_strikeprice(AB57,"")</f>
        <v>4250</v>
      </c>
      <c r="AE57" s="18" t="str">
        <f>[1]!w_info_lasttradingdate(AB57)</f>
        <v>2020-05-15</v>
      </c>
      <c r="AF57" s="4">
        <f>RTD("wdf.rtq",,$AB57,F$5)</f>
        <v>629.20000000000005</v>
      </c>
      <c r="AG57" s="53">
        <f>RTD("wdf.rtq",,$AB57,G$5)</f>
        <v>0</v>
      </c>
      <c r="AH57" s="4">
        <f>RTD("wdf.rtq",,$AB57,H$5)</f>
        <v>288.8</v>
      </c>
      <c r="AI57" s="53">
        <f>RTD("wdf.rtq",,$AB57,I$5)</f>
        <v>1</v>
      </c>
      <c r="AJ57" s="4">
        <f>RTD("wdf.rtq",,$AB57,J$5)</f>
        <v>0</v>
      </c>
      <c r="AK57" s="54">
        <f>RTD("wdf.rtq",,$AB57,K$5)</f>
        <v>0</v>
      </c>
      <c r="AL57" s="4">
        <f>[1]!s_dq_presettle(AB57,"")</f>
        <v>623.20000000000005</v>
      </c>
      <c r="AM57" s="6">
        <f t="shared" si="29"/>
        <v>0</v>
      </c>
      <c r="AN57" s="6">
        <f t="shared" si="30"/>
        <v>62920.000000000007</v>
      </c>
      <c r="AO57" s="6">
        <f t="shared" si="31"/>
        <v>37571</v>
      </c>
      <c r="AP57" s="4">
        <f t="shared" si="32"/>
        <v>21250</v>
      </c>
      <c r="AQ57" s="8">
        <f t="shared" si="33"/>
        <v>100491.01</v>
      </c>
      <c r="AR57" s="55">
        <f ca="1">IF(NOW()-TODAY()&gt;15/24, AG57, [1]!s_dq_volume(AB57,AR$2,1))/AI$2</f>
        <v>2</v>
      </c>
      <c r="AS57" s="110"/>
      <c r="AT57" s="110"/>
      <c r="AU57" s="110"/>
      <c r="AV57" s="110"/>
      <c r="AY57" s="10"/>
      <c r="AZ57" s="10"/>
      <c r="BA57" s="6">
        <f t="shared" ca="1" si="34"/>
        <v>-4134.1666666666624</v>
      </c>
      <c r="BB57" s="6">
        <f t="shared" ca="1" si="35"/>
        <v>0</v>
      </c>
      <c r="BC57" s="6">
        <f t="shared" ca="1" si="36"/>
        <v>30145.793333333339</v>
      </c>
      <c r="BD57" s="12">
        <f t="shared" ca="1" si="37"/>
        <v>30145.833333333339</v>
      </c>
      <c r="BE57" s="2">
        <f t="shared" ca="1" si="45"/>
        <v>-7.9077402210965195E-3</v>
      </c>
      <c r="BF57" s="2">
        <f t="shared" ca="1" si="46"/>
        <v>0</v>
      </c>
      <c r="BG57" s="2">
        <f t="shared" ca="1" si="47"/>
        <v>6.1678106807001663E-2</v>
      </c>
      <c r="BH57" s="13">
        <f t="shared" ca="1" si="48"/>
        <v>6.1678191170618353E-2</v>
      </c>
      <c r="BI57" s="2">
        <f t="shared" ca="1" si="49"/>
        <v>-5.7726503614004596E-2</v>
      </c>
      <c r="BJ57" s="2">
        <f t="shared" ca="1" si="50"/>
        <v>0</v>
      </c>
      <c r="BK57" s="2">
        <f t="shared" ca="1" si="51"/>
        <v>0.45025017969111208</v>
      </c>
      <c r="BL57" s="40">
        <f t="shared" ca="1" si="52"/>
        <v>0.45025079554551395</v>
      </c>
      <c r="BN57" s="6">
        <f t="shared" ca="1" si="38"/>
        <v>6506.899999999996</v>
      </c>
      <c r="BO57" s="6">
        <f t="shared" ca="1" si="39"/>
        <v>-27773.100000000009</v>
      </c>
      <c r="BP57" s="6">
        <f t="shared" ca="1" si="40"/>
        <v>0</v>
      </c>
      <c r="BQ57" s="12">
        <f t="shared" ca="1" si="41"/>
        <v>0</v>
      </c>
      <c r="BR57" s="2">
        <f t="shared" ca="1" si="53"/>
        <v>4.3706781627501107E-2</v>
      </c>
      <c r="BS57" s="2">
        <f t="shared" ca="1" si="54"/>
        <v>-0.18625138071843436</v>
      </c>
      <c r="BT57" s="2">
        <f t="shared" ca="1" si="55"/>
        <v>0</v>
      </c>
      <c r="BU57" s="13">
        <f t="shared" ca="1" si="56"/>
        <v>0</v>
      </c>
      <c r="BV57" s="2">
        <f t="shared" ca="1" si="57"/>
        <v>0.3190595058807581</v>
      </c>
      <c r="BW57" s="2">
        <f t="shared" ca="1" si="58"/>
        <v>-1.3596350792445708</v>
      </c>
      <c r="BX57" s="2">
        <f t="shared" ca="1" si="59"/>
        <v>0</v>
      </c>
      <c r="BY57" s="13">
        <f t="shared" ca="1" si="60"/>
        <v>0</v>
      </c>
      <c r="CF57" s="39" t="str">
        <f t="shared" si="21"/>
        <v>C2020-05-4250000.CFE</v>
      </c>
      <c r="CG57" s="39" t="str">
        <f t="shared" si="22"/>
        <v>P2020-05-4250000.CFE</v>
      </c>
      <c r="CH57" s="95" t="s">
        <v>274</v>
      </c>
      <c r="CI57" s="100" t="str">
        <f>IF([1]!w_info_callput(CH57)="认购","C","P")</f>
        <v>C</v>
      </c>
      <c r="CJ57" s="104">
        <f>[1]!w_info_strikeprice(CH57,"")</f>
        <v>4250</v>
      </c>
      <c r="CK57" s="102" t="str">
        <f>[1]!w_info_lasttradingdate(CH57)</f>
        <v>2020-05-15</v>
      </c>
      <c r="CL57" s="39" t="str">
        <f t="shared" si="61"/>
        <v>IO2005-P-4250.CFE</v>
      </c>
    </row>
    <row r="58" spans="1:90">
      <c r="A58" s="35">
        <f t="shared" si="44"/>
        <v>1</v>
      </c>
      <c r="B58" s="112" t="s">
        <v>275</v>
      </c>
      <c r="C58" s="29" t="str">
        <f>IF([1]!w_info_callput(B58)="认购","C","P")</f>
        <v>C</v>
      </c>
      <c r="D58" s="96">
        <f>[1]!w_info_strikeprice(B58,"")</f>
        <v>4300</v>
      </c>
      <c r="E58" s="18" t="str">
        <f>[1]!w_info_lasttradingdate(B58)</f>
        <v>2020-05-15</v>
      </c>
      <c r="F58" s="4">
        <f>IF(G58&gt;0,RTD("wdf.rtq",,$B58,F$5),0)</f>
        <v>27.400000000000002</v>
      </c>
      <c r="G58" s="53">
        <f>RTD("wdf.rtq",,$B58,G$5)</f>
        <v>38</v>
      </c>
      <c r="H58" s="4">
        <f>RTD("wdf.rtq",,$B58,H$5)</f>
        <v>16.8</v>
      </c>
      <c r="I58" s="53">
        <f>RTD("wdf.rtq",,$B58,I$5)</f>
        <v>10</v>
      </c>
      <c r="J58" s="4">
        <f>RTD("wdf.rtq",,$B58,J$5)</f>
        <v>35</v>
      </c>
      <c r="K58" s="54">
        <f>RTD("wdf.rtq",,$B58,K$5)</f>
        <v>2</v>
      </c>
      <c r="L58" s="4">
        <f>[1]!s_dq_presettle(B58,"")</f>
        <v>25.6</v>
      </c>
      <c r="M58" s="6">
        <f t="shared" si="43"/>
        <v>542.90000000000009</v>
      </c>
      <c r="N58" s="3">
        <f t="shared" si="42"/>
        <v>74660</v>
      </c>
      <c r="O58" s="4">
        <f t="shared" si="26"/>
        <v>-16719.000000000007</v>
      </c>
      <c r="P58" s="4">
        <f t="shared" si="27"/>
        <v>21500</v>
      </c>
      <c r="Q58" s="8">
        <f t="shared" si="28"/>
        <v>96160.01</v>
      </c>
      <c r="R58" s="55">
        <f ca="1">IF(NOW()-TODAY()&gt;15/24, G58, [1]!s_dq_volume(B58,R$2,1))/$AI$2</f>
        <v>37</v>
      </c>
      <c r="AB58" s="39" t="s">
        <v>256</v>
      </c>
      <c r="AC58" s="29" t="str">
        <f>IF([1]!w_info_callput(AB58)="认购","C","P")</f>
        <v>P</v>
      </c>
      <c r="AD58" s="31">
        <f>[1]!w_info_strikeprice(AB58,"")</f>
        <v>4300</v>
      </c>
      <c r="AE58" s="18" t="str">
        <f>[1]!w_info_lasttradingdate(AB58)</f>
        <v>2020-05-15</v>
      </c>
      <c r="AF58" s="4">
        <f>RTD("wdf.rtq",,$AB58,F$5)</f>
        <v>746.6</v>
      </c>
      <c r="AG58" s="53">
        <f>RTD("wdf.rtq",,$AB58,G$5)</f>
        <v>0</v>
      </c>
      <c r="AH58" s="4">
        <f>RTD("wdf.rtq",,$AB58,H$5)</f>
        <v>333.40000000000003</v>
      </c>
      <c r="AI58" s="53">
        <f>RTD("wdf.rtq",,$AB58,I$5)</f>
        <v>1</v>
      </c>
      <c r="AJ58" s="4">
        <f>RTD("wdf.rtq",,$AB58,J$5)</f>
        <v>0</v>
      </c>
      <c r="AK58" s="54">
        <f>RTD("wdf.rtq",,$AB58,K$5)</f>
        <v>0</v>
      </c>
      <c r="AL58" s="4">
        <f>[1]!s_dq_presettle(AB58,"")</f>
        <v>669</v>
      </c>
      <c r="AM58" s="6">
        <f t="shared" si="29"/>
        <v>0</v>
      </c>
      <c r="AN58" s="6">
        <f t="shared" si="30"/>
        <v>74660</v>
      </c>
      <c r="AO58" s="6">
        <f t="shared" si="31"/>
        <v>37571</v>
      </c>
      <c r="AP58" s="4">
        <f t="shared" si="32"/>
        <v>21500</v>
      </c>
      <c r="AQ58" s="8">
        <f t="shared" si="33"/>
        <v>112231.01</v>
      </c>
      <c r="AR58" s="55">
        <f ca="1">IF(NOW()-TODAY()&gt;15/24, AG58, [1]!s_dq_volume(AB58,AR$2,1))/AI$2</f>
        <v>0</v>
      </c>
      <c r="AS58" s="110"/>
      <c r="AT58" s="110"/>
      <c r="AU58" s="110"/>
      <c r="AV58" s="110"/>
      <c r="AY58" s="10"/>
      <c r="AZ58" s="10"/>
      <c r="BA58" s="6">
        <f t="shared" ca="1" si="34"/>
        <v>-11434.166666666661</v>
      </c>
      <c r="BB58" s="6">
        <f t="shared" ca="1" si="35"/>
        <v>0</v>
      </c>
      <c r="BC58" s="6">
        <f t="shared" ca="1" si="36"/>
        <v>30645.793333333339</v>
      </c>
      <c r="BD58" s="12">
        <f t="shared" ca="1" si="37"/>
        <v>30645.833333333339</v>
      </c>
      <c r="BE58" s="2">
        <f t="shared" ca="1" si="45"/>
        <v>-2.092138850100228E-2</v>
      </c>
      <c r="BF58" s="2">
        <f t="shared" ca="1" si="46"/>
        <v>0</v>
      </c>
      <c r="BG58" s="2">
        <f t="shared" ca="1" si="47"/>
        <v>6.0659510923275491E-2</v>
      </c>
      <c r="BH58" s="13">
        <f t="shared" ca="1" si="48"/>
        <v>6.0659592499628698E-2</v>
      </c>
      <c r="BI58" s="2">
        <f t="shared" ca="1" si="49"/>
        <v>-0.15272613605731666</v>
      </c>
      <c r="BJ58" s="2">
        <f t="shared" ca="1" si="50"/>
        <v>0</v>
      </c>
      <c r="BK58" s="2">
        <f t="shared" ca="1" si="51"/>
        <v>0.44281442973991103</v>
      </c>
      <c r="BL58" s="40">
        <f t="shared" ca="1" si="52"/>
        <v>0.4428150252472895</v>
      </c>
      <c r="BN58" s="6">
        <f t="shared" ca="1" si="38"/>
        <v>13806.899999999996</v>
      </c>
      <c r="BO58" s="6">
        <f t="shared" ca="1" si="39"/>
        <v>-28273.100000000009</v>
      </c>
      <c r="BP58" s="6">
        <f t="shared" ca="1" si="40"/>
        <v>0</v>
      </c>
      <c r="BQ58" s="12">
        <f t="shared" ca="1" si="41"/>
        <v>0</v>
      </c>
      <c r="BR58" s="2">
        <f t="shared" ca="1" si="53"/>
        <v>8.6262819793121406E-2</v>
      </c>
      <c r="BS58" s="2">
        <f t="shared" ca="1" si="54"/>
        <v>-0.17581001318212891</v>
      </c>
      <c r="BT58" s="2">
        <f t="shared" ca="1" si="55"/>
        <v>0</v>
      </c>
      <c r="BU58" s="13">
        <f t="shared" ca="1" si="56"/>
        <v>0</v>
      </c>
      <c r="BV58" s="2">
        <f t="shared" ca="1" si="57"/>
        <v>0.62971858448978635</v>
      </c>
      <c r="BW58" s="2">
        <f t="shared" ca="1" si="58"/>
        <v>-1.2834130962295409</v>
      </c>
      <c r="BX58" s="2">
        <f t="shared" ca="1" si="59"/>
        <v>0</v>
      </c>
      <c r="BY58" s="13">
        <f t="shared" ca="1" si="60"/>
        <v>0</v>
      </c>
      <c r="CF58" s="39" t="str">
        <f t="shared" si="21"/>
        <v>C2020-05-4300000.CFE</v>
      </c>
      <c r="CG58" s="39" t="str">
        <f t="shared" si="22"/>
        <v>P2020-05-4300000.CFE</v>
      </c>
      <c r="CH58" s="95" t="s">
        <v>275</v>
      </c>
      <c r="CI58" s="100" t="str">
        <f>IF([1]!w_info_callput(CH58)="认购","C","P")</f>
        <v>C</v>
      </c>
      <c r="CJ58" s="104">
        <f>[1]!w_info_strikeprice(CH58,"")</f>
        <v>4300</v>
      </c>
      <c r="CK58" s="102" t="str">
        <f>[1]!w_info_lasttradingdate(CH58)</f>
        <v>2020-05-15</v>
      </c>
      <c r="CL58" s="39" t="str">
        <f t="shared" si="61"/>
        <v>IO2005-P-4300.CFE</v>
      </c>
    </row>
    <row r="59" spans="1:90">
      <c r="A59" s="35">
        <f t="shared" si="44"/>
        <v>1</v>
      </c>
      <c r="B59" s="112" t="s">
        <v>276</v>
      </c>
      <c r="C59" s="29" t="str">
        <f>IF([1]!w_info_callput(B59)="认购","C","P")</f>
        <v>C</v>
      </c>
      <c r="D59" s="96">
        <f>[1]!w_info_strikeprice(B59,"")</f>
        <v>4350</v>
      </c>
      <c r="E59" s="18" t="str">
        <f>[1]!w_info_lasttradingdate(B59)</f>
        <v>2020-05-15</v>
      </c>
      <c r="F59" s="4">
        <f>IF(G59&gt;0,RTD("wdf.rtq",,$B59,F$5),0)</f>
        <v>23.2</v>
      </c>
      <c r="G59" s="53">
        <f>RTD("wdf.rtq",,$B59,G$5)</f>
        <v>47</v>
      </c>
      <c r="H59" s="4">
        <f>RTD("wdf.rtq",,$B59,H$5)</f>
        <v>15</v>
      </c>
      <c r="I59" s="53">
        <f>RTD("wdf.rtq",,$B59,I$5)</f>
        <v>12</v>
      </c>
      <c r="J59" s="4">
        <f>RTD("wdf.rtq",,$B59,J$5)</f>
        <v>0</v>
      </c>
      <c r="K59" s="54">
        <f>RTD("wdf.rtq",,$B59,K$5)</f>
        <v>0</v>
      </c>
      <c r="L59" s="4">
        <f>[1]!s_dq_presettle(B59,"")</f>
        <v>21.4</v>
      </c>
      <c r="M59" s="6">
        <f t="shared" si="43"/>
        <v>592.90000000000009</v>
      </c>
      <c r="N59" s="3">
        <f t="shared" si="42"/>
        <v>78700</v>
      </c>
      <c r="O59" s="4">
        <f t="shared" si="26"/>
        <v>-21719.000000000007</v>
      </c>
      <c r="P59" s="4">
        <f t="shared" si="27"/>
        <v>21750</v>
      </c>
      <c r="Q59" s="8">
        <f t="shared" si="28"/>
        <v>100450.01</v>
      </c>
      <c r="R59" s="55">
        <f ca="1">IF(NOW()-TODAY()&gt;15/24, G59, [1]!s_dq_volume(B59,R$2,1))/$AI$2</f>
        <v>56</v>
      </c>
      <c r="AB59" s="39" t="s">
        <v>257</v>
      </c>
      <c r="AC59" s="29" t="str">
        <f>IF([1]!w_info_callput(AB59)="认购","C","P")</f>
        <v>P</v>
      </c>
      <c r="AD59" s="31">
        <f>[1]!w_info_strikeprice(AB59,"")</f>
        <v>4350</v>
      </c>
      <c r="AE59" s="18" t="str">
        <f>[1]!w_info_lasttradingdate(AB59)</f>
        <v>2020-05-15</v>
      </c>
      <c r="AF59" s="4">
        <f>RTD("wdf.rtq",,$AB59,F$5)</f>
        <v>787</v>
      </c>
      <c r="AG59" s="53">
        <f>RTD("wdf.rtq",,$AB59,G$5)</f>
        <v>0</v>
      </c>
      <c r="AH59" s="4">
        <f>RTD("wdf.rtq",,$AB59,H$5)</f>
        <v>388.8</v>
      </c>
      <c r="AI59" s="53">
        <f>RTD("wdf.rtq",,$AB59,I$5)</f>
        <v>1</v>
      </c>
      <c r="AJ59" s="4">
        <f>RTD("wdf.rtq",,$AB59,J$5)</f>
        <v>0</v>
      </c>
      <c r="AK59" s="54">
        <f>RTD("wdf.rtq",,$AB59,K$5)</f>
        <v>0</v>
      </c>
      <c r="AL59" s="4">
        <f>[1]!s_dq_presettle(AB59,"")</f>
        <v>718.4</v>
      </c>
      <c r="AM59" s="6">
        <f t="shared" si="29"/>
        <v>0</v>
      </c>
      <c r="AN59" s="6">
        <f t="shared" si="30"/>
        <v>78700</v>
      </c>
      <c r="AO59" s="6">
        <f t="shared" si="31"/>
        <v>37571</v>
      </c>
      <c r="AP59" s="4">
        <f t="shared" si="32"/>
        <v>21750</v>
      </c>
      <c r="AQ59" s="8">
        <f t="shared" si="33"/>
        <v>116271.01</v>
      </c>
      <c r="AR59" s="55">
        <f ca="1">IF(NOW()-TODAY()&gt;15/24, AG59, [1]!s_dq_volume(AB59,AR$2,1))/AI$2</f>
        <v>0</v>
      </c>
      <c r="AS59" s="110"/>
      <c r="AT59" s="110"/>
      <c r="AU59" s="110"/>
      <c r="AV59" s="110"/>
      <c r="AY59" s="10"/>
      <c r="AZ59" s="10"/>
      <c r="BA59" s="6">
        <f t="shared" ca="1" si="34"/>
        <v>-10894.166666666653</v>
      </c>
      <c r="BB59" s="6">
        <f t="shared" ca="1" si="35"/>
        <v>0</v>
      </c>
      <c r="BC59" s="6">
        <f t="shared" ca="1" si="36"/>
        <v>0</v>
      </c>
      <c r="BD59" s="12">
        <f t="shared" ca="1" si="37"/>
        <v>0</v>
      </c>
      <c r="BE59" s="2">
        <f t="shared" ca="1" si="45"/>
        <v>-1.9634081516645349E-2</v>
      </c>
      <c r="BF59" s="2">
        <f t="shared" ca="1" si="46"/>
        <v>0</v>
      </c>
      <c r="BG59" s="2">
        <f t="shared" ca="1" si="47"/>
        <v>0</v>
      </c>
      <c r="BH59" s="13">
        <f t="shared" ca="1" si="48"/>
        <v>0</v>
      </c>
      <c r="BI59" s="2">
        <f t="shared" ca="1" si="49"/>
        <v>-0.14332879507151106</v>
      </c>
      <c r="BJ59" s="2">
        <f t="shared" ca="1" si="50"/>
        <v>0</v>
      </c>
      <c r="BK59" s="2">
        <f t="shared" ca="1" si="51"/>
        <v>0</v>
      </c>
      <c r="BL59" s="40">
        <f t="shared" ca="1" si="52"/>
        <v>0</v>
      </c>
      <c r="BN59" s="6">
        <f t="shared" ca="1" si="38"/>
        <v>13266.899999999987</v>
      </c>
      <c r="BO59" s="6">
        <f t="shared" ca="1" si="39"/>
        <v>0</v>
      </c>
      <c r="BP59" s="6">
        <f t="shared" ca="1" si="40"/>
        <v>0</v>
      </c>
      <c r="BQ59" s="12">
        <f t="shared" ca="1" si="41"/>
        <v>0</v>
      </c>
      <c r="BR59" s="2">
        <f t="shared" ca="1" si="53"/>
        <v>8.105576247152832E-2</v>
      </c>
      <c r="BS59" s="2">
        <f t="shared" ca="1" si="54"/>
        <v>0</v>
      </c>
      <c r="BT59" s="2">
        <f t="shared" ca="1" si="55"/>
        <v>0</v>
      </c>
      <c r="BU59" s="13">
        <f t="shared" ca="1" si="56"/>
        <v>0</v>
      </c>
      <c r="BV59" s="2">
        <f t="shared" ca="1" si="57"/>
        <v>0.59170706604215673</v>
      </c>
      <c r="BW59" s="2">
        <f t="shared" ca="1" si="58"/>
        <v>0</v>
      </c>
      <c r="BX59" s="2">
        <f t="shared" ca="1" si="59"/>
        <v>0</v>
      </c>
      <c r="BY59" s="13">
        <f t="shared" ca="1" si="60"/>
        <v>0</v>
      </c>
      <c r="CF59" s="39" t="str">
        <f t="shared" si="21"/>
        <v>C2020-05-4350000.CFE</v>
      </c>
      <c r="CG59" s="39" t="str">
        <f t="shared" si="22"/>
        <v>P2020-05-4350000.CFE</v>
      </c>
      <c r="CH59" s="95" t="s">
        <v>276</v>
      </c>
      <c r="CI59" s="100" t="str">
        <f>IF([1]!w_info_callput(CH59)="认购","C","P")</f>
        <v>C</v>
      </c>
      <c r="CJ59" s="104">
        <f>[1]!w_info_strikeprice(CH59,"")</f>
        <v>4350</v>
      </c>
      <c r="CK59" s="102" t="str">
        <f>[1]!w_info_lasttradingdate(CH59)</f>
        <v>2020-05-15</v>
      </c>
      <c r="CL59" s="39" t="str">
        <f t="shared" si="61"/>
        <v>IO2005-P-4350.CFE</v>
      </c>
    </row>
    <row r="60" spans="1:90">
      <c r="A60" s="35">
        <f t="shared" si="44"/>
        <v>1</v>
      </c>
      <c r="B60" s="112" t="s">
        <v>277</v>
      </c>
      <c r="C60" s="29" t="str">
        <f>IF([1]!w_info_callput(B60)="认购","C","P")</f>
        <v>C</v>
      </c>
      <c r="D60" s="96">
        <f>[1]!w_info_strikeprice(B60,"")</f>
        <v>4400</v>
      </c>
      <c r="E60" s="18" t="str">
        <f>[1]!w_info_lasttradingdate(B60)</f>
        <v>2020-05-15</v>
      </c>
      <c r="F60" s="4">
        <f>IF(G60&gt;0,RTD("wdf.rtq",,$B60,F$5),0)</f>
        <v>18.2</v>
      </c>
      <c r="G60" s="53">
        <f>RTD("wdf.rtq",,$B60,G$5)</f>
        <v>27</v>
      </c>
      <c r="H60" s="4">
        <f>RTD("wdf.rtq",,$B60,H$5)</f>
        <v>10</v>
      </c>
      <c r="I60" s="53">
        <f>RTD("wdf.rtq",,$B60,I$5)</f>
        <v>1</v>
      </c>
      <c r="J60" s="4">
        <f>RTD("wdf.rtq",,$B60,J$5)</f>
        <v>22</v>
      </c>
      <c r="K60" s="54">
        <f>RTD("wdf.rtq",,$B60,K$5)</f>
        <v>1</v>
      </c>
      <c r="L60" s="4">
        <f>[1]!s_dq_presettle(B60,"")</f>
        <v>18.8</v>
      </c>
      <c r="M60" s="6">
        <f t="shared" si="43"/>
        <v>642.90000000000009</v>
      </c>
      <c r="N60" s="3">
        <f t="shared" si="42"/>
        <v>83340</v>
      </c>
      <c r="O60" s="4">
        <f t="shared" si="26"/>
        <v>-26719.000000000007</v>
      </c>
      <c r="P60" s="4">
        <f t="shared" si="27"/>
        <v>22000</v>
      </c>
      <c r="Q60" s="8">
        <f t="shared" si="28"/>
        <v>105340.01</v>
      </c>
      <c r="R60" s="55">
        <f ca="1">IF(NOW()-TODAY()&gt;15/24, G60, [1]!s_dq_volume(B60,R$2,1))/$AI$2</f>
        <v>83</v>
      </c>
      <c r="AB60" s="39" t="s">
        <v>258</v>
      </c>
      <c r="AC60" s="29" t="str">
        <f>IF([1]!w_info_callput(AB60)="认购","C","P")</f>
        <v>P</v>
      </c>
      <c r="AD60" s="31">
        <f>[1]!w_info_strikeprice(AB60,"")</f>
        <v>4400</v>
      </c>
      <c r="AE60" s="18" t="str">
        <f>[1]!w_info_lasttradingdate(AB60)</f>
        <v>2020-05-15</v>
      </c>
      <c r="AF60" s="4">
        <f>RTD("wdf.rtq",,$AB60,F$5)</f>
        <v>833.4</v>
      </c>
      <c r="AG60" s="53">
        <f>RTD("wdf.rtq",,$AB60,G$5)</f>
        <v>0</v>
      </c>
      <c r="AH60" s="4">
        <f>RTD("wdf.rtq",,$AB60,H$5)</f>
        <v>432.40000000000003</v>
      </c>
      <c r="AI60" s="53">
        <f>RTD("wdf.rtq",,$AB60,I$5)</f>
        <v>1</v>
      </c>
      <c r="AJ60" s="4">
        <f>RTD("wdf.rtq",,$AB60,J$5)</f>
        <v>0</v>
      </c>
      <c r="AK60" s="54">
        <f>RTD("wdf.rtq",,$AB60,K$5)</f>
        <v>0</v>
      </c>
      <c r="AL60" s="4">
        <f>[1]!s_dq_presettle(AB60,"")</f>
        <v>765.4</v>
      </c>
      <c r="AM60" s="6">
        <f t="shared" si="29"/>
        <v>0</v>
      </c>
      <c r="AN60" s="6">
        <f t="shared" si="30"/>
        <v>83340</v>
      </c>
      <c r="AO60" s="6">
        <f t="shared" si="31"/>
        <v>37571</v>
      </c>
      <c r="AP60" s="4">
        <f t="shared" si="32"/>
        <v>22000</v>
      </c>
      <c r="AQ60" s="8">
        <f t="shared" si="33"/>
        <v>120911.01</v>
      </c>
      <c r="AR60" s="55">
        <f ca="1">IF(NOW()-TODAY()&gt;15/24, AG60, [1]!s_dq_volume(AB60,AR$2,1))/AI$2</f>
        <v>0</v>
      </c>
      <c r="AS60" s="110"/>
      <c r="AT60" s="110"/>
      <c r="AU60" s="110"/>
      <c r="AV60" s="110"/>
      <c r="AY60" s="10"/>
      <c r="AZ60" s="10"/>
      <c r="BA60" s="6">
        <f t="shared" ca="1" si="34"/>
        <v>-11034.16666666665</v>
      </c>
      <c r="BB60" s="6">
        <f t="shared" ca="1" si="35"/>
        <v>0</v>
      </c>
      <c r="BC60" s="6">
        <f t="shared" ca="1" si="36"/>
        <v>29445.793333333339</v>
      </c>
      <c r="BD60" s="12">
        <f t="shared" ca="1" si="37"/>
        <v>29445.833333333339</v>
      </c>
      <c r="BE60" s="2">
        <f t="shared" ca="1" si="45"/>
        <v>-1.9550605912862718E-2</v>
      </c>
      <c r="BF60" s="2">
        <f t="shared" ca="1" si="46"/>
        <v>0</v>
      </c>
      <c r="BG60" s="2">
        <f t="shared" ca="1" si="47"/>
        <v>5.6163176197215378E-2</v>
      </c>
      <c r="BH60" s="13">
        <f t="shared" ca="1" si="48"/>
        <v>5.6163254633315139E-2</v>
      </c>
      <c r="BI60" s="2">
        <f t="shared" ca="1" si="49"/>
        <v>-0.14271942316389785</v>
      </c>
      <c r="BJ60" s="2">
        <f t="shared" ca="1" si="50"/>
        <v>0</v>
      </c>
      <c r="BK60" s="2">
        <f t="shared" ca="1" si="51"/>
        <v>0.40999118623967229</v>
      </c>
      <c r="BL60" s="40">
        <f t="shared" ca="1" si="52"/>
        <v>0.40999175882320055</v>
      </c>
      <c r="BN60" s="6">
        <f t="shared" ca="1" si="38"/>
        <v>13406.899999999985</v>
      </c>
      <c r="BO60" s="6">
        <f t="shared" ca="1" si="39"/>
        <v>-27073.100000000009</v>
      </c>
      <c r="BP60" s="6">
        <f t="shared" ca="1" si="40"/>
        <v>0</v>
      </c>
      <c r="BQ60" s="12">
        <f t="shared" ca="1" si="41"/>
        <v>0</v>
      </c>
      <c r="BR60" s="2">
        <f t="shared" ca="1" si="53"/>
        <v>7.9890375309989339E-2</v>
      </c>
      <c r="BS60" s="2">
        <f t="shared" ca="1" si="54"/>
        <v>-0.16096141524235302</v>
      </c>
      <c r="BT60" s="2">
        <f t="shared" ca="1" si="55"/>
        <v>0</v>
      </c>
      <c r="BU60" s="13">
        <f t="shared" ca="1" si="56"/>
        <v>0</v>
      </c>
      <c r="BV60" s="2">
        <f t="shared" ca="1" si="57"/>
        <v>0.58319973976292216</v>
      </c>
      <c r="BW60" s="2">
        <f t="shared" ca="1" si="58"/>
        <v>-1.1750183312691771</v>
      </c>
      <c r="BX60" s="2">
        <f t="shared" ca="1" si="59"/>
        <v>0</v>
      </c>
      <c r="BY60" s="13">
        <f t="shared" ca="1" si="60"/>
        <v>0</v>
      </c>
      <c r="CF60" s="39" t="str">
        <f t="shared" si="21"/>
        <v>C2020-05-4400000.CFE</v>
      </c>
      <c r="CG60" s="39" t="str">
        <f t="shared" si="22"/>
        <v>P2020-05-4400000.CFE</v>
      </c>
      <c r="CH60" s="95" t="s">
        <v>277</v>
      </c>
      <c r="CI60" s="100" t="str">
        <f>IF([1]!w_info_callput(CH60)="认购","C","P")</f>
        <v>C</v>
      </c>
      <c r="CJ60" s="104">
        <f>[1]!w_info_strikeprice(CH60,"")</f>
        <v>4400</v>
      </c>
      <c r="CK60" s="102" t="str">
        <f>[1]!w_info_lasttradingdate(CH60)</f>
        <v>2020-05-15</v>
      </c>
      <c r="CL60" s="39" t="str">
        <f t="shared" si="61"/>
        <v>IO2005-P-4400.CFE</v>
      </c>
    </row>
    <row r="61" spans="1:90">
      <c r="A61" s="35">
        <f t="shared" si="44"/>
        <v>1</v>
      </c>
      <c r="B61" s="112" t="s">
        <v>278</v>
      </c>
      <c r="C61" s="29" t="str">
        <f>IF([1]!w_info_callput(B61)="认购","C","P")</f>
        <v>C</v>
      </c>
      <c r="D61" s="96">
        <f>[1]!w_info_strikeprice(B61,"")</f>
        <v>4450</v>
      </c>
      <c r="E61" s="18" t="str">
        <f>[1]!w_info_lasttradingdate(B61)</f>
        <v>2020-05-15</v>
      </c>
      <c r="F61" s="4">
        <f>IF(G61&gt;0,RTD("wdf.rtq",,$B61,F$5),0)</f>
        <v>17.2</v>
      </c>
      <c r="G61" s="53">
        <f>RTD("wdf.rtq",,$B61,G$5)</f>
        <v>26</v>
      </c>
      <c r="H61" s="4">
        <f>RTD("wdf.rtq",,$B61,H$5)</f>
        <v>15.4</v>
      </c>
      <c r="I61" s="53">
        <f>RTD("wdf.rtq",,$B61,I$5)</f>
        <v>1</v>
      </c>
      <c r="J61" s="4">
        <f>RTD("wdf.rtq",,$B61,J$5)</f>
        <v>0</v>
      </c>
      <c r="K61" s="54">
        <f>RTD("wdf.rtq",,$B61,K$5)</f>
        <v>0</v>
      </c>
      <c r="L61" s="4">
        <f>[1]!s_dq_presettle(B61,"")</f>
        <v>16.2</v>
      </c>
      <c r="M61" s="6">
        <f t="shared" si="43"/>
        <v>692.90000000000009</v>
      </c>
      <c r="N61" s="3">
        <f t="shared" si="42"/>
        <v>95120</v>
      </c>
      <c r="O61" s="4">
        <f t="shared" si="26"/>
        <v>-31719.000000000007</v>
      </c>
      <c r="P61" s="4">
        <f t="shared" si="27"/>
        <v>22250</v>
      </c>
      <c r="Q61" s="8">
        <f t="shared" si="28"/>
        <v>117370.01</v>
      </c>
      <c r="R61" s="55">
        <f ca="1">IF(NOW()-TODAY()&gt;15/24, G61, [1]!s_dq_volume(B61,R$2,1))/$AI$2</f>
        <v>53</v>
      </c>
      <c r="AB61" s="39" t="s">
        <v>259</v>
      </c>
      <c r="AC61" s="29" t="str">
        <f>IF([1]!w_info_callput(AB61)="认购","C","P")</f>
        <v>P</v>
      </c>
      <c r="AD61" s="31">
        <f>[1]!w_info_strikeprice(AB61,"")</f>
        <v>4450</v>
      </c>
      <c r="AE61" s="18" t="str">
        <f>[1]!w_info_lasttradingdate(AB61)</f>
        <v>2020-05-15</v>
      </c>
      <c r="AF61" s="4">
        <f>RTD("wdf.rtq",,$AB61,F$5)</f>
        <v>951.2</v>
      </c>
      <c r="AG61" s="53">
        <f>RTD("wdf.rtq",,$AB61,G$5)</f>
        <v>0</v>
      </c>
      <c r="AH61" s="4">
        <f>RTD("wdf.rtq",,$AB61,H$5)</f>
        <v>477.8</v>
      </c>
      <c r="AI61" s="53">
        <f>RTD("wdf.rtq",,$AB61,I$5)</f>
        <v>1</v>
      </c>
      <c r="AJ61" s="4">
        <f>RTD("wdf.rtq",,$AB61,J$5)</f>
        <v>0</v>
      </c>
      <c r="AK61" s="54">
        <f>RTD("wdf.rtq",,$AB61,K$5)</f>
        <v>0</v>
      </c>
      <c r="AL61" s="4">
        <f>[1]!s_dq_presettle(AB61,"")</f>
        <v>812.8</v>
      </c>
      <c r="AM61" s="6">
        <f t="shared" si="29"/>
        <v>0</v>
      </c>
      <c r="AN61" s="6">
        <f t="shared" si="30"/>
        <v>95120</v>
      </c>
      <c r="AO61" s="6">
        <f t="shared" si="31"/>
        <v>37571</v>
      </c>
      <c r="AP61" s="4">
        <f t="shared" si="32"/>
        <v>22250</v>
      </c>
      <c r="AQ61" s="8">
        <f t="shared" si="33"/>
        <v>132691.01</v>
      </c>
      <c r="AR61" s="55">
        <f ca="1">IF(NOW()-TODAY()&gt;15/24, AG61, [1]!s_dq_volume(AB61,AR$2,1))/AI$2</f>
        <v>0</v>
      </c>
      <c r="AS61" s="110"/>
      <c r="AT61" s="110"/>
      <c r="AU61" s="110"/>
      <c r="AV61" s="110"/>
      <c r="AY61" s="10"/>
      <c r="AZ61" s="10"/>
      <c r="BA61" s="6">
        <f t="shared" ca="1" si="34"/>
        <v>-17914.166666666657</v>
      </c>
      <c r="BB61" s="6">
        <f t="shared" ca="1" si="35"/>
        <v>0</v>
      </c>
      <c r="BC61" s="6">
        <f t="shared" ca="1" si="36"/>
        <v>0</v>
      </c>
      <c r="BD61" s="12">
        <f t="shared" ca="1" si="37"/>
        <v>0</v>
      </c>
      <c r="BE61" s="2">
        <f t="shared" ca="1" si="45"/>
        <v>-3.0455910170193053E-2</v>
      </c>
      <c r="BF61" s="2">
        <f t="shared" ca="1" si="46"/>
        <v>0</v>
      </c>
      <c r="BG61" s="2">
        <f t="shared" ca="1" si="47"/>
        <v>0</v>
      </c>
      <c r="BH61" s="13">
        <f t="shared" ca="1" si="48"/>
        <v>0</v>
      </c>
      <c r="BI61" s="2">
        <f t="shared" ca="1" si="49"/>
        <v>-0.22232814424240929</v>
      </c>
      <c r="BJ61" s="2">
        <f t="shared" ca="1" si="50"/>
        <v>0</v>
      </c>
      <c r="BK61" s="2">
        <f t="shared" ca="1" si="51"/>
        <v>0</v>
      </c>
      <c r="BL61" s="40">
        <f t="shared" ca="1" si="52"/>
        <v>0</v>
      </c>
      <c r="BN61" s="6">
        <f t="shared" ca="1" si="38"/>
        <v>20286.899999999991</v>
      </c>
      <c r="BO61" s="6">
        <f t="shared" ca="1" si="39"/>
        <v>0</v>
      </c>
      <c r="BP61" s="6">
        <f t="shared" ca="1" si="40"/>
        <v>0</v>
      </c>
      <c r="BQ61" s="12">
        <f t="shared" ca="1" si="41"/>
        <v>0</v>
      </c>
      <c r="BR61" s="2">
        <f t="shared" ca="1" si="53"/>
        <v>0.11302132785979152</v>
      </c>
      <c r="BS61" s="2">
        <f t="shared" ca="1" si="54"/>
        <v>0</v>
      </c>
      <c r="BT61" s="2">
        <f t="shared" ca="1" si="55"/>
        <v>0</v>
      </c>
      <c r="BU61" s="13">
        <f t="shared" ca="1" si="56"/>
        <v>0</v>
      </c>
      <c r="BV61" s="2">
        <f t="shared" ca="1" si="57"/>
        <v>0.82505569337647811</v>
      </c>
      <c r="BW61" s="2">
        <f t="shared" ca="1" si="58"/>
        <v>0</v>
      </c>
      <c r="BX61" s="2">
        <f t="shared" ca="1" si="59"/>
        <v>0</v>
      </c>
      <c r="BY61" s="13">
        <f t="shared" ca="1" si="60"/>
        <v>0</v>
      </c>
      <c r="CF61" s="39" t="str">
        <f t="shared" si="21"/>
        <v>C2020-05-4450000.CFE</v>
      </c>
      <c r="CG61" s="39" t="str">
        <f t="shared" si="22"/>
        <v>P2020-05-4450000.CFE</v>
      </c>
      <c r="CH61" s="95" t="s">
        <v>278</v>
      </c>
      <c r="CI61" s="100" t="str">
        <f>IF([1]!w_info_callput(CH61)="认购","C","P")</f>
        <v>C</v>
      </c>
      <c r="CJ61" s="104">
        <f>[1]!w_info_strikeprice(CH61,"")</f>
        <v>4450</v>
      </c>
      <c r="CK61" s="102" t="str">
        <f>[1]!w_info_lasttradingdate(CH61)</f>
        <v>2020-05-15</v>
      </c>
      <c r="CL61" s="39" t="str">
        <f t="shared" si="61"/>
        <v>IO2005-P-4450.CFE</v>
      </c>
    </row>
    <row r="62" spans="1:90">
      <c r="A62" s="35">
        <f t="shared" si="44"/>
        <v>1</v>
      </c>
      <c r="B62" s="112" t="s">
        <v>279</v>
      </c>
      <c r="C62" s="29" t="str">
        <f>IF([1]!w_info_callput(B62)="认购","C","P")</f>
        <v>C</v>
      </c>
      <c r="D62" s="96">
        <f>[1]!w_info_strikeprice(B62,"")</f>
        <v>4500</v>
      </c>
      <c r="E62" s="18" t="str">
        <f>[1]!w_info_lasttradingdate(B62)</f>
        <v>2020-05-15</v>
      </c>
      <c r="F62" s="4">
        <f>IF(G62&gt;0,RTD("wdf.rtq",,$B62,F$5),0)</f>
        <v>14.4</v>
      </c>
      <c r="G62" s="53">
        <f>RTD("wdf.rtq",,$B62,G$5)</f>
        <v>39</v>
      </c>
      <c r="H62" s="4">
        <f>RTD("wdf.rtq",,$B62,H$5)</f>
        <v>3</v>
      </c>
      <c r="I62" s="53">
        <f>RTD("wdf.rtq",,$B62,I$5)</f>
        <v>1</v>
      </c>
      <c r="J62" s="4">
        <f>RTD("wdf.rtq",,$B62,J$5)</f>
        <v>15.8</v>
      </c>
      <c r="K62" s="54">
        <f>RTD("wdf.rtq",,$B62,K$5)</f>
        <v>5</v>
      </c>
      <c r="L62" s="4">
        <f>[1]!s_dq_presettle(B62,"")</f>
        <v>14.4</v>
      </c>
      <c r="M62" s="6">
        <f t="shared" si="43"/>
        <v>742.90000000000009</v>
      </c>
      <c r="N62" s="3">
        <f t="shared" si="42"/>
        <v>92640</v>
      </c>
      <c r="O62" s="4">
        <f t="shared" si="26"/>
        <v>-36719.000000000007</v>
      </c>
      <c r="P62" s="4">
        <f t="shared" si="27"/>
        <v>22500</v>
      </c>
      <c r="Q62" s="8">
        <f t="shared" si="28"/>
        <v>115140.01</v>
      </c>
      <c r="R62" s="55">
        <f ca="1">IF(NOW()-TODAY()&gt;15/24, G62, [1]!s_dq_volume(B62,R$2,1))/$AI$2</f>
        <v>59</v>
      </c>
      <c r="AB62" s="39" t="s">
        <v>260</v>
      </c>
      <c r="AC62" s="29" t="str">
        <f>IF([1]!w_info_callput(AB62)="认购","C","P")</f>
        <v>P</v>
      </c>
      <c r="AD62" s="31">
        <f>[1]!w_info_strikeprice(AB62,"")</f>
        <v>4500</v>
      </c>
      <c r="AE62" s="18" t="str">
        <f>[1]!w_info_lasttradingdate(AB62)</f>
        <v>2020-05-15</v>
      </c>
      <c r="AF62" s="4">
        <f>RTD("wdf.rtq",,$AB62,F$5)</f>
        <v>926.4</v>
      </c>
      <c r="AG62" s="53">
        <f>RTD("wdf.rtq",,$AB62,G$5)</f>
        <v>0</v>
      </c>
      <c r="AH62" s="4">
        <f>RTD("wdf.rtq",,$AB62,H$5)</f>
        <v>523.4</v>
      </c>
      <c r="AI62" s="53">
        <f>RTD("wdf.rtq",,$AB62,I$5)</f>
        <v>1</v>
      </c>
      <c r="AJ62" s="4">
        <f>RTD("wdf.rtq",,$AB62,J$5)</f>
        <v>0</v>
      </c>
      <c r="AK62" s="54">
        <f>RTD("wdf.rtq",,$AB62,K$5)</f>
        <v>0</v>
      </c>
      <c r="AL62" s="4">
        <f>[1]!s_dq_presettle(AB62,"")</f>
        <v>860.4</v>
      </c>
      <c r="AM62" s="6">
        <f t="shared" si="29"/>
        <v>0</v>
      </c>
      <c r="AN62" s="6">
        <f t="shared" si="30"/>
        <v>92640</v>
      </c>
      <c r="AO62" s="6">
        <f t="shared" si="31"/>
        <v>37571</v>
      </c>
      <c r="AP62" s="4">
        <f t="shared" si="32"/>
        <v>22500</v>
      </c>
      <c r="AQ62" s="8">
        <f t="shared" si="33"/>
        <v>130211.01</v>
      </c>
      <c r="AR62" s="55">
        <f ca="1">IF(NOW()-TODAY()&gt;15/24, AG62, [1]!s_dq_volume(AB62,AR$2,1))/AI$2</f>
        <v>0</v>
      </c>
      <c r="AS62" s="110"/>
      <c r="AT62" s="110"/>
      <c r="AU62" s="110"/>
      <c r="AV62" s="110"/>
      <c r="AY62" s="10"/>
      <c r="AZ62" s="10"/>
      <c r="BA62" s="6">
        <f t="shared" ca="1" si="34"/>
        <v>-10714.166666666657</v>
      </c>
      <c r="BB62" s="6">
        <f t="shared" ca="1" si="35"/>
        <v>0</v>
      </c>
      <c r="BC62" s="6">
        <f t="shared" ca="1" si="36"/>
        <v>29725.793333333346</v>
      </c>
      <c r="BD62" s="12">
        <f t="shared" ca="1" si="37"/>
        <v>29725.833333333347</v>
      </c>
      <c r="BE62" s="2">
        <f t="shared" ca="1" si="45"/>
        <v>-1.8362210977128222E-2</v>
      </c>
      <c r="BF62" s="2">
        <f t="shared" ca="1" si="46"/>
        <v>0</v>
      </c>
      <c r="BG62" s="2">
        <f t="shared" ca="1" si="47"/>
        <v>5.4724482578101342E-2</v>
      </c>
      <c r="BH62" s="13">
        <f t="shared" ca="1" si="48"/>
        <v>5.4724558232087786E-2</v>
      </c>
      <c r="BI62" s="2">
        <f t="shared" ca="1" si="49"/>
        <v>-0.13404414013303603</v>
      </c>
      <c r="BJ62" s="2">
        <f t="shared" ca="1" si="50"/>
        <v>0</v>
      </c>
      <c r="BK62" s="2">
        <f t="shared" ca="1" si="51"/>
        <v>0.39948872282013981</v>
      </c>
      <c r="BL62" s="40">
        <f t="shared" ca="1" si="52"/>
        <v>0.39948927509424081</v>
      </c>
      <c r="BN62" s="6">
        <f t="shared" ca="1" si="38"/>
        <v>13086.899999999991</v>
      </c>
      <c r="BO62" s="6">
        <f t="shared" ca="1" si="39"/>
        <v>-27353.100000000017</v>
      </c>
      <c r="BP62" s="6">
        <f t="shared" ca="1" si="40"/>
        <v>0</v>
      </c>
      <c r="BQ62" s="12">
        <f t="shared" ca="1" si="41"/>
        <v>0</v>
      </c>
      <c r="BR62" s="2">
        <f t="shared" ca="1" si="53"/>
        <v>7.4047644226386836E-2</v>
      </c>
      <c r="BS62" s="2">
        <f t="shared" ca="1" si="54"/>
        <v>-0.1546454438389426</v>
      </c>
      <c r="BT62" s="2">
        <f t="shared" ca="1" si="55"/>
        <v>0</v>
      </c>
      <c r="BU62" s="13">
        <f t="shared" ca="1" si="56"/>
        <v>0</v>
      </c>
      <c r="BV62" s="2">
        <f t="shared" ca="1" si="57"/>
        <v>0.54054780285262394</v>
      </c>
      <c r="BW62" s="2">
        <f t="shared" ca="1" si="58"/>
        <v>-1.128911740024281</v>
      </c>
      <c r="BX62" s="2">
        <f t="shared" ca="1" si="59"/>
        <v>0</v>
      </c>
      <c r="BY62" s="13">
        <f t="shared" ca="1" si="60"/>
        <v>0</v>
      </c>
      <c r="CF62" s="39" t="str">
        <f t="shared" si="21"/>
        <v>C2020-05-4500000.CFE</v>
      </c>
      <c r="CG62" s="39" t="str">
        <f t="shared" si="22"/>
        <v>P2020-05-4500000.CFE</v>
      </c>
      <c r="CH62" s="95" t="s">
        <v>279</v>
      </c>
      <c r="CI62" s="100" t="str">
        <f>IF([1]!w_info_callput(CH62)="认购","C","P")</f>
        <v>C</v>
      </c>
      <c r="CJ62" s="104">
        <f>[1]!w_info_strikeprice(CH62,"")</f>
        <v>4500</v>
      </c>
      <c r="CK62" s="102" t="str">
        <f>[1]!w_info_lasttradingdate(CH62)</f>
        <v>2020-05-15</v>
      </c>
      <c r="CL62" s="39" t="str">
        <f t="shared" si="61"/>
        <v>IO2005-P-4500.CFE</v>
      </c>
    </row>
    <row r="63" spans="1:90">
      <c r="A63" s="35">
        <f t="shared" si="44"/>
        <v>1</v>
      </c>
      <c r="B63" s="112" t="s">
        <v>280</v>
      </c>
      <c r="C63" s="29" t="str">
        <f>IF([1]!w_info_callput(B63)="认购","C","P")</f>
        <v>C</v>
      </c>
      <c r="D63" s="96">
        <f>[1]!w_info_strikeprice(B63,"")</f>
        <v>4550</v>
      </c>
      <c r="E63" s="18" t="str">
        <f>[1]!w_info_lasttradingdate(B63)</f>
        <v>2020-05-15</v>
      </c>
      <c r="F63" s="4">
        <f>IF(G63&gt;0,RTD("wdf.rtq",,$B63,F$5),0)</f>
        <v>11.6</v>
      </c>
      <c r="G63" s="53">
        <f>RTD("wdf.rtq",,$B63,G$5)</f>
        <v>6</v>
      </c>
      <c r="H63" s="4">
        <f>RTD("wdf.rtq",,$B63,H$5)</f>
        <v>2</v>
      </c>
      <c r="I63" s="53">
        <f>RTD("wdf.rtq",,$B63,I$5)</f>
        <v>1</v>
      </c>
      <c r="J63" s="4">
        <f>RTD("wdf.rtq",,$B63,J$5)</f>
        <v>26.6</v>
      </c>
      <c r="K63" s="54">
        <f>RTD("wdf.rtq",,$B63,K$5)</f>
        <v>1</v>
      </c>
      <c r="L63" s="4">
        <f>[1]!s_dq_presettle(B63,"")</f>
        <v>12</v>
      </c>
      <c r="M63" s="6">
        <f t="shared" si="43"/>
        <v>792.90000000000009</v>
      </c>
      <c r="N63" s="3">
        <f t="shared" si="42"/>
        <v>101320</v>
      </c>
      <c r="O63" s="4">
        <f t="shared" si="26"/>
        <v>-41719.000000000007</v>
      </c>
      <c r="P63" s="4">
        <f t="shared" si="27"/>
        <v>22750</v>
      </c>
      <c r="Q63" s="8">
        <f t="shared" si="28"/>
        <v>124070.01</v>
      </c>
      <c r="R63" s="55">
        <f ca="1">IF(NOW()-TODAY()&gt;15/24, G63, [1]!s_dq_volume(B63,R$2,1))/$AI$2</f>
        <v>11</v>
      </c>
      <c r="AB63" s="39" t="s">
        <v>261</v>
      </c>
      <c r="AC63" s="29" t="str">
        <f>IF([1]!w_info_callput(AB63)="认购","C","P")</f>
        <v>P</v>
      </c>
      <c r="AD63" s="31">
        <f>[1]!w_info_strikeprice(AB63,"")</f>
        <v>4550</v>
      </c>
      <c r="AE63" s="18" t="str">
        <f>[1]!w_info_lasttradingdate(AB63)</f>
        <v>2020-05-15</v>
      </c>
      <c r="AF63" s="4">
        <f>RTD("wdf.rtq",,$AB63,F$5)</f>
        <v>1013.2</v>
      </c>
      <c r="AG63" s="53">
        <f>RTD("wdf.rtq",,$AB63,G$5)</f>
        <v>0</v>
      </c>
      <c r="AH63" s="4">
        <f>RTD("wdf.rtq",,$AB63,H$5)</f>
        <v>600.20000000000005</v>
      </c>
      <c r="AI63" s="53">
        <f>RTD("wdf.rtq",,$AB63,I$5)</f>
        <v>1</v>
      </c>
      <c r="AJ63" s="4">
        <f>RTD("wdf.rtq",,$AB63,J$5)</f>
        <v>0</v>
      </c>
      <c r="AK63" s="54">
        <f>RTD("wdf.rtq",,$AB63,K$5)</f>
        <v>0</v>
      </c>
      <c r="AL63" s="4">
        <f>[1]!s_dq_presettle(AB63,"")</f>
        <v>908.6</v>
      </c>
      <c r="AM63" s="6">
        <f t="shared" si="29"/>
        <v>0</v>
      </c>
      <c r="AN63" s="6">
        <f t="shared" si="30"/>
        <v>101320</v>
      </c>
      <c r="AO63" s="6">
        <f t="shared" si="31"/>
        <v>37571</v>
      </c>
      <c r="AP63" s="4">
        <f t="shared" si="32"/>
        <v>22750</v>
      </c>
      <c r="AQ63" s="8">
        <f t="shared" si="33"/>
        <v>138891.01</v>
      </c>
      <c r="AR63" s="55">
        <f ca="1">IF(NOW()-TODAY()&gt;15/24, AG63, [1]!s_dq_volume(AB63,AR$2,1))/AI$2</f>
        <v>0</v>
      </c>
      <c r="AS63" s="110"/>
      <c r="AT63" s="110"/>
      <c r="AU63" s="110"/>
      <c r="AV63" s="110"/>
      <c r="AY63" s="10"/>
      <c r="AZ63" s="10"/>
      <c r="BA63" s="6">
        <f t="shared" ca="1" si="34"/>
        <v>-14674.166666666659</v>
      </c>
      <c r="BB63" s="6">
        <f t="shared" ca="1" si="35"/>
        <v>0</v>
      </c>
      <c r="BC63" s="6">
        <f t="shared" ca="1" si="36"/>
        <v>28125.793333333339</v>
      </c>
      <c r="BD63" s="12">
        <f t="shared" ca="1" si="37"/>
        <v>28125.833333333339</v>
      </c>
      <c r="BE63" s="2">
        <f t="shared" ca="1" si="45"/>
        <v>-2.441218835891661E-2</v>
      </c>
      <c r="BF63" s="2">
        <f t="shared" ca="1" si="46"/>
        <v>0</v>
      </c>
      <c r="BG63" s="2">
        <f t="shared" ca="1" si="47"/>
        <v>5.0242572036541935E-2</v>
      </c>
      <c r="BH63" s="13">
        <f t="shared" ca="1" si="48"/>
        <v>5.0242645285650027E-2</v>
      </c>
      <c r="BI63" s="2">
        <f t="shared" ca="1" si="49"/>
        <v>-0.17820897502009125</v>
      </c>
      <c r="BJ63" s="2">
        <f t="shared" ca="1" si="50"/>
        <v>0</v>
      </c>
      <c r="BK63" s="2">
        <f t="shared" ca="1" si="51"/>
        <v>0.36677077586675616</v>
      </c>
      <c r="BL63" s="40">
        <f t="shared" ca="1" si="52"/>
        <v>0.36677131058524526</v>
      </c>
      <c r="BN63" s="6">
        <f t="shared" ca="1" si="38"/>
        <v>17046.899999999994</v>
      </c>
      <c r="BO63" s="6">
        <f t="shared" ca="1" si="39"/>
        <v>-25753.100000000009</v>
      </c>
      <c r="BP63" s="6">
        <f t="shared" ca="1" si="40"/>
        <v>0</v>
      </c>
      <c r="BQ63" s="12">
        <f t="shared" ca="1" si="41"/>
        <v>0</v>
      </c>
      <c r="BR63" s="2">
        <f t="shared" ca="1" si="53"/>
        <v>9.2077611397575823E-2</v>
      </c>
      <c r="BS63" s="2">
        <f t="shared" ca="1" si="54"/>
        <v>-0.137985549535109</v>
      </c>
      <c r="BT63" s="2">
        <f t="shared" ca="1" si="55"/>
        <v>0</v>
      </c>
      <c r="BU63" s="13">
        <f t="shared" ca="1" si="56"/>
        <v>0</v>
      </c>
      <c r="BV63" s="2">
        <f t="shared" ca="1" si="57"/>
        <v>0.67216656320230361</v>
      </c>
      <c r="BW63" s="2">
        <f t="shared" ca="1" si="58"/>
        <v>-1.0072945116062957</v>
      </c>
      <c r="BX63" s="2">
        <f t="shared" ca="1" si="59"/>
        <v>0</v>
      </c>
      <c r="BY63" s="13">
        <f t="shared" ca="1" si="60"/>
        <v>0</v>
      </c>
      <c r="CF63" s="39" t="str">
        <f t="shared" si="21"/>
        <v>C2020-05-4550000.CFE</v>
      </c>
      <c r="CG63" s="39" t="str">
        <f t="shared" si="22"/>
        <v>P2020-05-4550000.CFE</v>
      </c>
      <c r="CH63" s="95" t="s">
        <v>280</v>
      </c>
      <c r="CI63" s="100" t="str">
        <f>IF([1]!w_info_callput(CH63)="认购","C","P")</f>
        <v>C</v>
      </c>
      <c r="CJ63" s="104">
        <f>[1]!w_info_strikeprice(CH63,"")</f>
        <v>4550</v>
      </c>
      <c r="CK63" s="102" t="str">
        <f>[1]!w_info_lasttradingdate(CH63)</f>
        <v>2020-05-15</v>
      </c>
      <c r="CL63" s="39" t="str">
        <f t="shared" si="61"/>
        <v>IO2005-P-4550.CFE</v>
      </c>
    </row>
    <row r="64" spans="1:90">
      <c r="A64" s="35">
        <f t="shared" si="44"/>
        <v>1</v>
      </c>
      <c r="B64" s="112" t="s">
        <v>281</v>
      </c>
      <c r="C64" s="29" t="str">
        <f>IF([1]!w_info_callput(B64)="认购","C","P")</f>
        <v>C</v>
      </c>
      <c r="D64" s="96">
        <f>[1]!w_info_strikeprice(B64,"")</f>
        <v>4600</v>
      </c>
      <c r="E64" s="18" t="str">
        <f>[1]!w_info_lasttradingdate(B64)</f>
        <v>2020-05-15</v>
      </c>
      <c r="F64" s="4">
        <f>IF(G64&gt;0,RTD("wdf.rtq",,$B64,F$5),0)</f>
        <v>10.6</v>
      </c>
      <c r="G64" s="53">
        <f>RTD("wdf.rtq",,$B64,G$5)</f>
        <v>15</v>
      </c>
      <c r="H64" s="4">
        <f>RTD("wdf.rtq",,$B64,H$5)</f>
        <v>2</v>
      </c>
      <c r="I64" s="53">
        <f>RTD("wdf.rtq",,$B64,I$5)</f>
        <v>1</v>
      </c>
      <c r="J64" s="4">
        <f>RTD("wdf.rtq",,$B64,J$5)</f>
        <v>12.200000000000001</v>
      </c>
      <c r="K64" s="54">
        <f>RTD("wdf.rtq",,$B64,K$5)</f>
        <v>1</v>
      </c>
      <c r="L64" s="4">
        <f>[1]!s_dq_presettle(B64,"")</f>
        <v>10.8</v>
      </c>
      <c r="M64" s="6">
        <f t="shared" si="43"/>
        <v>842.90000000000009</v>
      </c>
      <c r="N64" s="3">
        <f t="shared" si="42"/>
        <v>102060</v>
      </c>
      <c r="O64" s="4">
        <f t="shared" si="26"/>
        <v>-46719.000000000007</v>
      </c>
      <c r="P64" s="4">
        <f t="shared" si="27"/>
        <v>23000</v>
      </c>
      <c r="Q64" s="8">
        <f t="shared" si="28"/>
        <v>125060.01</v>
      </c>
      <c r="R64" s="55">
        <f ca="1">IF(NOW()-TODAY()&gt;15/24, G64, [1]!s_dq_volume(B64,R$2,1))/$AI$2</f>
        <v>87</v>
      </c>
      <c r="AB64" s="39" t="s">
        <v>262</v>
      </c>
      <c r="AC64" s="29" t="str">
        <f>IF([1]!w_info_callput(AB64)="认购","C","P")</f>
        <v>P</v>
      </c>
      <c r="AD64" s="31">
        <f>[1]!w_info_strikeprice(AB64,"")</f>
        <v>4600</v>
      </c>
      <c r="AE64" s="18" t="str">
        <f>[1]!w_info_lasttradingdate(AB64)</f>
        <v>2020-05-15</v>
      </c>
      <c r="AF64" s="4">
        <f>RTD("wdf.rtq",,$AB64,F$5)</f>
        <v>1020.6</v>
      </c>
      <c r="AG64" s="53">
        <f>RTD("wdf.rtq",,$AB64,G$5)</f>
        <v>0</v>
      </c>
      <c r="AH64" s="4">
        <f>RTD("wdf.rtq",,$AB64,H$5)</f>
        <v>0</v>
      </c>
      <c r="AI64" s="53">
        <f>RTD("wdf.rtq",,$AB64,I$5)</f>
        <v>0</v>
      </c>
      <c r="AJ64" s="4">
        <f>RTD("wdf.rtq",,$AB64,J$5)</f>
        <v>0</v>
      </c>
      <c r="AK64" s="54">
        <f>RTD("wdf.rtq",,$AB64,K$5)</f>
        <v>0</v>
      </c>
      <c r="AL64" s="4">
        <f>[1]!s_dq_presettle(AB64,"")</f>
        <v>956.8</v>
      </c>
      <c r="AM64" s="6">
        <f t="shared" si="29"/>
        <v>0</v>
      </c>
      <c r="AN64" s="6">
        <f t="shared" si="30"/>
        <v>102060</v>
      </c>
      <c r="AO64" s="6">
        <f t="shared" si="31"/>
        <v>37571</v>
      </c>
      <c r="AP64" s="4">
        <f t="shared" si="32"/>
        <v>23000</v>
      </c>
      <c r="AQ64" s="8">
        <f t="shared" si="33"/>
        <v>139631.01</v>
      </c>
      <c r="AR64" s="55">
        <f ca="1">IF(NOW()-TODAY()&gt;15/24, AG64, [1]!s_dq_volume(AB64,AR$2,1))/AI$2</f>
        <v>0</v>
      </c>
      <c r="AS64" s="110"/>
      <c r="AT64" s="110"/>
      <c r="AU64" s="110"/>
      <c r="AV64" s="110"/>
      <c r="AY64" s="10"/>
      <c r="AZ64" s="10"/>
      <c r="BA64" s="6">
        <f t="shared" ca="1" si="34"/>
        <v>-10514.166666666657</v>
      </c>
      <c r="BB64" s="6">
        <f t="shared" ca="1" si="35"/>
        <v>0</v>
      </c>
      <c r="BC64" s="6">
        <f t="shared" ca="1" si="36"/>
        <v>0</v>
      </c>
      <c r="BD64" s="12">
        <f t="shared" ca="1" si="37"/>
        <v>0</v>
      </c>
      <c r="BE64" s="2">
        <f t="shared" ca="1" si="45"/>
        <v>-1.7441345806036856E-2</v>
      </c>
      <c r="BF64" s="2">
        <f t="shared" ca="1" si="46"/>
        <v>0</v>
      </c>
      <c r="BG64" s="2">
        <f t="shared" ca="1" si="47"/>
        <v>0</v>
      </c>
      <c r="BH64" s="13">
        <f t="shared" ca="1" si="48"/>
        <v>0</v>
      </c>
      <c r="BI64" s="2">
        <f t="shared" ca="1" si="49"/>
        <v>-0.12732182438406905</v>
      </c>
      <c r="BJ64" s="2">
        <f t="shared" ca="1" si="50"/>
        <v>0</v>
      </c>
      <c r="BK64" s="2">
        <f t="shared" ca="1" si="51"/>
        <v>0</v>
      </c>
      <c r="BL64" s="40">
        <f t="shared" ca="1" si="52"/>
        <v>0</v>
      </c>
      <c r="BN64" s="6">
        <f t="shared" ca="1" si="38"/>
        <v>12886.899999999991</v>
      </c>
      <c r="BO64" s="6">
        <f t="shared" ca="1" si="39"/>
        <v>0</v>
      </c>
      <c r="BP64" s="6">
        <f t="shared" ca="1" si="40"/>
        <v>0</v>
      </c>
      <c r="BQ64" s="12">
        <f t="shared" ca="1" si="41"/>
        <v>0</v>
      </c>
      <c r="BR64" s="2">
        <f t="shared" ca="1" si="53"/>
        <v>6.9367870084118891E-2</v>
      </c>
      <c r="BS64" s="2">
        <f t="shared" ca="1" si="54"/>
        <v>0</v>
      </c>
      <c r="BT64" s="2">
        <f t="shared" ca="1" si="55"/>
        <v>0</v>
      </c>
      <c r="BU64" s="13">
        <f t="shared" ca="1" si="56"/>
        <v>0</v>
      </c>
      <c r="BV64" s="2">
        <f t="shared" ca="1" si="57"/>
        <v>0.50638545161406789</v>
      </c>
      <c r="BW64" s="2">
        <f t="shared" ca="1" si="58"/>
        <v>0</v>
      </c>
      <c r="BX64" s="2">
        <f t="shared" ca="1" si="59"/>
        <v>0</v>
      </c>
      <c r="BY64" s="13">
        <f t="shared" ca="1" si="60"/>
        <v>0</v>
      </c>
      <c r="CF64" s="39" t="str">
        <f t="shared" si="21"/>
        <v>C2020-05-4600000.CFE</v>
      </c>
      <c r="CG64" s="39" t="str">
        <f t="shared" si="22"/>
        <v>P2020-05-4600000.CFE</v>
      </c>
      <c r="CH64" s="95" t="s">
        <v>281</v>
      </c>
      <c r="CI64" s="100" t="str">
        <f>IF([1]!w_info_callput(CH64)="认购","C","P")</f>
        <v>C</v>
      </c>
      <c r="CJ64" s="104">
        <f>[1]!w_info_strikeprice(CH64,"")</f>
        <v>4600</v>
      </c>
      <c r="CK64" s="102" t="str">
        <f>[1]!w_info_lasttradingdate(CH64)</f>
        <v>2020-05-15</v>
      </c>
      <c r="CL64" s="39" t="str">
        <f t="shared" si="61"/>
        <v>IO2005-P-4600.CFE</v>
      </c>
    </row>
    <row r="65" spans="1:90" s="128" customFormat="1">
      <c r="A65" s="115"/>
      <c r="B65" s="139" t="s">
        <v>323</v>
      </c>
      <c r="C65" s="117" t="str">
        <f>IF([1]!w_info_callput(B65)="认购","C","P")</f>
        <v>C</v>
      </c>
      <c r="D65" s="118">
        <f>[1]!w_info_strikeprice(B65,"")</f>
        <v>4650</v>
      </c>
      <c r="E65" s="119" t="str">
        <f>[1]!w_info_lasttradingdate(B65)</f>
        <v>2020-05-15</v>
      </c>
      <c r="F65" s="137">
        <f>IF(G65&gt;0,RTD("wdf.rtq",,$B65,F$5),0)</f>
        <v>9.2000000000000011</v>
      </c>
      <c r="G65" s="121">
        <f>RTD("wdf.rtq",,$B65,G$5)</f>
        <v>83</v>
      </c>
      <c r="H65" s="137">
        <f>RTD("wdf.rtq",,$B65,H$5)</f>
        <v>9</v>
      </c>
      <c r="I65" s="121">
        <f>RTD("wdf.rtq",,$B65,I$5)</f>
        <v>1</v>
      </c>
      <c r="J65" s="137">
        <f>RTD("wdf.rtq",,$B65,J$5)</f>
        <v>11.200000000000001</v>
      </c>
      <c r="K65" s="121">
        <f>RTD("wdf.rtq",,$B65,K$5)</f>
        <v>1</v>
      </c>
      <c r="L65" s="137">
        <f>[1]!s_dq_presettle(B65,"")</f>
        <v>9.4</v>
      </c>
      <c r="M65" s="131">
        <f t="shared" ref="M65:M128" si="62">IF(C65="P",MAX($AF$2-D65,0),MAX(0,D65-$AF$2))</f>
        <v>892.90000000000009</v>
      </c>
      <c r="N65" s="122">
        <f t="shared" ref="N65:N128" si="63">AH$2*AI$2*AF65</f>
        <v>100000</v>
      </c>
      <c r="O65" s="137">
        <f t="shared" ref="O65:O128" si="64">($F$2*$O$2-M65)*H$2</f>
        <v>-51719.000000000007</v>
      </c>
      <c r="P65" s="137">
        <f t="shared" ref="P65:P128" si="65">$O$2*$P$2*D65*H$2</f>
        <v>23250</v>
      </c>
      <c r="Q65" s="124">
        <f t="shared" ref="Q65:Q128" si="66">I$2*(N65+MAX(O65,P65))*$Q$2+0.01</f>
        <v>123250.01</v>
      </c>
      <c r="R65" s="125">
        <f ca="1">IF(NOW()-TODAY()&gt;15/24, G65, [1]!s_dq_volume(B65,R$2,1))/$AI$2</f>
        <v>274</v>
      </c>
      <c r="AB65" s="128" t="s">
        <v>330</v>
      </c>
      <c r="AC65" s="117" t="str">
        <f>IF([1]!w_info_callput(AB65)="认购","C","P")</f>
        <v>P</v>
      </c>
      <c r="AD65" s="126">
        <f>[1]!w_info_strikeprice(AB65,"")</f>
        <v>4650</v>
      </c>
      <c r="AE65" s="119" t="str">
        <f>[1]!w_info_lasttradingdate(AB65)</f>
        <v>2020-05-15</v>
      </c>
      <c r="AF65" s="137">
        <f>RTD("wdf.rtq",,$AB65,F$5)</f>
        <v>1000</v>
      </c>
      <c r="AG65" s="121">
        <f>RTD("wdf.rtq",,$AB65,G$5)</f>
        <v>0</v>
      </c>
      <c r="AH65" s="137">
        <f>RTD("wdf.rtq",,$AB65,H$5)</f>
        <v>0</v>
      </c>
      <c r="AI65" s="121">
        <f>RTD("wdf.rtq",,$AB65,I$5)</f>
        <v>0</v>
      </c>
      <c r="AJ65" s="137">
        <f>RTD("wdf.rtq",,$AB65,J$5)</f>
        <v>0</v>
      </c>
      <c r="AK65" s="121">
        <f>RTD("wdf.rtq",,$AB65,K$5)</f>
        <v>0</v>
      </c>
      <c r="AL65" s="137">
        <f>[1]!s_dq_presettle(AB65,"")</f>
        <v>1005.4</v>
      </c>
      <c r="AM65" s="131">
        <f t="shared" ref="AM65:AM128" si="67">IF(AC65="P",MAX($AF$2-AD65,0),MAX(0,AD65-$AF$2))</f>
        <v>0</v>
      </c>
      <c r="AN65" s="131">
        <f t="shared" ref="AN65:AN128" si="68">AH$2*AI$2*AF65</f>
        <v>100000</v>
      </c>
      <c r="AO65" s="131">
        <f t="shared" ref="AO65:AO128" si="69">($AF$2*$AO$2-AM65)*$AH$2</f>
        <v>37571</v>
      </c>
      <c r="AP65" s="137">
        <f t="shared" ref="AP65:AP128" si="70">$AO$2*$AP$2*AD65*AH$2</f>
        <v>23250</v>
      </c>
      <c r="AQ65" s="124">
        <f t="shared" ref="AQ65:AQ128" si="71">AI$2*(AN65+MAX(AO65,AP65))*$AQ$2+0.01</f>
        <v>137571.01</v>
      </c>
      <c r="AR65" s="125">
        <f ca="1">IF(NOW()-TODAY()&gt;15/24, AG65, [1]!s_dq_volume(AB65,AR$2,1))/AI$2</f>
        <v>0</v>
      </c>
      <c r="AS65" s="127"/>
      <c r="AT65" s="127"/>
      <c r="AU65" s="127"/>
      <c r="AV65" s="127"/>
      <c r="AX65" s="129"/>
      <c r="AY65" s="130"/>
      <c r="AZ65" s="130"/>
      <c r="BA65" s="131">
        <f t="shared" ca="1" si="34"/>
        <v>-3594.1666666666533</v>
      </c>
      <c r="BB65" s="131">
        <f t="shared" ca="1" si="35"/>
        <v>0</v>
      </c>
      <c r="BC65" s="131">
        <f t="shared" ca="1" si="36"/>
        <v>0</v>
      </c>
      <c r="BD65" s="141">
        <f t="shared" ca="1" si="37"/>
        <v>0</v>
      </c>
      <c r="BE65" s="132">
        <f t="shared" ref="BE65:BE128" ca="1" si="72">BA65/(Q65+AH$2*AI$2*($AF$3+AF65))</f>
        <v>-6.0006788544474839E-3</v>
      </c>
      <c r="BF65" s="132">
        <f t="shared" ref="BF65:BF128" ca="1" si="73">BB65/(Q65+AH$2*AI$2*($AF$3+AJ65))</f>
        <v>0</v>
      </c>
      <c r="BG65" s="132">
        <f t="shared" ref="BG65:BG128" ca="1" si="74">BC65/(Q65+AH$2*AI$2*($AF$3+AH65+$BC$3))</f>
        <v>0</v>
      </c>
      <c r="BH65" s="133">
        <f t="shared" ref="BH65:BH128" ca="1" si="75">BD65/(Q65+AH$2*AI$2*($AF$3+AH65))</f>
        <v>0</v>
      </c>
      <c r="BI65" s="132">
        <f t="shared" ref="BI65:BI128" ca="1" si="76">BE65*365/(AE65+1-TODAY())</f>
        <v>-4.3804955637466635E-2</v>
      </c>
      <c r="BJ65" s="132">
        <f t="shared" ref="BJ65:BJ128" ca="1" si="77">BF65*365/(AE65+1-TODAY())</f>
        <v>0</v>
      </c>
      <c r="BK65" s="132">
        <f t="shared" ref="BK65:BK128" ca="1" si="78">BG65*365/(AE65+1-TODAY())</f>
        <v>0</v>
      </c>
      <c r="BL65" s="132">
        <f t="shared" ref="BL65:BL128" ca="1" si="79">BH65*365/(AE65+1-TODAY())</f>
        <v>0</v>
      </c>
      <c r="BM65" s="134"/>
      <c r="BN65" s="131">
        <f t="shared" ca="1" si="38"/>
        <v>5966.899999999986</v>
      </c>
      <c r="BO65" s="131">
        <f t="shared" ca="1" si="39"/>
        <v>0</v>
      </c>
      <c r="BP65" s="131">
        <f t="shared" ca="1" si="40"/>
        <v>0</v>
      </c>
      <c r="BQ65" s="141">
        <f t="shared" ca="1" si="41"/>
        <v>0</v>
      </c>
      <c r="BR65" s="132">
        <f t="shared" ref="BR65:BR128" ca="1" si="80">BN65/(AQ65+AH$2*AI$2*(F65+0.12*$AF$3))</f>
        <v>3.2503667005653866E-2</v>
      </c>
      <c r="BS65" s="132">
        <f t="shared" ref="BS65:BS128" ca="1" si="81">BO65/(AQ65+H$2*I$2*(J65+0.12*$AF$3))</f>
        <v>0</v>
      </c>
      <c r="BT65" s="132">
        <f t="shared" ref="BT65:BT128" ca="1" si="82">BP65/(AQ65+H$2*I$2*(H65+$BP$3+0.12*$AF$3))</f>
        <v>0</v>
      </c>
      <c r="BU65" s="133">
        <f t="shared" ref="BU65:BU128" ca="1" si="83">BQ65/(AQ65+H$2*I$2*(H65+0.12*$AF$3))</f>
        <v>0</v>
      </c>
      <c r="BV65" s="132">
        <f t="shared" ref="BV65:BV128" ca="1" si="84">BR65*365/(AE65+1-TODAY())</f>
        <v>0.23727676914127321</v>
      </c>
      <c r="BW65" s="132">
        <f t="shared" ref="BW65:BW128" ca="1" si="85">BS65*365/(AE65+1-TODAY())</f>
        <v>0</v>
      </c>
      <c r="BX65" s="132">
        <f t="shared" ref="BX65:BX128" ca="1" si="86">BT65*365/(AE65+1-TODAY())</f>
        <v>0</v>
      </c>
      <c r="BY65" s="133">
        <f t="shared" ref="BY65:BY128" ca="1" si="87">BU65*365/(AE65+1-TODAY())</f>
        <v>0</v>
      </c>
      <c r="CF65" s="128" t="str">
        <f t="shared" si="21"/>
        <v>C2020-05-4650000.CFE</v>
      </c>
      <c r="CG65" s="128" t="str">
        <f t="shared" si="22"/>
        <v>P2020-05-4650000.CFE</v>
      </c>
      <c r="CH65" s="135" t="s">
        <v>323</v>
      </c>
      <c r="CI65" s="117" t="str">
        <f>IF([1]!w_info_callput(CH65)="认购","C","P")</f>
        <v>C</v>
      </c>
      <c r="CJ65" s="131">
        <f>[1]!w_info_strikeprice(CH65,"")</f>
        <v>4650</v>
      </c>
      <c r="CK65" s="138" t="str">
        <f>[1]!w_info_lasttradingdate(CH65)</f>
        <v>2020-05-15</v>
      </c>
      <c r="CL65" s="128" t="str">
        <f t="shared" si="61"/>
        <v>IO2005-P-4650.CFE</v>
      </c>
    </row>
    <row r="66" spans="1:90">
      <c r="A66" s="35"/>
      <c r="B66" s="112" t="s">
        <v>331</v>
      </c>
      <c r="C66" s="29" t="str">
        <f>IF([1]!w_info_callput(B66)="认购","C","P")</f>
        <v>C</v>
      </c>
      <c r="D66" s="96">
        <f>[1]!w_info_strikeprice(B66,"")</f>
        <v>3200</v>
      </c>
      <c r="E66" s="18" t="str">
        <f>[1]!w_info_lasttradingdate(B66)</f>
        <v>2020-06-19</v>
      </c>
      <c r="F66" s="4">
        <f>IF(G66&gt;0,RTD("wdf.rtq",,$B66,F$5),0)</f>
        <v>528.20000000000005</v>
      </c>
      <c r="G66" s="53">
        <f>RTD("wdf.rtq",,$B66,G$5)</f>
        <v>2</v>
      </c>
      <c r="H66" s="4">
        <f>RTD("wdf.rtq",,$B66,H$5)</f>
        <v>0</v>
      </c>
      <c r="I66" s="53">
        <f>RTD("wdf.rtq",,$B66,I$5)</f>
        <v>0</v>
      </c>
      <c r="J66" s="4">
        <f>RTD("wdf.rtq",,$B66,J$5)</f>
        <v>0</v>
      </c>
      <c r="K66" s="54">
        <f>RTD("wdf.rtq",,$B66,K$5)</f>
        <v>0</v>
      </c>
      <c r="L66" s="4">
        <f>[1]!s_dq_presettle(B66,"")</f>
        <v>500.2</v>
      </c>
      <c r="M66" s="6">
        <f t="shared" si="62"/>
        <v>0</v>
      </c>
      <c r="N66" s="3">
        <f t="shared" si="63"/>
        <v>6459.9999999999991</v>
      </c>
      <c r="O66" s="4">
        <f t="shared" si="64"/>
        <v>37571</v>
      </c>
      <c r="P66" s="4">
        <f t="shared" si="65"/>
        <v>16000</v>
      </c>
      <c r="Q66" s="8">
        <f t="shared" si="66"/>
        <v>44031.01</v>
      </c>
      <c r="R66" s="55">
        <f ca="1">IF(NOW()-TODAY()&gt;15/24, G66, [1]!s_dq_volume(B66,R$2,1))/$AI$2</f>
        <v>2</v>
      </c>
      <c r="AB66" s="39" t="s">
        <v>341</v>
      </c>
      <c r="AC66" s="29" t="str">
        <f>IF([1]!w_info_callput(AB66)="认购","C","P")</f>
        <v>P</v>
      </c>
      <c r="AD66" s="31">
        <f>[1]!w_info_strikeprice(AB66,"")</f>
        <v>3200</v>
      </c>
      <c r="AE66" s="18" t="str">
        <f>[1]!w_info_lasttradingdate(AB66)</f>
        <v>2020-06-19</v>
      </c>
      <c r="AF66" s="4">
        <f>RTD("wdf.rtq",,$AB66,F$5)</f>
        <v>64.599999999999994</v>
      </c>
      <c r="AG66" s="53">
        <f>RTD("wdf.rtq",,$AB66,G$5)</f>
        <v>6</v>
      </c>
      <c r="AH66" s="4">
        <f>RTD("wdf.rtq",,$AB66,H$5)</f>
        <v>36</v>
      </c>
      <c r="AI66" s="53">
        <f>RTD("wdf.rtq",,$AB66,I$5)</f>
        <v>3</v>
      </c>
      <c r="AJ66" s="4">
        <f>RTD("wdf.rtq",,$AB66,J$5)</f>
        <v>300</v>
      </c>
      <c r="AK66" s="54">
        <f>RTD("wdf.rtq",,$AB66,K$5)</f>
        <v>9</v>
      </c>
      <c r="AL66" s="4">
        <f>[1]!s_dq_presettle(AB66,"")</f>
        <v>73.599999999999994</v>
      </c>
      <c r="AM66" s="6">
        <f t="shared" si="67"/>
        <v>557.09999999999991</v>
      </c>
      <c r="AN66" s="6">
        <f t="shared" si="68"/>
        <v>6459.9999999999991</v>
      </c>
      <c r="AO66" s="6">
        <f t="shared" si="69"/>
        <v>-18138.999999999985</v>
      </c>
      <c r="AP66" s="4">
        <f t="shared" si="70"/>
        <v>16000</v>
      </c>
      <c r="AQ66" s="8">
        <f t="shared" si="71"/>
        <v>22460.01</v>
      </c>
      <c r="AR66" s="55">
        <f ca="1">IF(NOW()-TODAY()&gt;15/24, AG66, [1]!s_dq_volume(AB66,AR$2,1))/AI$2</f>
        <v>102</v>
      </c>
      <c r="AS66" s="110"/>
      <c r="AT66" s="110"/>
      <c r="AU66" s="110"/>
      <c r="AV66" s="110"/>
      <c r="AY66" s="10"/>
      <c r="AZ66" s="10"/>
      <c r="BA66" s="6">
        <f t="shared" ca="1" si="34"/>
        <v>1229.1166666666779</v>
      </c>
      <c r="BB66" s="6">
        <f t="shared" ca="1" si="35"/>
        <v>0</v>
      </c>
      <c r="BC66" s="6">
        <f t="shared" ca="1" si="36"/>
        <v>0</v>
      </c>
      <c r="BD66" s="12">
        <f t="shared" ca="1" si="37"/>
        <v>0</v>
      </c>
      <c r="BE66" s="2">
        <f t="shared" ca="1" si="72"/>
        <v>2.883889615059049E-3</v>
      </c>
      <c r="BF66" s="2">
        <f t="shared" ca="1" si="73"/>
        <v>0</v>
      </c>
      <c r="BG66" s="2">
        <f t="shared" ca="1" si="74"/>
        <v>0</v>
      </c>
      <c r="BH66" s="13">
        <f t="shared" ca="1" si="75"/>
        <v>0</v>
      </c>
      <c r="BI66" s="2">
        <f t="shared" ca="1" si="76"/>
        <v>1.2383761288194739E-2</v>
      </c>
      <c r="BJ66" s="2">
        <f t="shared" ca="1" si="77"/>
        <v>0</v>
      </c>
      <c r="BK66" s="2">
        <f t="shared" ca="1" si="78"/>
        <v>0</v>
      </c>
      <c r="BL66" s="40">
        <f t="shared" ca="1" si="79"/>
        <v>0</v>
      </c>
      <c r="BN66" s="6">
        <f t="shared" ca="1" si="38"/>
        <v>2896.929999999988</v>
      </c>
      <c r="BO66" s="6">
        <f t="shared" ca="1" si="39"/>
        <v>0</v>
      </c>
      <c r="BP66" s="6">
        <f t="shared" ca="1" si="40"/>
        <v>0</v>
      </c>
      <c r="BQ66" s="12">
        <f t="shared" ca="1" si="41"/>
        <v>0</v>
      </c>
      <c r="BR66" s="2">
        <f t="shared" ca="1" si="80"/>
        <v>2.4067834883518154E-2</v>
      </c>
      <c r="BS66" s="2">
        <f t="shared" ca="1" si="81"/>
        <v>0</v>
      </c>
      <c r="BT66" s="2">
        <f t="shared" ca="1" si="82"/>
        <v>0</v>
      </c>
      <c r="BU66" s="13">
        <f t="shared" ca="1" si="83"/>
        <v>0</v>
      </c>
      <c r="BV66" s="2">
        <f t="shared" ca="1" si="84"/>
        <v>0.10335011449981325</v>
      </c>
      <c r="BW66" s="2">
        <f t="shared" ca="1" si="85"/>
        <v>0</v>
      </c>
      <c r="BX66" s="2">
        <f t="shared" ca="1" si="86"/>
        <v>0</v>
      </c>
      <c r="BY66" s="13">
        <f t="shared" ca="1" si="87"/>
        <v>0</v>
      </c>
      <c r="CF66" s="39" t="str">
        <f t="shared" si="21"/>
        <v>C2020-06-3200000.CFE</v>
      </c>
      <c r="CG66" s="39" t="str">
        <f t="shared" si="22"/>
        <v>P2020-06-3200000.CFE</v>
      </c>
      <c r="CH66" s="95" t="s">
        <v>331</v>
      </c>
      <c r="CI66" s="100" t="str">
        <f>IF([1]!w_info_callput(CH66)="认购","C","P")</f>
        <v>C</v>
      </c>
      <c r="CJ66" s="104">
        <f>[1]!w_info_strikeprice(CH66,"")</f>
        <v>3200</v>
      </c>
      <c r="CK66" s="102" t="str">
        <f>[1]!w_info_lasttradingdate(CH66)</f>
        <v>2020-06-19</v>
      </c>
      <c r="CL66" s="39" t="str">
        <f t="shared" si="61"/>
        <v>IO2006-P-3200.CFE</v>
      </c>
    </row>
    <row r="67" spans="1:90">
      <c r="A67" s="35"/>
      <c r="B67" s="112" t="s">
        <v>332</v>
      </c>
      <c r="C67" s="29" t="str">
        <f>IF([1]!w_info_callput(B67)="认购","C","P")</f>
        <v>C</v>
      </c>
      <c r="D67" s="96">
        <f>[1]!w_info_strikeprice(B67,"")</f>
        <v>3250</v>
      </c>
      <c r="E67" s="18" t="str">
        <f>[1]!w_info_lasttradingdate(B67)</f>
        <v>2020-06-19</v>
      </c>
      <c r="F67" s="4">
        <f>IF(G67&gt;0,RTD("wdf.rtq",,$B67,F$5),0)</f>
        <v>0</v>
      </c>
      <c r="G67" s="53">
        <f>RTD("wdf.rtq",,$B67,G$5)</f>
        <v>0</v>
      </c>
      <c r="H67" s="4">
        <f>RTD("wdf.rtq",,$B67,H$5)</f>
        <v>0</v>
      </c>
      <c r="I67" s="53">
        <f>RTD("wdf.rtq",,$B67,I$5)</f>
        <v>0</v>
      </c>
      <c r="J67" s="4">
        <f>RTD("wdf.rtq",,$B67,J$5)</f>
        <v>0</v>
      </c>
      <c r="K67" s="54">
        <f>RTD("wdf.rtq",,$B67,K$5)</f>
        <v>0</v>
      </c>
      <c r="L67" s="4">
        <f>[1]!s_dq_presettle(B67,"")</f>
        <v>462.2</v>
      </c>
      <c r="M67" s="6">
        <f t="shared" si="62"/>
        <v>0</v>
      </c>
      <c r="N67" s="3">
        <f t="shared" si="63"/>
        <v>6860.0000000000009</v>
      </c>
      <c r="O67" s="4">
        <f t="shared" si="64"/>
        <v>37571</v>
      </c>
      <c r="P67" s="4">
        <f t="shared" si="65"/>
        <v>16250</v>
      </c>
      <c r="Q67" s="8">
        <f t="shared" si="66"/>
        <v>44431.01</v>
      </c>
      <c r="R67" s="55">
        <f ca="1">IF(NOW()-TODAY()&gt;15/24, G67, [1]!s_dq_volume(B67,R$2,1))/$AI$2</f>
        <v>0</v>
      </c>
      <c r="AB67" s="39" t="s">
        <v>342</v>
      </c>
      <c r="AC67" s="29" t="str">
        <f>IF([1]!w_info_callput(AB67)="认购","C","P")</f>
        <v>P</v>
      </c>
      <c r="AD67" s="31">
        <f>[1]!w_info_strikeprice(AB67,"")</f>
        <v>3250</v>
      </c>
      <c r="AE67" s="18" t="str">
        <f>[1]!w_info_lasttradingdate(AB67)</f>
        <v>2020-06-19</v>
      </c>
      <c r="AF67" s="4">
        <f>RTD("wdf.rtq",,$AB67,F$5)</f>
        <v>68.600000000000009</v>
      </c>
      <c r="AG67" s="53">
        <f>RTD("wdf.rtq",,$AB67,G$5)</f>
        <v>6</v>
      </c>
      <c r="AH67" s="4">
        <f>RTD("wdf.rtq",,$AB67,H$5)</f>
        <v>42</v>
      </c>
      <c r="AI67" s="53">
        <f>RTD("wdf.rtq",,$AB67,I$5)</f>
        <v>3</v>
      </c>
      <c r="AJ67" s="4">
        <f>RTD("wdf.rtq",,$AB67,J$5)</f>
        <v>0</v>
      </c>
      <c r="AK67" s="54">
        <f>RTD("wdf.rtq",,$AB67,K$5)</f>
        <v>0</v>
      </c>
      <c r="AL67" s="4">
        <f>[1]!s_dq_presettle(AB67,"")</f>
        <v>83.2</v>
      </c>
      <c r="AM67" s="6">
        <f t="shared" si="67"/>
        <v>507.09999999999991</v>
      </c>
      <c r="AN67" s="6">
        <f t="shared" si="68"/>
        <v>6860.0000000000009</v>
      </c>
      <c r="AO67" s="6">
        <f t="shared" si="69"/>
        <v>-13138.999999999987</v>
      </c>
      <c r="AP67" s="4">
        <f t="shared" si="70"/>
        <v>16250</v>
      </c>
      <c r="AQ67" s="8">
        <f t="shared" si="71"/>
        <v>23110.01</v>
      </c>
      <c r="AR67" s="55">
        <f ca="1">IF(NOW()-TODAY()&gt;15/24, AG67, [1]!s_dq_volume(AB67,AR$2,1))/AI$2</f>
        <v>23</v>
      </c>
      <c r="AS67" s="110"/>
      <c r="AT67" s="110"/>
      <c r="AU67" s="110"/>
      <c r="AV67" s="110"/>
      <c r="AY67" s="10"/>
      <c r="AZ67" s="10"/>
      <c r="BA67" s="6">
        <f t="shared" ca="1" si="34"/>
        <v>0</v>
      </c>
      <c r="BB67" s="6">
        <f t="shared" ca="1" si="35"/>
        <v>0</v>
      </c>
      <c r="BC67" s="6">
        <f t="shared" ca="1" si="36"/>
        <v>0</v>
      </c>
      <c r="BD67" s="12">
        <f t="shared" ca="1" si="37"/>
        <v>0</v>
      </c>
      <c r="BE67" s="2">
        <f t="shared" ca="1" si="72"/>
        <v>0</v>
      </c>
      <c r="BF67" s="2">
        <f t="shared" ca="1" si="73"/>
        <v>0</v>
      </c>
      <c r="BG67" s="2">
        <f t="shared" ca="1" si="74"/>
        <v>0</v>
      </c>
      <c r="BH67" s="13">
        <f t="shared" ca="1" si="75"/>
        <v>0</v>
      </c>
      <c r="BI67" s="2">
        <f t="shared" ca="1" si="76"/>
        <v>0</v>
      </c>
      <c r="BJ67" s="2">
        <f t="shared" ca="1" si="77"/>
        <v>0</v>
      </c>
      <c r="BK67" s="2">
        <f t="shared" ca="1" si="78"/>
        <v>0</v>
      </c>
      <c r="BL67" s="40">
        <f t="shared" ca="1" si="79"/>
        <v>0</v>
      </c>
      <c r="BN67" s="6">
        <f t="shared" ca="1" si="38"/>
        <v>0</v>
      </c>
      <c r="BO67" s="6">
        <f t="shared" ca="1" si="39"/>
        <v>0</v>
      </c>
      <c r="BP67" s="6">
        <f t="shared" ca="1" si="40"/>
        <v>0</v>
      </c>
      <c r="BQ67" s="12">
        <f t="shared" ca="1" si="41"/>
        <v>0</v>
      </c>
      <c r="BR67" s="2">
        <f t="shared" ca="1" si="80"/>
        <v>0</v>
      </c>
      <c r="BS67" s="2">
        <f t="shared" ca="1" si="81"/>
        <v>0</v>
      </c>
      <c r="BT67" s="2">
        <f t="shared" ca="1" si="82"/>
        <v>0</v>
      </c>
      <c r="BU67" s="13">
        <f t="shared" ca="1" si="83"/>
        <v>0</v>
      </c>
      <c r="BV67" s="2">
        <f t="shared" ca="1" si="84"/>
        <v>0</v>
      </c>
      <c r="BW67" s="2">
        <f t="shared" ca="1" si="85"/>
        <v>0</v>
      </c>
      <c r="BX67" s="2">
        <f t="shared" ca="1" si="86"/>
        <v>0</v>
      </c>
      <c r="BY67" s="13">
        <f t="shared" ca="1" si="87"/>
        <v>0</v>
      </c>
      <c r="CF67" s="39" t="str">
        <f t="shared" si="21"/>
        <v>C2020-06-3250000.CFE</v>
      </c>
      <c r="CG67" s="39" t="str">
        <f t="shared" si="22"/>
        <v>P2020-06-3250000.CFE</v>
      </c>
      <c r="CH67" s="95" t="s">
        <v>332</v>
      </c>
      <c r="CI67" s="100" t="str">
        <f>IF([1]!w_info_callput(CH67)="认购","C","P")</f>
        <v>C</v>
      </c>
      <c r="CJ67" s="104">
        <f>[1]!w_info_strikeprice(CH67,"")</f>
        <v>3250</v>
      </c>
      <c r="CK67" s="102" t="str">
        <f>[1]!w_info_lasttradingdate(CH67)</f>
        <v>2020-06-19</v>
      </c>
      <c r="CL67" s="39" t="str">
        <f t="shared" si="61"/>
        <v>IO2006-P-3250.CFE</v>
      </c>
    </row>
    <row r="68" spans="1:90">
      <c r="A68" s="35"/>
      <c r="B68" s="112" t="s">
        <v>86</v>
      </c>
      <c r="C68" s="29" t="str">
        <f>IF([1]!w_info_callput(B68)="认购","C","P")</f>
        <v>C</v>
      </c>
      <c r="D68" s="96">
        <f>[1]!w_info_strikeprice(B68,"")</f>
        <v>3300</v>
      </c>
      <c r="E68" s="18" t="str">
        <f>[1]!w_info_lasttradingdate(B68)</f>
        <v>2020-06-19</v>
      </c>
      <c r="F68" s="4">
        <f>IF(G68&gt;0,RTD("wdf.rtq",,$B68,F$5),0)</f>
        <v>0</v>
      </c>
      <c r="G68" s="53">
        <f>RTD("wdf.rtq",,$B68,G$5)</f>
        <v>0</v>
      </c>
      <c r="H68" s="4">
        <f>RTD("wdf.rtq",,$B68,H$5)</f>
        <v>0</v>
      </c>
      <c r="I68" s="53">
        <f>RTD("wdf.rtq",,$B68,I$5)</f>
        <v>0</v>
      </c>
      <c r="J68" s="4">
        <f>RTD("wdf.rtq",,$B68,J$5)</f>
        <v>500</v>
      </c>
      <c r="K68" s="54">
        <f>RTD("wdf.rtq",,$B68,K$5)</f>
        <v>1</v>
      </c>
      <c r="L68" s="4">
        <f>[1]!s_dq_presettle(B68,"")</f>
        <v>423</v>
      </c>
      <c r="M68" s="6">
        <f t="shared" si="62"/>
        <v>0</v>
      </c>
      <c r="N68" s="3">
        <f t="shared" si="63"/>
        <v>8000</v>
      </c>
      <c r="O68" s="4">
        <f t="shared" si="64"/>
        <v>37571</v>
      </c>
      <c r="P68" s="4">
        <f t="shared" si="65"/>
        <v>16500</v>
      </c>
      <c r="Q68" s="8">
        <f t="shared" si="66"/>
        <v>45571.01</v>
      </c>
      <c r="R68" s="55">
        <f ca="1">IF(NOW()-TODAY()&gt;15/24, G68, [1]!s_dq_volume(B68,R$2,1))/$AI$2</f>
        <v>9</v>
      </c>
      <c r="AB68" s="39" t="s">
        <v>101</v>
      </c>
      <c r="AC68" s="29" t="str">
        <f>IF([1]!w_info_callput(AB68)="认购","C","P")</f>
        <v>P</v>
      </c>
      <c r="AD68" s="31">
        <f>[1]!w_info_strikeprice(AB68,"")</f>
        <v>3300</v>
      </c>
      <c r="AE68" s="18" t="str">
        <f>[1]!w_info_lasttradingdate(AB68)</f>
        <v>2020-06-19</v>
      </c>
      <c r="AF68" s="4">
        <f>RTD("wdf.rtq",,$AB68,F$5)</f>
        <v>80</v>
      </c>
      <c r="AG68" s="53">
        <f>RTD("wdf.rtq",,$AB68,G$5)</f>
        <v>111</v>
      </c>
      <c r="AH68" s="4">
        <f>RTD("wdf.rtq",,$AB68,H$5)</f>
        <v>76.8</v>
      </c>
      <c r="AI68" s="53">
        <f>RTD("wdf.rtq",,$AB68,I$5)</f>
        <v>5</v>
      </c>
      <c r="AJ68" s="4">
        <f>RTD("wdf.rtq",,$AB68,J$5)</f>
        <v>130</v>
      </c>
      <c r="AK68" s="54">
        <f>RTD("wdf.rtq",,$AB68,K$5)</f>
        <v>5</v>
      </c>
      <c r="AL68" s="4">
        <f>[1]!s_dq_presettle(AB68,"")</f>
        <v>94.2</v>
      </c>
      <c r="AM68" s="6">
        <f t="shared" si="67"/>
        <v>457.09999999999991</v>
      </c>
      <c r="AN68" s="6">
        <f t="shared" si="68"/>
        <v>8000</v>
      </c>
      <c r="AO68" s="6">
        <f t="shared" si="69"/>
        <v>-8138.9999999999873</v>
      </c>
      <c r="AP68" s="4">
        <f t="shared" si="70"/>
        <v>16500</v>
      </c>
      <c r="AQ68" s="8">
        <f t="shared" si="71"/>
        <v>24500.01</v>
      </c>
      <c r="AR68" s="55">
        <f ca="1">IF(NOW()-TODAY()&gt;15/24, AG68, [1]!s_dq_volume(AB68,AR$2,1))/AI$2</f>
        <v>60</v>
      </c>
      <c r="AS68" s="110"/>
      <c r="AT68" s="110"/>
      <c r="AU68" s="110"/>
      <c r="AV68" s="110"/>
      <c r="AY68" s="10"/>
      <c r="AZ68" s="10"/>
      <c r="BA68" s="6">
        <f t="shared" ca="1" si="34"/>
        <v>0</v>
      </c>
      <c r="BB68" s="6">
        <f t="shared" ca="1" si="35"/>
        <v>0</v>
      </c>
      <c r="BC68" s="6">
        <f t="shared" ca="1" si="36"/>
        <v>7189.0766666666732</v>
      </c>
      <c r="BD68" s="12">
        <f t="shared" ca="1" si="37"/>
        <v>7189.1166666666741</v>
      </c>
      <c r="BE68" s="2">
        <f t="shared" ca="1" si="72"/>
        <v>0</v>
      </c>
      <c r="BF68" s="2">
        <f t="shared" ca="1" si="73"/>
        <v>0</v>
      </c>
      <c r="BG68" s="2">
        <f t="shared" ca="1" si="74"/>
        <v>1.6759276866401298E-2</v>
      </c>
      <c r="BH68" s="13">
        <f t="shared" ca="1" si="75"/>
        <v>1.6759370896358795E-2</v>
      </c>
      <c r="BI68" s="2">
        <f t="shared" ca="1" si="76"/>
        <v>0</v>
      </c>
      <c r="BJ68" s="2">
        <f t="shared" ca="1" si="77"/>
        <v>0</v>
      </c>
      <c r="BK68" s="2">
        <f t="shared" ca="1" si="78"/>
        <v>7.1966306543958511E-2</v>
      </c>
      <c r="BL68" s="40">
        <f t="shared" ca="1" si="79"/>
        <v>7.1966710319658359E-2</v>
      </c>
      <c r="BN68" s="6">
        <f t="shared" ca="1" si="38"/>
        <v>0</v>
      </c>
      <c r="BO68" s="6">
        <f t="shared" ca="1" si="39"/>
        <v>-3063.0700000000088</v>
      </c>
      <c r="BP68" s="6">
        <f t="shared" ca="1" si="40"/>
        <v>0</v>
      </c>
      <c r="BQ68" s="12">
        <f t="shared" ca="1" si="41"/>
        <v>0</v>
      </c>
      <c r="BR68" s="2">
        <f t="shared" ca="1" si="80"/>
        <v>0</v>
      </c>
      <c r="BS68" s="2">
        <f t="shared" ca="1" si="81"/>
        <v>-2.5614120675959921E-2</v>
      </c>
      <c r="BT68" s="2">
        <f t="shared" ca="1" si="82"/>
        <v>0</v>
      </c>
      <c r="BU68" s="13">
        <f t="shared" ca="1" si="83"/>
        <v>0</v>
      </c>
      <c r="BV68" s="2">
        <f t="shared" ca="1" si="84"/>
        <v>0</v>
      </c>
      <c r="BW68" s="2">
        <f t="shared" ca="1" si="85"/>
        <v>-0.10999004760853377</v>
      </c>
      <c r="BX68" s="2">
        <f t="shared" ca="1" si="86"/>
        <v>0</v>
      </c>
      <c r="BY68" s="13">
        <f t="shared" ca="1" si="87"/>
        <v>0</v>
      </c>
      <c r="CF68" s="39" t="str">
        <f t="shared" si="21"/>
        <v>C2020-06-3300000.CFE</v>
      </c>
      <c r="CG68" s="39" t="str">
        <f t="shared" si="22"/>
        <v>P2020-06-3300000.CFE</v>
      </c>
      <c r="CH68" s="95" t="s">
        <v>86</v>
      </c>
      <c r="CI68" s="100" t="str">
        <f>IF([1]!w_info_callput(CH68)="认购","C","P")</f>
        <v>C</v>
      </c>
      <c r="CJ68" s="104">
        <f>[1]!w_info_strikeprice(CH68,"")</f>
        <v>3300</v>
      </c>
      <c r="CK68" s="102" t="str">
        <f>[1]!w_info_lasttradingdate(CH68)</f>
        <v>2020-06-19</v>
      </c>
      <c r="CL68" s="39" t="str">
        <f t="shared" si="61"/>
        <v>IO2006-P-3300.CFE</v>
      </c>
    </row>
    <row r="69" spans="1:90">
      <c r="A69" s="35"/>
      <c r="B69" s="112" t="s">
        <v>333</v>
      </c>
      <c r="C69" s="29" t="str">
        <f>IF([1]!w_info_callput(B69)="认购","C","P")</f>
        <v>C</v>
      </c>
      <c r="D69" s="96">
        <f>[1]!w_info_strikeprice(B69,"")</f>
        <v>3350</v>
      </c>
      <c r="E69" s="18" t="str">
        <f>[1]!w_info_lasttradingdate(B69)</f>
        <v>2020-06-19</v>
      </c>
      <c r="F69" s="4">
        <f>IF(G69&gt;0,RTD("wdf.rtq",,$B69,F$5),0)</f>
        <v>0</v>
      </c>
      <c r="G69" s="53">
        <f>RTD("wdf.rtq",,$B69,G$5)</f>
        <v>0</v>
      </c>
      <c r="H69" s="4">
        <f>RTD("wdf.rtq",,$B69,H$5)</f>
        <v>22.400000000000002</v>
      </c>
      <c r="I69" s="53">
        <f>RTD("wdf.rtq",,$B69,I$5)</f>
        <v>2</v>
      </c>
      <c r="J69" s="4">
        <f>RTD("wdf.rtq",,$B69,J$5)</f>
        <v>0</v>
      </c>
      <c r="K69" s="54">
        <f>RTD("wdf.rtq",,$B69,K$5)</f>
        <v>0</v>
      </c>
      <c r="L69" s="4">
        <f>[1]!s_dq_presettle(B69,"")</f>
        <v>390.4</v>
      </c>
      <c r="M69" s="6">
        <f t="shared" si="62"/>
        <v>0</v>
      </c>
      <c r="N69" s="3">
        <f t="shared" si="63"/>
        <v>10040</v>
      </c>
      <c r="O69" s="4">
        <f t="shared" si="64"/>
        <v>37571</v>
      </c>
      <c r="P69" s="4">
        <f t="shared" si="65"/>
        <v>16750</v>
      </c>
      <c r="Q69" s="8">
        <f t="shared" si="66"/>
        <v>47611.01</v>
      </c>
      <c r="R69" s="55">
        <f ca="1">IF(NOW()-TODAY()&gt;15/24, G69, [1]!s_dq_volume(B69,R$2,1))/$AI$2</f>
        <v>0</v>
      </c>
      <c r="AB69" s="39" t="s">
        <v>343</v>
      </c>
      <c r="AC69" s="29" t="str">
        <f>IF([1]!w_info_callput(AB69)="认购","C","P")</f>
        <v>P</v>
      </c>
      <c r="AD69" s="31">
        <f>[1]!w_info_strikeprice(AB69,"")</f>
        <v>3350</v>
      </c>
      <c r="AE69" s="18" t="str">
        <f>[1]!w_info_lasttradingdate(AB69)</f>
        <v>2020-06-19</v>
      </c>
      <c r="AF69" s="4">
        <f>RTD("wdf.rtq",,$AB69,F$5)</f>
        <v>100.4</v>
      </c>
      <c r="AG69" s="53">
        <f>RTD("wdf.rtq",,$AB69,G$5)</f>
        <v>3</v>
      </c>
      <c r="AH69" s="4">
        <f>RTD("wdf.rtq",,$AB69,H$5)</f>
        <v>52</v>
      </c>
      <c r="AI69" s="53">
        <f>RTD("wdf.rtq",,$AB69,I$5)</f>
        <v>3</v>
      </c>
      <c r="AJ69" s="4">
        <f>RTD("wdf.rtq",,$AB69,J$5)</f>
        <v>0</v>
      </c>
      <c r="AK69" s="54">
        <f>RTD("wdf.rtq",,$AB69,K$5)</f>
        <v>0</v>
      </c>
      <c r="AL69" s="4">
        <f>[1]!s_dq_presettle(AB69,"")</f>
        <v>111.6</v>
      </c>
      <c r="AM69" s="6">
        <f t="shared" si="67"/>
        <v>407.09999999999991</v>
      </c>
      <c r="AN69" s="6">
        <f t="shared" si="68"/>
        <v>10040</v>
      </c>
      <c r="AO69" s="6">
        <f t="shared" si="69"/>
        <v>-3138.9999999999873</v>
      </c>
      <c r="AP69" s="4">
        <f t="shared" si="70"/>
        <v>16750</v>
      </c>
      <c r="AQ69" s="8">
        <f t="shared" si="71"/>
        <v>26790.01</v>
      </c>
      <c r="AR69" s="55">
        <f ca="1">IF(NOW()-TODAY()&gt;15/24, AG69, [1]!s_dq_volume(AB69,AR$2,1))/AI$2</f>
        <v>6</v>
      </c>
      <c r="AS69" s="110"/>
      <c r="AT69" s="110"/>
      <c r="AU69" s="110"/>
      <c r="AV69" s="110"/>
      <c r="AY69" s="10"/>
      <c r="AZ69" s="10"/>
      <c r="BA69" s="6">
        <f t="shared" ca="1" si="34"/>
        <v>0</v>
      </c>
      <c r="BB69" s="6">
        <f t="shared" ca="1" si="35"/>
        <v>0</v>
      </c>
      <c r="BC69" s="6">
        <f t="shared" ca="1" si="36"/>
        <v>0</v>
      </c>
      <c r="BD69" s="12">
        <f t="shared" ca="1" si="37"/>
        <v>0</v>
      </c>
      <c r="BE69" s="2">
        <f t="shared" ca="1" si="72"/>
        <v>0</v>
      </c>
      <c r="BF69" s="2">
        <f t="shared" ca="1" si="73"/>
        <v>0</v>
      </c>
      <c r="BG69" s="2">
        <f t="shared" ca="1" si="74"/>
        <v>0</v>
      </c>
      <c r="BH69" s="13">
        <f t="shared" ca="1" si="75"/>
        <v>0</v>
      </c>
      <c r="BI69" s="2">
        <f t="shared" ca="1" si="76"/>
        <v>0</v>
      </c>
      <c r="BJ69" s="2">
        <f t="shared" ca="1" si="77"/>
        <v>0</v>
      </c>
      <c r="BK69" s="2">
        <f t="shared" ca="1" si="78"/>
        <v>0</v>
      </c>
      <c r="BL69" s="40">
        <f t="shared" ca="1" si="79"/>
        <v>0</v>
      </c>
      <c r="BN69" s="6">
        <f t="shared" ca="1" si="38"/>
        <v>0</v>
      </c>
      <c r="BO69" s="6">
        <f t="shared" ca="1" si="39"/>
        <v>0</v>
      </c>
      <c r="BP69" s="6">
        <f t="shared" ca="1" si="40"/>
        <v>0</v>
      </c>
      <c r="BQ69" s="12">
        <f t="shared" ca="1" si="41"/>
        <v>0</v>
      </c>
      <c r="BR69" s="2">
        <f t="shared" ca="1" si="80"/>
        <v>0</v>
      </c>
      <c r="BS69" s="2">
        <f t="shared" ca="1" si="81"/>
        <v>0</v>
      </c>
      <c r="BT69" s="2">
        <f t="shared" ca="1" si="82"/>
        <v>0</v>
      </c>
      <c r="BU69" s="13">
        <f t="shared" ca="1" si="83"/>
        <v>0</v>
      </c>
      <c r="BV69" s="2">
        <f t="shared" ca="1" si="84"/>
        <v>0</v>
      </c>
      <c r="BW69" s="2">
        <f t="shared" ca="1" si="85"/>
        <v>0</v>
      </c>
      <c r="BX69" s="2">
        <f t="shared" ca="1" si="86"/>
        <v>0</v>
      </c>
      <c r="BY69" s="13">
        <f t="shared" ca="1" si="87"/>
        <v>0</v>
      </c>
      <c r="CF69" s="39" t="str">
        <f t="shared" si="21"/>
        <v>C2020-06-3350000.CFE</v>
      </c>
      <c r="CG69" s="39" t="str">
        <f t="shared" si="22"/>
        <v>P2020-06-3350000.CFE</v>
      </c>
      <c r="CH69" s="95" t="s">
        <v>333</v>
      </c>
      <c r="CI69" s="100" t="str">
        <f>IF([1]!w_info_callput(CH69)="认购","C","P")</f>
        <v>C</v>
      </c>
      <c r="CJ69" s="104">
        <f>[1]!w_info_strikeprice(CH69,"")</f>
        <v>3350</v>
      </c>
      <c r="CK69" s="102" t="str">
        <f>[1]!w_info_lasttradingdate(CH69)</f>
        <v>2020-06-19</v>
      </c>
      <c r="CL69" s="39" t="str">
        <f t="shared" si="61"/>
        <v>IO2006-P-3350.CFE</v>
      </c>
    </row>
    <row r="70" spans="1:90">
      <c r="A70" s="35"/>
      <c r="B70" s="112" t="s">
        <v>87</v>
      </c>
      <c r="C70" s="29" t="str">
        <f>IF([1]!w_info_callput(B70)="认购","C","P")</f>
        <v>C</v>
      </c>
      <c r="D70" s="96">
        <f>[1]!w_info_strikeprice(B70,"")</f>
        <v>3400</v>
      </c>
      <c r="E70" s="18" t="str">
        <f>[1]!w_info_lasttradingdate(B70)</f>
        <v>2020-06-19</v>
      </c>
      <c r="F70" s="4">
        <f>IF(G70&gt;0,RTD("wdf.rtq",,$B70,F$5),0)</f>
        <v>377</v>
      </c>
      <c r="G70" s="53">
        <f>RTD("wdf.rtq",,$B70,G$5)</f>
        <v>3</v>
      </c>
      <c r="H70" s="4">
        <f>RTD("wdf.rtq",,$B70,H$5)</f>
        <v>300</v>
      </c>
      <c r="I70" s="53">
        <f>RTD("wdf.rtq",,$B70,I$5)</f>
        <v>3</v>
      </c>
      <c r="J70" s="4">
        <f>RTD("wdf.rtq",,$B70,J$5)</f>
        <v>0</v>
      </c>
      <c r="K70" s="54">
        <f>RTD("wdf.rtq",,$B70,K$5)</f>
        <v>0</v>
      </c>
      <c r="L70" s="4">
        <f>[1]!s_dq_presettle(B70,"")</f>
        <v>358.8</v>
      </c>
      <c r="M70" s="6">
        <f t="shared" si="62"/>
        <v>0</v>
      </c>
      <c r="N70" s="3">
        <f t="shared" si="63"/>
        <v>10600</v>
      </c>
      <c r="O70" s="4">
        <f t="shared" si="64"/>
        <v>37571</v>
      </c>
      <c r="P70" s="4">
        <f t="shared" si="65"/>
        <v>17000</v>
      </c>
      <c r="Q70" s="8">
        <f t="shared" si="66"/>
        <v>48171.01</v>
      </c>
      <c r="R70" s="55">
        <f ca="1">IF(NOW()-TODAY()&gt;15/24, G70, [1]!s_dq_volume(B70,R$2,1))/$AI$2</f>
        <v>6</v>
      </c>
      <c r="AB70" s="39" t="s">
        <v>102</v>
      </c>
      <c r="AC70" s="29" t="str">
        <f>IF([1]!w_info_callput(AB70)="认购","C","P")</f>
        <v>P</v>
      </c>
      <c r="AD70" s="31">
        <f>[1]!w_info_strikeprice(AB70,"")</f>
        <v>3400</v>
      </c>
      <c r="AE70" s="18" t="str">
        <f>[1]!w_info_lasttradingdate(AB70)</f>
        <v>2020-06-19</v>
      </c>
      <c r="AF70" s="4">
        <f>RTD("wdf.rtq",,$AB70,F$5)</f>
        <v>106</v>
      </c>
      <c r="AG70" s="53">
        <f>RTD("wdf.rtq",,$AB70,G$5)</f>
        <v>59</v>
      </c>
      <c r="AH70" s="4">
        <f>RTD("wdf.rtq",,$AB70,H$5)</f>
        <v>86.600000000000009</v>
      </c>
      <c r="AI70" s="53">
        <f>RTD("wdf.rtq",,$AB70,I$5)</f>
        <v>2</v>
      </c>
      <c r="AJ70" s="4">
        <f>RTD("wdf.rtq",,$AB70,J$5)</f>
        <v>0</v>
      </c>
      <c r="AK70" s="54">
        <f>RTD("wdf.rtq",,$AB70,K$5)</f>
        <v>0</v>
      </c>
      <c r="AL70" s="4">
        <f>[1]!s_dq_presettle(AB70,"")</f>
        <v>126.2</v>
      </c>
      <c r="AM70" s="6">
        <f t="shared" si="67"/>
        <v>357.09999999999991</v>
      </c>
      <c r="AN70" s="6">
        <f t="shared" si="68"/>
        <v>10600</v>
      </c>
      <c r="AO70" s="6">
        <f t="shared" si="69"/>
        <v>1861.0000000000127</v>
      </c>
      <c r="AP70" s="4">
        <f t="shared" si="70"/>
        <v>17000</v>
      </c>
      <c r="AQ70" s="8">
        <f t="shared" si="71"/>
        <v>27600.01</v>
      </c>
      <c r="AR70" s="55">
        <f ca="1">IF(NOW()-TODAY()&gt;15/24, AG70, [1]!s_dq_volume(AB70,AR$2,1))/AI$2</f>
        <v>32</v>
      </c>
      <c r="AS70" s="110"/>
      <c r="AT70" s="110"/>
      <c r="AU70" s="110"/>
      <c r="AV70" s="110"/>
      <c r="AY70" s="10"/>
      <c r="AZ70" s="10"/>
      <c r="BA70" s="6">
        <f t="shared" ca="1" si="34"/>
        <v>1969.1166666666757</v>
      </c>
      <c r="BB70" s="6">
        <f t="shared" ca="1" si="35"/>
        <v>0</v>
      </c>
      <c r="BC70" s="6">
        <f t="shared" ca="1" si="36"/>
        <v>0</v>
      </c>
      <c r="BD70" s="12">
        <f t="shared" ca="1" si="37"/>
        <v>0</v>
      </c>
      <c r="BE70" s="2">
        <f t="shared" ca="1" si="72"/>
        <v>4.5321121552969034E-3</v>
      </c>
      <c r="BF70" s="2">
        <f t="shared" ca="1" si="73"/>
        <v>0</v>
      </c>
      <c r="BG70" s="2">
        <f t="shared" ca="1" si="74"/>
        <v>0</v>
      </c>
      <c r="BH70" s="13">
        <f t="shared" ca="1" si="75"/>
        <v>0</v>
      </c>
      <c r="BI70" s="2">
        <f t="shared" ca="1" si="76"/>
        <v>1.9461422784510234E-2</v>
      </c>
      <c r="BJ70" s="2">
        <f t="shared" ca="1" si="77"/>
        <v>0</v>
      </c>
      <c r="BK70" s="2">
        <f t="shared" ca="1" si="78"/>
        <v>0</v>
      </c>
      <c r="BL70" s="40">
        <f t="shared" ca="1" si="79"/>
        <v>0</v>
      </c>
      <c r="BN70" s="6">
        <f t="shared" ca="1" si="38"/>
        <v>2156.9299999999903</v>
      </c>
      <c r="BO70" s="6">
        <f t="shared" ca="1" si="39"/>
        <v>0</v>
      </c>
      <c r="BP70" s="6">
        <f t="shared" ca="1" si="40"/>
        <v>0</v>
      </c>
      <c r="BQ70" s="12">
        <f t="shared" ca="1" si="41"/>
        <v>0</v>
      </c>
      <c r="BR70" s="2">
        <f t="shared" ca="1" si="80"/>
        <v>1.9540027146752636E-2</v>
      </c>
      <c r="BS70" s="2">
        <f t="shared" ca="1" si="81"/>
        <v>0</v>
      </c>
      <c r="BT70" s="2">
        <f t="shared" ca="1" si="82"/>
        <v>0</v>
      </c>
      <c r="BU70" s="13">
        <f t="shared" ca="1" si="83"/>
        <v>0</v>
      </c>
      <c r="BV70" s="2">
        <f t="shared" ca="1" si="84"/>
        <v>8.3907175394878963E-2</v>
      </c>
      <c r="BW70" s="2">
        <f t="shared" ca="1" si="85"/>
        <v>0</v>
      </c>
      <c r="BX70" s="2">
        <f t="shared" ca="1" si="86"/>
        <v>0</v>
      </c>
      <c r="BY70" s="13">
        <f t="shared" ca="1" si="87"/>
        <v>0</v>
      </c>
      <c r="CF70" s="39" t="str">
        <f t="shared" ref="CF70:CF133" si="88">CI70&amp;LEFT(CK70,8)&amp;CJ70*1000&amp;".CFE"</f>
        <v>C2020-06-3400000.CFE</v>
      </c>
      <c r="CG70" s="39" t="str">
        <f t="shared" ref="CG70:CG133" si="89">IF(CI70="C","P","C")&amp;MID(CF70,2,99)</f>
        <v>P2020-06-3400000.CFE</v>
      </c>
      <c r="CH70" s="95" t="s">
        <v>87</v>
      </c>
      <c r="CI70" s="100" t="str">
        <f>IF([1]!w_info_callput(CH70)="认购","C","P")</f>
        <v>C</v>
      </c>
      <c r="CJ70" s="104">
        <f>[1]!w_info_strikeprice(CH70,"")</f>
        <v>3400</v>
      </c>
      <c r="CK70" s="102" t="str">
        <f>[1]!w_info_lasttradingdate(CH70)</f>
        <v>2020-06-19</v>
      </c>
      <c r="CL70" s="39" t="str">
        <f t="shared" ref="CL70:CL101" si="90">VLOOKUP(CG70,CF:CH,3,0)</f>
        <v>IO2006-P-3400.CFE</v>
      </c>
    </row>
    <row r="71" spans="1:90">
      <c r="A71" s="35"/>
      <c r="B71" s="112" t="s">
        <v>334</v>
      </c>
      <c r="C71" s="29" t="str">
        <f>IF([1]!w_info_callput(B71)="认购","C","P")</f>
        <v>C</v>
      </c>
      <c r="D71" s="96">
        <f>[1]!w_info_strikeprice(B71,"")</f>
        <v>3450</v>
      </c>
      <c r="E71" s="18" t="str">
        <f>[1]!w_info_lasttradingdate(B71)</f>
        <v>2020-06-19</v>
      </c>
      <c r="F71" s="4">
        <f>IF(G71&gt;0,RTD("wdf.rtq",,$B71,F$5),0)</f>
        <v>347.2</v>
      </c>
      <c r="G71" s="53">
        <f>RTD("wdf.rtq",,$B71,G$5)</f>
        <v>12</v>
      </c>
      <c r="H71" s="4">
        <f>RTD("wdf.rtq",,$B71,H$5)</f>
        <v>16</v>
      </c>
      <c r="I71" s="53">
        <f>RTD("wdf.rtq",,$B71,I$5)</f>
        <v>3</v>
      </c>
      <c r="J71" s="4">
        <f>RTD("wdf.rtq",,$B71,J$5)</f>
        <v>0</v>
      </c>
      <c r="K71" s="54">
        <f>RTD("wdf.rtq",,$B71,K$5)</f>
        <v>0</v>
      </c>
      <c r="L71" s="4">
        <f>[1]!s_dq_presettle(B71,"")</f>
        <v>322.2</v>
      </c>
      <c r="M71" s="6">
        <f t="shared" si="62"/>
        <v>0</v>
      </c>
      <c r="N71" s="3">
        <f t="shared" si="63"/>
        <v>12819.999999999998</v>
      </c>
      <c r="O71" s="4">
        <f t="shared" si="64"/>
        <v>37571</v>
      </c>
      <c r="P71" s="4">
        <f t="shared" si="65"/>
        <v>17250</v>
      </c>
      <c r="Q71" s="8">
        <f t="shared" si="66"/>
        <v>50391.01</v>
      </c>
      <c r="R71" s="55">
        <f ca="1">IF(NOW()-TODAY()&gt;15/24, G71, [1]!s_dq_volume(B71,R$2,1))/$AI$2</f>
        <v>1</v>
      </c>
      <c r="AB71" s="39" t="s">
        <v>344</v>
      </c>
      <c r="AC71" s="29" t="str">
        <f>IF([1]!w_info_callput(AB71)="认购","C","P")</f>
        <v>P</v>
      </c>
      <c r="AD71" s="31">
        <f>[1]!w_info_strikeprice(AB71,"")</f>
        <v>3450</v>
      </c>
      <c r="AE71" s="18" t="str">
        <f>[1]!w_info_lasttradingdate(AB71)</f>
        <v>2020-06-19</v>
      </c>
      <c r="AF71" s="4">
        <f>RTD("wdf.rtq",,$AB71,F$5)</f>
        <v>128.19999999999999</v>
      </c>
      <c r="AG71" s="53">
        <f>RTD("wdf.rtq",,$AB71,G$5)</f>
        <v>7</v>
      </c>
      <c r="AH71" s="4">
        <f>RTD("wdf.rtq",,$AB71,H$5)</f>
        <v>21</v>
      </c>
      <c r="AI71" s="53">
        <f>RTD("wdf.rtq",,$AB71,I$5)</f>
        <v>1</v>
      </c>
      <c r="AJ71" s="4">
        <f>RTD("wdf.rtq",,$AB71,J$5)</f>
        <v>0</v>
      </c>
      <c r="AK71" s="54">
        <f>RTD("wdf.rtq",,$AB71,K$5)</f>
        <v>0</v>
      </c>
      <c r="AL71" s="4">
        <f>[1]!s_dq_presettle(AB71,"")</f>
        <v>144.6</v>
      </c>
      <c r="AM71" s="6">
        <f t="shared" si="67"/>
        <v>307.09999999999991</v>
      </c>
      <c r="AN71" s="6">
        <f t="shared" si="68"/>
        <v>12819.999999999998</v>
      </c>
      <c r="AO71" s="6">
        <f t="shared" si="69"/>
        <v>6861.0000000000127</v>
      </c>
      <c r="AP71" s="4">
        <f t="shared" si="70"/>
        <v>17250</v>
      </c>
      <c r="AQ71" s="8">
        <f t="shared" si="71"/>
        <v>30070.01</v>
      </c>
      <c r="AR71" s="55">
        <f ca="1">IF(NOW()-TODAY()&gt;15/24, AG71, [1]!s_dq_volume(AB71,AR$2,1))/AI$2</f>
        <v>17</v>
      </c>
      <c r="AS71" s="110"/>
      <c r="AT71" s="110"/>
      <c r="AU71" s="110"/>
      <c r="AV71" s="110"/>
      <c r="AY71" s="10"/>
      <c r="AZ71" s="10"/>
      <c r="BA71" s="6">
        <f t="shared" ref="BA71:BA132" ca="1" si="91">IF(AND(F71&gt;0,AF71&gt;0),AH$2*AI$2*((F71-AF71)-($AF$3-D71)+$AF$3*$BK$2*(AE71+1-TODAY())/30)-2*$AI$2*$AJ$2-2*$AI$2*$AJ$2,0)</f>
        <v>1769.1166666666757</v>
      </c>
      <c r="BB71" s="6">
        <f t="shared" ref="BB71:BB132" ca="1" si="92">IF(AND(H71&gt;0,AJ71&gt;0),AH$2*AI$2*((H71-AJ71)-($AF$3-D71)+$AF$3*$BK$2*(AE71+1-TODAY())/30)-2*$AI$2*$AJ$2-2*$AI$2*$AJ$2,0)</f>
        <v>0</v>
      </c>
      <c r="BC71" s="6">
        <f t="shared" ref="BC71:BC132" ca="1" si="93">IF(AND(J71&gt;0,AH71&gt;0),AH$2*AI$2*((J71-AH71)-($AF$3-D71)+$AF$3*$BK$2*(AE71+1-TODAY())/30)-2*$AI$2*$AJ$2-2*$AI$2*$AJ$2-H$2*I$2*$BC$2-AH$2*AI$2*$BC$3,0)</f>
        <v>0</v>
      </c>
      <c r="BD71" s="12">
        <f t="shared" ref="BD71:BD132" ca="1" si="94">IF(AND(J71&gt;0,AH71&gt;0),AH$2*AI$2*((J71-AH71)-($AF$3-D71)+$AF$3*$BK$2*(AE71+1-TODAY())/30)-2*$AI$2*$AJ$2-2*$AI$2*$AJ$2,0)</f>
        <v>0</v>
      </c>
      <c r="BE71" s="2">
        <f t="shared" ca="1" si="72"/>
        <v>4.0306037450034016E-3</v>
      </c>
      <c r="BF71" s="2">
        <f t="shared" ca="1" si="73"/>
        <v>0</v>
      </c>
      <c r="BG71" s="2">
        <f t="shared" ca="1" si="74"/>
        <v>0</v>
      </c>
      <c r="BH71" s="13">
        <f t="shared" ca="1" si="75"/>
        <v>0</v>
      </c>
      <c r="BI71" s="2">
        <f t="shared" ca="1" si="76"/>
        <v>1.7307886669720489E-2</v>
      </c>
      <c r="BJ71" s="2">
        <f t="shared" ca="1" si="77"/>
        <v>0</v>
      </c>
      <c r="BK71" s="2">
        <f t="shared" ca="1" si="78"/>
        <v>0</v>
      </c>
      <c r="BL71" s="40">
        <f t="shared" ca="1" si="79"/>
        <v>0</v>
      </c>
      <c r="BN71" s="6">
        <f t="shared" ref="BN71:BN132" ca="1" si="95">IF(AND(F71&gt;0,AF71&gt;0),AH$2*AI$2*(-F71+AF71+($AF$3-D71)+$AF$3*$BX$2*(AE71+1-TODAY())/30)-2*$AI$2*$AJ$2-2*$AI$2*$AJ$2,0)</f>
        <v>2356.9299999999903</v>
      </c>
      <c r="BO71" s="6">
        <f t="shared" ref="BO71:BO132" ca="1" si="96">IF(AND(J71&gt;0,AH71&gt;0),AH$2*AI$2*((-J71+AH71)+($AF$3-D71)+$AF$3*$BX$2*(AE71+1-TODAY())/30)-2*$AI$2*$AJ$2-2*$AI$2*$AJ$2,0)</f>
        <v>0</v>
      </c>
      <c r="BP71" s="6">
        <f t="shared" ref="BP71:BP132" ca="1" si="97">IF(AND(H71&gt;0,AJ71&gt;0),AH$2*AI$2*((-H71+AJ71)+($AF$3-D71)+$AF$3*$BX$2*(AE71+1-TODAY())/30)-2*$AI$2*$AJ$2-2*$AI$2*$AJ$2-AH$2*AI$2*$BC$2-AH$2*AI$2*$BC$3,0)</f>
        <v>0</v>
      </c>
      <c r="BQ71" s="12">
        <f t="shared" ref="BQ71:BQ132" ca="1" si="98">IF(AND(H71&gt;0,AJ71&gt;0),AH$2*AI$2*((-H71+AJ71)+($AF$3-D71)+$AF$3*$BX$2*(AE71+1-TODAY())/30)-2*$AI$2*$AJ$2-2*$AI$2*$AJ$2,0)</f>
        <v>0</v>
      </c>
      <c r="BR71" s="2">
        <f t="shared" ca="1" si="80"/>
        <v>2.1450971515776764E-2</v>
      </c>
      <c r="BS71" s="2">
        <f t="shared" ca="1" si="81"/>
        <v>0</v>
      </c>
      <c r="BT71" s="2">
        <f t="shared" ca="1" si="82"/>
        <v>0</v>
      </c>
      <c r="BU71" s="13">
        <f t="shared" ca="1" si="83"/>
        <v>0</v>
      </c>
      <c r="BV71" s="2">
        <f t="shared" ca="1" si="84"/>
        <v>9.2112995332453165E-2</v>
      </c>
      <c r="BW71" s="2">
        <f t="shared" ca="1" si="85"/>
        <v>0</v>
      </c>
      <c r="BX71" s="2">
        <f t="shared" ca="1" si="86"/>
        <v>0</v>
      </c>
      <c r="BY71" s="13">
        <f t="shared" ca="1" si="87"/>
        <v>0</v>
      </c>
      <c r="CF71" s="39" t="str">
        <f t="shared" si="88"/>
        <v>C2020-06-3450000.CFE</v>
      </c>
      <c r="CG71" s="39" t="str">
        <f t="shared" si="89"/>
        <v>P2020-06-3450000.CFE</v>
      </c>
      <c r="CH71" s="95" t="s">
        <v>334</v>
      </c>
      <c r="CI71" s="100" t="str">
        <f>IF([1]!w_info_callput(CH71)="认购","C","P")</f>
        <v>C</v>
      </c>
      <c r="CJ71" s="104">
        <f>[1]!w_info_strikeprice(CH71,"")</f>
        <v>3450</v>
      </c>
      <c r="CK71" s="102" t="str">
        <f>[1]!w_info_lasttradingdate(CH71)</f>
        <v>2020-06-19</v>
      </c>
      <c r="CL71" s="39" t="str">
        <f t="shared" si="90"/>
        <v>IO2006-P-3450.CFE</v>
      </c>
    </row>
    <row r="72" spans="1:90">
      <c r="A72" s="35"/>
      <c r="B72" s="112" t="s">
        <v>88</v>
      </c>
      <c r="C72" s="29" t="str">
        <f>IF([1]!w_info_callput(B72)="认购","C","P")</f>
        <v>C</v>
      </c>
      <c r="D72" s="96">
        <f>[1]!w_info_strikeprice(B72,"")</f>
        <v>3500</v>
      </c>
      <c r="E72" s="18" t="str">
        <f>[1]!w_info_lasttradingdate(B72)</f>
        <v>2020-06-19</v>
      </c>
      <c r="F72" s="4">
        <f>IF(G72&gt;0,RTD("wdf.rtq",,$B72,F$5),0)</f>
        <v>336.6</v>
      </c>
      <c r="G72" s="53">
        <f>RTD("wdf.rtq",,$B72,G$5)</f>
        <v>120</v>
      </c>
      <c r="H72" s="4">
        <f>RTD("wdf.rtq",,$B72,H$5)</f>
        <v>16</v>
      </c>
      <c r="I72" s="53">
        <f>RTD("wdf.rtq",,$B72,I$5)</f>
        <v>3</v>
      </c>
      <c r="J72" s="4">
        <f>RTD("wdf.rtq",,$B72,J$5)</f>
        <v>0</v>
      </c>
      <c r="K72" s="54">
        <f>RTD("wdf.rtq",,$B72,K$5)</f>
        <v>0</v>
      </c>
      <c r="L72" s="4">
        <f>[1]!s_dq_presettle(B72,"")</f>
        <v>299</v>
      </c>
      <c r="M72" s="6">
        <f t="shared" si="62"/>
        <v>0</v>
      </c>
      <c r="N72" s="3">
        <f t="shared" si="63"/>
        <v>14000</v>
      </c>
      <c r="O72" s="4">
        <f t="shared" si="64"/>
        <v>37571</v>
      </c>
      <c r="P72" s="4">
        <f t="shared" si="65"/>
        <v>17500</v>
      </c>
      <c r="Q72" s="8">
        <f t="shared" si="66"/>
        <v>51571.01</v>
      </c>
      <c r="R72" s="55">
        <f ca="1">IF(NOW()-TODAY()&gt;15/24, G72, [1]!s_dq_volume(B72,R$2,1))/$AI$2</f>
        <v>29</v>
      </c>
      <c r="AB72" s="39" t="s">
        <v>103</v>
      </c>
      <c r="AC72" s="29" t="str">
        <f>IF([1]!w_info_callput(AB72)="认购","C","P")</f>
        <v>P</v>
      </c>
      <c r="AD72" s="31">
        <f>[1]!w_info_strikeprice(AB72,"")</f>
        <v>3500</v>
      </c>
      <c r="AE72" s="18" t="str">
        <f>[1]!w_info_lasttradingdate(AB72)</f>
        <v>2020-06-19</v>
      </c>
      <c r="AF72" s="4">
        <f>RTD("wdf.rtq",,$AB72,F$5)</f>
        <v>140</v>
      </c>
      <c r="AG72" s="53">
        <f>RTD("wdf.rtq",,$AB72,G$5)</f>
        <v>47</v>
      </c>
      <c r="AH72" s="4">
        <f>RTD("wdf.rtq",,$AB72,H$5)</f>
        <v>24</v>
      </c>
      <c r="AI72" s="53">
        <f>RTD("wdf.rtq",,$AB72,I$5)</f>
        <v>1</v>
      </c>
      <c r="AJ72" s="4">
        <f>RTD("wdf.rtq",,$AB72,J$5)</f>
        <v>0</v>
      </c>
      <c r="AK72" s="54">
        <f>RTD("wdf.rtq",,$AB72,K$5)</f>
        <v>0</v>
      </c>
      <c r="AL72" s="4">
        <f>[1]!s_dq_presettle(AB72,"")</f>
        <v>163.4</v>
      </c>
      <c r="AM72" s="6">
        <f t="shared" si="67"/>
        <v>257.09999999999991</v>
      </c>
      <c r="AN72" s="6">
        <f t="shared" si="68"/>
        <v>14000</v>
      </c>
      <c r="AO72" s="6">
        <f t="shared" si="69"/>
        <v>11861.000000000013</v>
      </c>
      <c r="AP72" s="4">
        <f t="shared" si="70"/>
        <v>17500</v>
      </c>
      <c r="AQ72" s="8">
        <f t="shared" si="71"/>
        <v>31500.01</v>
      </c>
      <c r="AR72" s="55">
        <f ca="1">IF(NOW()-TODAY()&gt;15/24, AG72, [1]!s_dq_volume(AB72,AR$2,1))/AI$2</f>
        <v>44</v>
      </c>
      <c r="AS72" s="110"/>
      <c r="AT72" s="110"/>
      <c r="AU72" s="110"/>
      <c r="AV72" s="110"/>
      <c r="AY72" s="10"/>
      <c r="AZ72" s="10"/>
      <c r="BA72" s="6">
        <f t="shared" ca="1" si="91"/>
        <v>4529.1166666666777</v>
      </c>
      <c r="BB72" s="6">
        <f t="shared" ca="1" si="92"/>
        <v>0</v>
      </c>
      <c r="BC72" s="6">
        <f t="shared" ca="1" si="93"/>
        <v>0</v>
      </c>
      <c r="BD72" s="12">
        <f t="shared" ca="1" si="94"/>
        <v>0</v>
      </c>
      <c r="BE72" s="2">
        <f t="shared" ca="1" si="72"/>
        <v>1.026356576428856E-2</v>
      </c>
      <c r="BF72" s="2">
        <f t="shared" ca="1" si="73"/>
        <v>0</v>
      </c>
      <c r="BG72" s="2">
        <f t="shared" ca="1" si="74"/>
        <v>0</v>
      </c>
      <c r="BH72" s="13">
        <f t="shared" ca="1" si="75"/>
        <v>0</v>
      </c>
      <c r="BI72" s="2">
        <f t="shared" ca="1" si="76"/>
        <v>4.4072958870180284E-2</v>
      </c>
      <c r="BJ72" s="2">
        <f t="shared" ca="1" si="77"/>
        <v>0</v>
      </c>
      <c r="BK72" s="2">
        <f t="shared" ca="1" si="78"/>
        <v>0</v>
      </c>
      <c r="BL72" s="40">
        <f t="shared" ca="1" si="79"/>
        <v>0</v>
      </c>
      <c r="BN72" s="6">
        <f t="shared" ca="1" si="95"/>
        <v>-403.07000000001199</v>
      </c>
      <c r="BO72" s="6">
        <f t="shared" ca="1" si="96"/>
        <v>0</v>
      </c>
      <c r="BP72" s="6">
        <f t="shared" ca="1" si="97"/>
        <v>0</v>
      </c>
      <c r="BQ72" s="12">
        <f t="shared" ca="1" si="98"/>
        <v>0</v>
      </c>
      <c r="BR72" s="2">
        <f t="shared" ca="1" si="80"/>
        <v>-3.6561225653251694E-3</v>
      </c>
      <c r="BS72" s="2">
        <f t="shared" ca="1" si="81"/>
        <v>0</v>
      </c>
      <c r="BT72" s="2">
        <f t="shared" ca="1" si="82"/>
        <v>0</v>
      </c>
      <c r="BU72" s="13">
        <f t="shared" ca="1" si="83"/>
        <v>0</v>
      </c>
      <c r="BV72" s="2">
        <f t="shared" ca="1" si="84"/>
        <v>-1.5699820427572786E-2</v>
      </c>
      <c r="BW72" s="2">
        <f t="shared" ca="1" si="85"/>
        <v>0</v>
      </c>
      <c r="BX72" s="2">
        <f t="shared" ca="1" si="86"/>
        <v>0</v>
      </c>
      <c r="BY72" s="13">
        <f t="shared" ca="1" si="87"/>
        <v>0</v>
      </c>
      <c r="CF72" s="39" t="str">
        <f t="shared" si="88"/>
        <v>C2020-06-3500000.CFE</v>
      </c>
      <c r="CG72" s="39" t="str">
        <f t="shared" si="89"/>
        <v>P2020-06-3500000.CFE</v>
      </c>
      <c r="CH72" s="95" t="s">
        <v>88</v>
      </c>
      <c r="CI72" s="100" t="str">
        <f>IF([1]!w_info_callput(CH72)="认购","C","P")</f>
        <v>C</v>
      </c>
      <c r="CJ72" s="104">
        <f>[1]!w_info_strikeprice(CH72,"")</f>
        <v>3500</v>
      </c>
      <c r="CK72" s="102" t="str">
        <f>[1]!w_info_lasttradingdate(CH72)</f>
        <v>2020-06-19</v>
      </c>
      <c r="CL72" s="39" t="str">
        <f t="shared" si="90"/>
        <v>IO2006-P-3500.CFE</v>
      </c>
    </row>
    <row r="73" spans="1:90">
      <c r="A73" s="35"/>
      <c r="B73" s="112" t="s">
        <v>335</v>
      </c>
      <c r="C73" s="29" t="str">
        <f>IF([1]!w_info_callput(B73)="认购","C","P")</f>
        <v>C</v>
      </c>
      <c r="D73" s="96">
        <f>[1]!w_info_strikeprice(B73,"")</f>
        <v>3550</v>
      </c>
      <c r="E73" s="18" t="str">
        <f>[1]!w_info_lasttradingdate(B73)</f>
        <v>2020-06-19</v>
      </c>
      <c r="F73" s="4">
        <f>IF(G73&gt;0,RTD("wdf.rtq",,$B73,F$5),0)</f>
        <v>284.8</v>
      </c>
      <c r="G73" s="53">
        <f>RTD("wdf.rtq",,$B73,G$5)</f>
        <v>18</v>
      </c>
      <c r="H73" s="4">
        <f>RTD("wdf.rtq",,$B73,H$5)</f>
        <v>16</v>
      </c>
      <c r="I73" s="53">
        <f>RTD("wdf.rtq",,$B73,I$5)</f>
        <v>3</v>
      </c>
      <c r="J73" s="4">
        <f>RTD("wdf.rtq",,$B73,J$5)</f>
        <v>0</v>
      </c>
      <c r="K73" s="54">
        <f>RTD("wdf.rtq",,$B73,K$5)</f>
        <v>0</v>
      </c>
      <c r="L73" s="4">
        <f>[1]!s_dq_presettle(B73,"")</f>
        <v>267.2</v>
      </c>
      <c r="M73" s="6">
        <f t="shared" si="62"/>
        <v>0</v>
      </c>
      <c r="N73" s="3">
        <f t="shared" si="63"/>
        <v>16680</v>
      </c>
      <c r="O73" s="4">
        <f t="shared" si="64"/>
        <v>37571</v>
      </c>
      <c r="P73" s="4">
        <f t="shared" si="65"/>
        <v>17750</v>
      </c>
      <c r="Q73" s="8">
        <f t="shared" si="66"/>
        <v>54251.01</v>
      </c>
      <c r="R73" s="55">
        <f ca="1">IF(NOW()-TODAY()&gt;15/24, G73, [1]!s_dq_volume(B73,R$2,1))/$AI$2</f>
        <v>19</v>
      </c>
      <c r="AB73" s="39" t="s">
        <v>345</v>
      </c>
      <c r="AC73" s="29" t="str">
        <f>IF([1]!w_info_callput(AB73)="认购","C","P")</f>
        <v>P</v>
      </c>
      <c r="AD73" s="31">
        <f>[1]!w_info_strikeprice(AB73,"")</f>
        <v>3550</v>
      </c>
      <c r="AE73" s="18" t="str">
        <f>[1]!w_info_lasttradingdate(AB73)</f>
        <v>2020-06-19</v>
      </c>
      <c r="AF73" s="4">
        <f>RTD("wdf.rtq",,$AB73,F$5)</f>
        <v>166.8</v>
      </c>
      <c r="AG73" s="53">
        <f>RTD("wdf.rtq",,$AB73,G$5)</f>
        <v>6</v>
      </c>
      <c r="AH73" s="4">
        <f>RTD("wdf.rtq",,$AB73,H$5)</f>
        <v>27</v>
      </c>
      <c r="AI73" s="53">
        <f>RTD("wdf.rtq",,$AB73,I$5)</f>
        <v>1</v>
      </c>
      <c r="AJ73" s="4">
        <f>RTD("wdf.rtq",,$AB73,J$5)</f>
        <v>0</v>
      </c>
      <c r="AK73" s="54">
        <f>RTD("wdf.rtq",,$AB73,K$5)</f>
        <v>0</v>
      </c>
      <c r="AL73" s="4">
        <f>[1]!s_dq_presettle(AB73,"")</f>
        <v>186.6</v>
      </c>
      <c r="AM73" s="6">
        <f t="shared" si="67"/>
        <v>207.09999999999991</v>
      </c>
      <c r="AN73" s="6">
        <f t="shared" si="68"/>
        <v>16680</v>
      </c>
      <c r="AO73" s="6">
        <f t="shared" si="69"/>
        <v>16861.000000000015</v>
      </c>
      <c r="AP73" s="4">
        <f t="shared" si="70"/>
        <v>17750</v>
      </c>
      <c r="AQ73" s="8">
        <f t="shared" si="71"/>
        <v>34430.01</v>
      </c>
      <c r="AR73" s="55">
        <f ca="1">IF(NOW()-TODAY()&gt;15/24, AG73, [1]!s_dq_volume(AB73,AR$2,1))/AI$2</f>
        <v>15</v>
      </c>
      <c r="AS73" s="110"/>
      <c r="AT73" s="110"/>
      <c r="AU73" s="110"/>
      <c r="AV73" s="110"/>
      <c r="AY73" s="10"/>
      <c r="AZ73" s="10"/>
      <c r="BA73" s="6">
        <f t="shared" ca="1" si="91"/>
        <v>1669.1166666666757</v>
      </c>
      <c r="BB73" s="6">
        <f t="shared" ca="1" si="92"/>
        <v>0</v>
      </c>
      <c r="BC73" s="6">
        <f t="shared" ca="1" si="93"/>
        <v>0</v>
      </c>
      <c r="BD73" s="12">
        <f t="shared" ca="1" si="94"/>
        <v>0</v>
      </c>
      <c r="BE73" s="2">
        <f t="shared" ca="1" si="72"/>
        <v>3.7370430150752963E-3</v>
      </c>
      <c r="BF73" s="2">
        <f t="shared" ca="1" si="73"/>
        <v>0</v>
      </c>
      <c r="BG73" s="2">
        <f t="shared" ca="1" si="74"/>
        <v>0</v>
      </c>
      <c r="BH73" s="13">
        <f t="shared" ca="1" si="75"/>
        <v>0</v>
      </c>
      <c r="BI73" s="2">
        <f t="shared" ca="1" si="76"/>
        <v>1.6047302358852742E-2</v>
      </c>
      <c r="BJ73" s="2">
        <f t="shared" ca="1" si="77"/>
        <v>0</v>
      </c>
      <c r="BK73" s="2">
        <f t="shared" ca="1" si="78"/>
        <v>0</v>
      </c>
      <c r="BL73" s="40">
        <f t="shared" ca="1" si="79"/>
        <v>0</v>
      </c>
      <c r="BN73" s="6">
        <f t="shared" ca="1" si="95"/>
        <v>2456.9299999999903</v>
      </c>
      <c r="BO73" s="6">
        <f t="shared" ca="1" si="96"/>
        <v>0</v>
      </c>
      <c r="BP73" s="6">
        <f t="shared" ca="1" si="97"/>
        <v>0</v>
      </c>
      <c r="BQ73" s="12">
        <f t="shared" ca="1" si="98"/>
        <v>0</v>
      </c>
      <c r="BR73" s="2">
        <f t="shared" ca="1" si="80"/>
        <v>2.275036087248675E-2</v>
      </c>
      <c r="BS73" s="2">
        <f t="shared" ca="1" si="81"/>
        <v>0</v>
      </c>
      <c r="BT73" s="2">
        <f t="shared" ca="1" si="82"/>
        <v>0</v>
      </c>
      <c r="BU73" s="13">
        <f t="shared" ca="1" si="83"/>
        <v>0</v>
      </c>
      <c r="BV73" s="2">
        <f t="shared" ca="1" si="84"/>
        <v>9.7692726099501928E-2</v>
      </c>
      <c r="BW73" s="2">
        <f t="shared" ca="1" si="85"/>
        <v>0</v>
      </c>
      <c r="BX73" s="2">
        <f t="shared" ca="1" si="86"/>
        <v>0</v>
      </c>
      <c r="BY73" s="13">
        <f t="shared" ca="1" si="87"/>
        <v>0</v>
      </c>
      <c r="CF73" s="39" t="str">
        <f t="shared" si="88"/>
        <v>C2020-06-3550000.CFE</v>
      </c>
      <c r="CG73" s="39" t="str">
        <f t="shared" si="89"/>
        <v>P2020-06-3550000.CFE</v>
      </c>
      <c r="CH73" s="95" t="s">
        <v>335</v>
      </c>
      <c r="CI73" s="100" t="str">
        <f>IF([1]!w_info_callput(CH73)="认购","C","P")</f>
        <v>C</v>
      </c>
      <c r="CJ73" s="104">
        <f>[1]!w_info_strikeprice(CH73,"")</f>
        <v>3550</v>
      </c>
      <c r="CK73" s="102" t="str">
        <f>[1]!w_info_lasttradingdate(CH73)</f>
        <v>2020-06-19</v>
      </c>
      <c r="CL73" s="39" t="str">
        <f t="shared" si="90"/>
        <v>IO2006-P-3550.CFE</v>
      </c>
    </row>
    <row r="74" spans="1:90">
      <c r="A74" s="35"/>
      <c r="B74" s="112" t="s">
        <v>89</v>
      </c>
      <c r="C74" s="29" t="str">
        <f>IF([1]!w_info_callput(B74)="认购","C","P")</f>
        <v>C</v>
      </c>
      <c r="D74" s="96">
        <f>[1]!w_info_strikeprice(B74,"")</f>
        <v>3600</v>
      </c>
      <c r="E74" s="18" t="str">
        <f>[1]!w_info_lasttradingdate(B74)</f>
        <v>2020-06-19</v>
      </c>
      <c r="F74" s="4">
        <f>IF(G74&gt;0,RTD("wdf.rtq",,$B74,F$5),0)</f>
        <v>276.60000000000002</v>
      </c>
      <c r="G74" s="53">
        <f>RTD("wdf.rtq",,$B74,G$5)</f>
        <v>18</v>
      </c>
      <c r="H74" s="4">
        <f>RTD("wdf.rtq",,$B74,H$5)</f>
        <v>2</v>
      </c>
      <c r="I74" s="53">
        <f>RTD("wdf.rtq",,$B74,I$5)</f>
        <v>2</v>
      </c>
      <c r="J74" s="4">
        <f>RTD("wdf.rtq",,$B74,J$5)</f>
        <v>281.2</v>
      </c>
      <c r="K74" s="54">
        <f>RTD("wdf.rtq",,$B74,K$5)</f>
        <v>1</v>
      </c>
      <c r="L74" s="4">
        <f>[1]!s_dq_presettle(B74,"")</f>
        <v>243.8</v>
      </c>
      <c r="M74" s="6">
        <f t="shared" si="62"/>
        <v>0</v>
      </c>
      <c r="N74" s="3">
        <f t="shared" si="63"/>
        <v>17420</v>
      </c>
      <c r="O74" s="4">
        <f t="shared" si="64"/>
        <v>37571</v>
      </c>
      <c r="P74" s="4">
        <f t="shared" si="65"/>
        <v>18000</v>
      </c>
      <c r="Q74" s="8">
        <f t="shared" si="66"/>
        <v>54991.01</v>
      </c>
      <c r="R74" s="55">
        <f ca="1">IF(NOW()-TODAY()&gt;15/24, G74, [1]!s_dq_volume(B74,R$2,1))/$AI$2</f>
        <v>18</v>
      </c>
      <c r="AB74" s="39" t="s">
        <v>104</v>
      </c>
      <c r="AC74" s="29" t="str">
        <f>IF([1]!w_info_callput(AB74)="认购","C","P")</f>
        <v>P</v>
      </c>
      <c r="AD74" s="31">
        <f>[1]!w_info_strikeprice(AB74,"")</f>
        <v>3600</v>
      </c>
      <c r="AE74" s="18" t="str">
        <f>[1]!w_info_lasttradingdate(AB74)</f>
        <v>2020-06-19</v>
      </c>
      <c r="AF74" s="4">
        <f>RTD("wdf.rtq",,$AB74,F$5)</f>
        <v>174.20000000000002</v>
      </c>
      <c r="AG74" s="53">
        <f>RTD("wdf.rtq",,$AB74,G$5)</f>
        <v>39</v>
      </c>
      <c r="AH74" s="4">
        <f>RTD("wdf.rtq",,$AB74,H$5)</f>
        <v>163.20000000000002</v>
      </c>
      <c r="AI74" s="53">
        <f>RTD("wdf.rtq",,$AB74,I$5)</f>
        <v>1</v>
      </c>
      <c r="AJ74" s="4">
        <f>RTD("wdf.rtq",,$AB74,J$5)</f>
        <v>224</v>
      </c>
      <c r="AK74" s="54">
        <f>RTD("wdf.rtq",,$AB74,K$5)</f>
        <v>1</v>
      </c>
      <c r="AL74" s="4">
        <f>[1]!s_dq_presettle(AB74,"")</f>
        <v>210.6</v>
      </c>
      <c r="AM74" s="6">
        <f t="shared" si="67"/>
        <v>157.09999999999991</v>
      </c>
      <c r="AN74" s="6">
        <f t="shared" si="68"/>
        <v>17420</v>
      </c>
      <c r="AO74" s="6">
        <f t="shared" si="69"/>
        <v>21861.000000000015</v>
      </c>
      <c r="AP74" s="4">
        <f t="shared" si="70"/>
        <v>18000</v>
      </c>
      <c r="AQ74" s="8">
        <f t="shared" si="71"/>
        <v>39281.010000000017</v>
      </c>
      <c r="AR74" s="55">
        <f ca="1">IF(NOW()-TODAY()&gt;15/24, AG74, [1]!s_dq_volume(AB74,AR$2,1))/AI$2</f>
        <v>41</v>
      </c>
      <c r="AS74" s="110"/>
      <c r="AT74" s="110"/>
      <c r="AU74" s="110"/>
      <c r="AV74" s="110"/>
      <c r="AY74" s="10"/>
      <c r="AZ74" s="10"/>
      <c r="BA74" s="6">
        <f t="shared" ca="1" si="91"/>
        <v>5109.1166666666759</v>
      </c>
      <c r="BB74" s="6">
        <f t="shared" ca="1" si="92"/>
        <v>-27330.883333333324</v>
      </c>
      <c r="BC74" s="6">
        <f t="shared" ca="1" si="93"/>
        <v>6669.0766666666723</v>
      </c>
      <c r="BD74" s="12">
        <f t="shared" ca="1" si="94"/>
        <v>6669.1166666666732</v>
      </c>
      <c r="BE74" s="2">
        <f t="shared" ca="1" si="72"/>
        <v>1.1401198677711352E-2</v>
      </c>
      <c r="BF74" s="2">
        <f t="shared" ca="1" si="73"/>
        <v>-6.0319625712891976E-2</v>
      </c>
      <c r="BG74" s="2">
        <f t="shared" ca="1" si="74"/>
        <v>1.4918932710317169E-2</v>
      </c>
      <c r="BH74" s="13">
        <f t="shared" ca="1" si="75"/>
        <v>1.4919022859052359E-2</v>
      </c>
      <c r="BI74" s="2">
        <f t="shared" ca="1" si="76"/>
        <v>4.8958088439584047E-2</v>
      </c>
      <c r="BJ74" s="2">
        <f t="shared" ca="1" si="77"/>
        <v>-0.25901956923771263</v>
      </c>
      <c r="BK74" s="2">
        <f t="shared" ca="1" si="78"/>
        <v>6.4063652226656082E-2</v>
      </c>
      <c r="BL74" s="40">
        <f t="shared" ca="1" si="79"/>
        <v>6.4064039335930717E-2</v>
      </c>
      <c r="BN74" s="6">
        <f t="shared" ca="1" si="95"/>
        <v>-983.07000000001028</v>
      </c>
      <c r="BO74" s="6">
        <f t="shared" ca="1" si="96"/>
        <v>-2543.070000000007</v>
      </c>
      <c r="BP74" s="6">
        <f t="shared" ca="1" si="97"/>
        <v>31456.889999999989</v>
      </c>
      <c r="BQ74" s="12">
        <f t="shared" ca="1" si="98"/>
        <v>31456.929999999989</v>
      </c>
      <c r="BR74" s="2">
        <f t="shared" ca="1" si="80"/>
        <v>-8.775357124015979E-3</v>
      </c>
      <c r="BS74" s="2">
        <f t="shared" ca="1" si="81"/>
        <v>-2.2607837885195051E-2</v>
      </c>
      <c r="BT74" s="2">
        <f t="shared" ca="1" si="82"/>
        <v>0.37197933501351527</v>
      </c>
      <c r="BU74" s="13">
        <f t="shared" ca="1" si="83"/>
        <v>0.37197989598918979</v>
      </c>
      <c r="BV74" s="2">
        <f t="shared" ca="1" si="84"/>
        <v>-3.768241588548038E-2</v>
      </c>
      <c r="BW74" s="2">
        <f t="shared" ca="1" si="85"/>
        <v>-9.7080715624661099E-2</v>
      </c>
      <c r="BX74" s="2">
        <f t="shared" ca="1" si="86"/>
        <v>1.5973230268227419</v>
      </c>
      <c r="BY74" s="13">
        <f t="shared" ca="1" si="87"/>
        <v>1.5973254357182856</v>
      </c>
      <c r="CF74" s="39" t="str">
        <f t="shared" si="88"/>
        <v>C2020-06-3600000.CFE</v>
      </c>
      <c r="CG74" s="39" t="str">
        <f t="shared" si="89"/>
        <v>P2020-06-3600000.CFE</v>
      </c>
      <c r="CH74" s="95" t="s">
        <v>89</v>
      </c>
      <c r="CI74" s="100" t="str">
        <f>IF([1]!w_info_callput(CH74)="认购","C","P")</f>
        <v>C</v>
      </c>
      <c r="CJ74" s="104">
        <f>[1]!w_info_strikeprice(CH74,"")</f>
        <v>3600</v>
      </c>
      <c r="CK74" s="102" t="str">
        <f>[1]!w_info_lasttradingdate(CH74)</f>
        <v>2020-06-19</v>
      </c>
      <c r="CL74" s="39" t="str">
        <f t="shared" si="90"/>
        <v>IO2006-P-3600.CFE</v>
      </c>
    </row>
    <row r="75" spans="1:90">
      <c r="A75" s="35"/>
      <c r="B75" s="112" t="s">
        <v>336</v>
      </c>
      <c r="C75" s="29" t="str">
        <f>IF([1]!w_info_callput(B75)="认购","C","P")</f>
        <v>C</v>
      </c>
      <c r="D75" s="96">
        <f>[1]!w_info_strikeprice(B75,"")</f>
        <v>3650</v>
      </c>
      <c r="E75" s="18" t="str">
        <f>[1]!w_info_lasttradingdate(B75)</f>
        <v>2020-06-19</v>
      </c>
      <c r="F75" s="4">
        <f>IF(G75&gt;0,RTD("wdf.rtq",,$B75,F$5),0)</f>
        <v>240.8</v>
      </c>
      <c r="G75" s="53">
        <f>RTD("wdf.rtq",,$B75,G$5)</f>
        <v>20</v>
      </c>
      <c r="H75" s="4">
        <f>RTD("wdf.rtq",,$B75,H$5)</f>
        <v>7</v>
      </c>
      <c r="I75" s="53">
        <f>RTD("wdf.rtq",,$B75,I$5)</f>
        <v>3</v>
      </c>
      <c r="J75" s="4">
        <f>RTD("wdf.rtq",,$B75,J$5)</f>
        <v>0</v>
      </c>
      <c r="K75" s="54">
        <f>RTD("wdf.rtq",,$B75,K$5)</f>
        <v>0</v>
      </c>
      <c r="L75" s="4">
        <f>[1]!s_dq_presettle(B75,"")</f>
        <v>217</v>
      </c>
      <c r="M75" s="6">
        <f t="shared" si="62"/>
        <v>0</v>
      </c>
      <c r="N75" s="3">
        <f t="shared" si="63"/>
        <v>21600</v>
      </c>
      <c r="O75" s="4">
        <f t="shared" si="64"/>
        <v>37571</v>
      </c>
      <c r="P75" s="4">
        <f t="shared" si="65"/>
        <v>18250</v>
      </c>
      <c r="Q75" s="8">
        <f t="shared" si="66"/>
        <v>59171.01</v>
      </c>
      <c r="R75" s="55">
        <f ca="1">IF(NOW()-TODAY()&gt;15/24, G75, [1]!s_dq_volume(B75,R$2,1))/$AI$2</f>
        <v>31</v>
      </c>
      <c r="AB75" s="39" t="s">
        <v>346</v>
      </c>
      <c r="AC75" s="29" t="str">
        <f>IF([1]!w_info_callput(AB75)="认购","C","P")</f>
        <v>P</v>
      </c>
      <c r="AD75" s="31">
        <f>[1]!w_info_strikeprice(AB75,"")</f>
        <v>3650</v>
      </c>
      <c r="AE75" s="18" t="str">
        <f>[1]!w_info_lasttradingdate(AB75)</f>
        <v>2020-06-19</v>
      </c>
      <c r="AF75" s="4">
        <f>RTD("wdf.rtq",,$AB75,F$5)</f>
        <v>216</v>
      </c>
      <c r="AG75" s="53">
        <f>RTD("wdf.rtq",,$AB75,G$5)</f>
        <v>12</v>
      </c>
      <c r="AH75" s="4">
        <f>RTD("wdf.rtq",,$AB75,H$5)</f>
        <v>50</v>
      </c>
      <c r="AI75" s="53">
        <f>RTD("wdf.rtq",,$AB75,I$5)</f>
        <v>1</v>
      </c>
      <c r="AJ75" s="4">
        <f>RTD("wdf.rtq",,$AB75,J$5)</f>
        <v>0</v>
      </c>
      <c r="AK75" s="54">
        <f>RTD("wdf.rtq",,$AB75,K$5)</f>
        <v>0</v>
      </c>
      <c r="AL75" s="4">
        <f>[1]!s_dq_presettle(AB75,"")</f>
        <v>238.8</v>
      </c>
      <c r="AM75" s="6">
        <f t="shared" si="67"/>
        <v>107.09999999999991</v>
      </c>
      <c r="AN75" s="6">
        <f t="shared" si="68"/>
        <v>21600</v>
      </c>
      <c r="AO75" s="6">
        <f t="shared" si="69"/>
        <v>26861.000000000015</v>
      </c>
      <c r="AP75" s="4">
        <f t="shared" si="70"/>
        <v>18250</v>
      </c>
      <c r="AQ75" s="8">
        <f t="shared" si="71"/>
        <v>48461.010000000017</v>
      </c>
      <c r="AR75" s="55">
        <f ca="1">IF(NOW()-TODAY()&gt;15/24, AG75, [1]!s_dq_volume(AB75,AR$2,1))/AI$2</f>
        <v>48</v>
      </c>
      <c r="AS75" s="110"/>
      <c r="AT75" s="110"/>
      <c r="AU75" s="110"/>
      <c r="AV75" s="110"/>
      <c r="AY75" s="10"/>
      <c r="AZ75" s="10"/>
      <c r="BA75" s="6">
        <f t="shared" ca="1" si="91"/>
        <v>2349.1166666666768</v>
      </c>
      <c r="BB75" s="6">
        <f t="shared" ca="1" si="92"/>
        <v>0</v>
      </c>
      <c r="BC75" s="6">
        <f t="shared" ca="1" si="93"/>
        <v>0</v>
      </c>
      <c r="BD75" s="12">
        <f t="shared" ca="1" si="94"/>
        <v>0</v>
      </c>
      <c r="BE75" s="2">
        <f t="shared" ca="1" si="72"/>
        <v>5.1461432462802268E-3</v>
      </c>
      <c r="BF75" s="2">
        <f t="shared" ca="1" si="73"/>
        <v>0</v>
      </c>
      <c r="BG75" s="2">
        <f t="shared" ca="1" si="74"/>
        <v>0</v>
      </c>
      <c r="BH75" s="13">
        <f t="shared" ca="1" si="75"/>
        <v>0</v>
      </c>
      <c r="BI75" s="2">
        <f t="shared" ca="1" si="76"/>
        <v>2.2098144528144504E-2</v>
      </c>
      <c r="BJ75" s="2">
        <f t="shared" ca="1" si="77"/>
        <v>0</v>
      </c>
      <c r="BK75" s="2">
        <f t="shared" ca="1" si="78"/>
        <v>0</v>
      </c>
      <c r="BL75" s="40">
        <f t="shared" ca="1" si="79"/>
        <v>0</v>
      </c>
      <c r="BN75" s="6">
        <f t="shared" ca="1" si="95"/>
        <v>1776.9299999999891</v>
      </c>
      <c r="BO75" s="6">
        <f t="shared" ca="1" si="96"/>
        <v>0</v>
      </c>
      <c r="BP75" s="6">
        <f t="shared" ca="1" si="97"/>
        <v>0</v>
      </c>
      <c r="BQ75" s="12">
        <f t="shared" ca="1" si="98"/>
        <v>0</v>
      </c>
      <c r="BR75" s="2">
        <f t="shared" ca="1" si="80"/>
        <v>1.5106582112949051E-2</v>
      </c>
      <c r="BS75" s="2">
        <f t="shared" ca="1" si="81"/>
        <v>0</v>
      </c>
      <c r="BT75" s="2">
        <f t="shared" ca="1" si="82"/>
        <v>0</v>
      </c>
      <c r="BU75" s="13">
        <f t="shared" ca="1" si="83"/>
        <v>0</v>
      </c>
      <c r="BV75" s="2">
        <f t="shared" ca="1" si="84"/>
        <v>6.486944083795769E-2</v>
      </c>
      <c r="BW75" s="2">
        <f t="shared" ca="1" si="85"/>
        <v>0</v>
      </c>
      <c r="BX75" s="2">
        <f t="shared" ca="1" si="86"/>
        <v>0</v>
      </c>
      <c r="BY75" s="13">
        <f t="shared" ca="1" si="87"/>
        <v>0</v>
      </c>
      <c r="CF75" s="39" t="str">
        <f t="shared" si="88"/>
        <v>C2020-06-3650000.CFE</v>
      </c>
      <c r="CG75" s="39" t="str">
        <f t="shared" si="89"/>
        <v>P2020-06-3650000.CFE</v>
      </c>
      <c r="CH75" s="95" t="s">
        <v>336</v>
      </c>
      <c r="CI75" s="100" t="str">
        <f>IF([1]!w_info_callput(CH75)="认购","C","P")</f>
        <v>C</v>
      </c>
      <c r="CJ75" s="104">
        <f>[1]!w_info_strikeprice(CH75,"")</f>
        <v>3650</v>
      </c>
      <c r="CK75" s="102" t="str">
        <f>[1]!w_info_lasttradingdate(CH75)</f>
        <v>2020-06-19</v>
      </c>
      <c r="CL75" s="39" t="str">
        <f t="shared" si="90"/>
        <v>IO2006-P-3650.CFE</v>
      </c>
    </row>
    <row r="76" spans="1:90">
      <c r="A76" s="35"/>
      <c r="B76" s="112" t="s">
        <v>90</v>
      </c>
      <c r="C76" s="29" t="str">
        <f>IF([1]!w_info_callput(B76)="认购","C","P")</f>
        <v>C</v>
      </c>
      <c r="D76" s="96">
        <f>[1]!w_info_strikeprice(B76,"")</f>
        <v>3700</v>
      </c>
      <c r="E76" s="18" t="str">
        <f>[1]!w_info_lasttradingdate(B76)</f>
        <v>2020-06-19</v>
      </c>
      <c r="F76" s="4">
        <f>IF(G76&gt;0,RTD("wdf.rtq",,$B76,F$5),0)</f>
        <v>229.6</v>
      </c>
      <c r="G76" s="53">
        <f>RTD("wdf.rtq",,$B76,G$5)</f>
        <v>39</v>
      </c>
      <c r="H76" s="4">
        <f>RTD("wdf.rtq",,$B76,H$5)</f>
        <v>7</v>
      </c>
      <c r="I76" s="53">
        <f>RTD("wdf.rtq",,$B76,I$5)</f>
        <v>3</v>
      </c>
      <c r="J76" s="4">
        <f>RTD("wdf.rtq",,$B76,J$5)</f>
        <v>0</v>
      </c>
      <c r="K76" s="54">
        <f>RTD("wdf.rtq",,$B76,K$5)</f>
        <v>0</v>
      </c>
      <c r="L76" s="4">
        <f>[1]!s_dq_presettle(B76,"")</f>
        <v>196</v>
      </c>
      <c r="M76" s="6">
        <f t="shared" si="62"/>
        <v>0</v>
      </c>
      <c r="N76" s="3">
        <f t="shared" si="63"/>
        <v>23300</v>
      </c>
      <c r="O76" s="4">
        <f t="shared" si="64"/>
        <v>37571</v>
      </c>
      <c r="P76" s="4">
        <f t="shared" si="65"/>
        <v>18500</v>
      </c>
      <c r="Q76" s="8">
        <f t="shared" si="66"/>
        <v>60871.01</v>
      </c>
      <c r="R76" s="55">
        <f ca="1">IF(NOW()-TODAY()&gt;15/24, G76, [1]!s_dq_volume(B76,R$2,1))/$AI$2</f>
        <v>47</v>
      </c>
      <c r="AB76" s="39" t="s">
        <v>105</v>
      </c>
      <c r="AC76" s="29" t="str">
        <f>IF([1]!w_info_callput(AB76)="认购","C","P")</f>
        <v>P</v>
      </c>
      <c r="AD76" s="31">
        <f>[1]!w_info_strikeprice(AB76,"")</f>
        <v>3700</v>
      </c>
      <c r="AE76" s="18" t="str">
        <f>[1]!w_info_lasttradingdate(AB76)</f>
        <v>2020-06-19</v>
      </c>
      <c r="AF76" s="4">
        <f>RTD("wdf.rtq",,$AB76,F$5)</f>
        <v>233</v>
      </c>
      <c r="AG76" s="53">
        <f>RTD("wdf.rtq",,$AB76,G$5)</f>
        <v>32</v>
      </c>
      <c r="AH76" s="4">
        <f>RTD("wdf.rtq",,$AB76,H$5)</f>
        <v>36</v>
      </c>
      <c r="AI76" s="53">
        <f>RTD("wdf.rtq",,$AB76,I$5)</f>
        <v>1</v>
      </c>
      <c r="AJ76" s="4">
        <f>RTD("wdf.rtq",,$AB76,J$5)</f>
        <v>0</v>
      </c>
      <c r="AK76" s="54">
        <f>RTD("wdf.rtq",,$AB76,K$5)</f>
        <v>0</v>
      </c>
      <c r="AL76" s="4">
        <f>[1]!s_dq_presettle(AB76,"")</f>
        <v>264.39999999999998</v>
      </c>
      <c r="AM76" s="6">
        <f t="shared" si="67"/>
        <v>57.099999999999909</v>
      </c>
      <c r="AN76" s="6">
        <f t="shared" si="68"/>
        <v>23300</v>
      </c>
      <c r="AO76" s="6">
        <f t="shared" si="69"/>
        <v>31861.000000000015</v>
      </c>
      <c r="AP76" s="4">
        <f t="shared" si="70"/>
        <v>18500</v>
      </c>
      <c r="AQ76" s="8">
        <f t="shared" si="71"/>
        <v>55161.010000000017</v>
      </c>
      <c r="AR76" s="55">
        <f ca="1">IF(NOW()-TODAY()&gt;15/24, AG76, [1]!s_dq_volume(AB76,AR$2,1))/AI$2</f>
        <v>52</v>
      </c>
      <c r="AS76" s="110"/>
      <c r="AT76" s="110"/>
      <c r="AU76" s="110"/>
      <c r="AV76" s="110"/>
      <c r="AY76" s="10"/>
      <c r="AZ76" s="10"/>
      <c r="BA76" s="6">
        <f t="shared" ca="1" si="91"/>
        <v>4529.116666666675</v>
      </c>
      <c r="BB76" s="6">
        <f t="shared" ca="1" si="92"/>
        <v>0</v>
      </c>
      <c r="BC76" s="6">
        <f t="shared" ca="1" si="93"/>
        <v>0</v>
      </c>
      <c r="BD76" s="12">
        <f t="shared" ca="1" si="94"/>
        <v>0</v>
      </c>
      <c r="BE76" s="2">
        <f t="shared" ca="1" si="72"/>
        <v>9.8484533350630746E-3</v>
      </c>
      <c r="BF76" s="2">
        <f t="shared" ca="1" si="73"/>
        <v>0</v>
      </c>
      <c r="BG76" s="2">
        <f t="shared" ca="1" si="74"/>
        <v>0</v>
      </c>
      <c r="BH76" s="13">
        <f t="shared" ca="1" si="75"/>
        <v>0</v>
      </c>
      <c r="BI76" s="2">
        <f t="shared" ca="1" si="76"/>
        <v>4.2290417262329676E-2</v>
      </c>
      <c r="BJ76" s="2">
        <f t="shared" ca="1" si="77"/>
        <v>0</v>
      </c>
      <c r="BK76" s="2">
        <f t="shared" ca="1" si="78"/>
        <v>0</v>
      </c>
      <c r="BL76" s="40">
        <f t="shared" ca="1" si="79"/>
        <v>0</v>
      </c>
      <c r="BN76" s="6">
        <f t="shared" ca="1" si="95"/>
        <v>-403.07000000000914</v>
      </c>
      <c r="BO76" s="6">
        <f t="shared" ca="1" si="96"/>
        <v>0</v>
      </c>
      <c r="BP76" s="6">
        <f t="shared" ca="1" si="97"/>
        <v>0</v>
      </c>
      <c r="BQ76" s="12">
        <f t="shared" ca="1" si="98"/>
        <v>0</v>
      </c>
      <c r="BR76" s="2">
        <f t="shared" ca="1" si="80"/>
        <v>-3.2715071748413418E-3</v>
      </c>
      <c r="BS76" s="2">
        <f t="shared" ca="1" si="81"/>
        <v>0</v>
      </c>
      <c r="BT76" s="2">
        <f t="shared" ca="1" si="82"/>
        <v>0</v>
      </c>
      <c r="BU76" s="13">
        <f t="shared" ca="1" si="83"/>
        <v>0</v>
      </c>
      <c r="BV76" s="2">
        <f t="shared" ca="1" si="84"/>
        <v>-1.4048236691965761E-2</v>
      </c>
      <c r="BW76" s="2">
        <f t="shared" ca="1" si="85"/>
        <v>0</v>
      </c>
      <c r="BX76" s="2">
        <f t="shared" ca="1" si="86"/>
        <v>0</v>
      </c>
      <c r="BY76" s="13">
        <f t="shared" ca="1" si="87"/>
        <v>0</v>
      </c>
      <c r="CF76" s="39" t="str">
        <f t="shared" si="88"/>
        <v>C2020-06-3700000.CFE</v>
      </c>
      <c r="CG76" s="39" t="str">
        <f t="shared" si="89"/>
        <v>P2020-06-3700000.CFE</v>
      </c>
      <c r="CH76" s="95" t="s">
        <v>90</v>
      </c>
      <c r="CI76" s="100" t="str">
        <f>IF([1]!w_info_callput(CH76)="认购","C","P")</f>
        <v>C</v>
      </c>
      <c r="CJ76" s="104">
        <f>[1]!w_info_strikeprice(CH76,"")</f>
        <v>3700</v>
      </c>
      <c r="CK76" s="102" t="str">
        <f>[1]!w_info_lasttradingdate(CH76)</f>
        <v>2020-06-19</v>
      </c>
      <c r="CL76" s="39" t="str">
        <f t="shared" si="90"/>
        <v>IO2006-P-3700.CFE</v>
      </c>
    </row>
    <row r="77" spans="1:90">
      <c r="A77" s="35"/>
      <c r="B77" s="112" t="s">
        <v>337</v>
      </c>
      <c r="C77" s="29" t="str">
        <f>IF([1]!w_info_callput(B77)="认购","C","P")</f>
        <v>C</v>
      </c>
      <c r="D77" s="96">
        <f>[1]!w_info_strikeprice(B77,"")</f>
        <v>3750</v>
      </c>
      <c r="E77" s="18" t="str">
        <f>[1]!w_info_lasttradingdate(B77)</f>
        <v>2020-06-19</v>
      </c>
      <c r="F77" s="4">
        <f>IF(G77&gt;0,RTD("wdf.rtq",,$B77,F$5),0)</f>
        <v>199.4</v>
      </c>
      <c r="G77" s="53">
        <f>RTD("wdf.rtq",,$B77,G$5)</f>
        <v>23</v>
      </c>
      <c r="H77" s="4">
        <f>RTD("wdf.rtq",,$B77,H$5)</f>
        <v>7</v>
      </c>
      <c r="I77" s="53">
        <f>RTD("wdf.rtq",,$B77,I$5)</f>
        <v>3</v>
      </c>
      <c r="J77" s="4">
        <f>RTD("wdf.rtq",,$B77,J$5)</f>
        <v>0</v>
      </c>
      <c r="K77" s="54">
        <f>RTD("wdf.rtq",,$B77,K$5)</f>
        <v>0</v>
      </c>
      <c r="L77" s="4">
        <f>[1]!s_dq_presettle(B77,"")</f>
        <v>174.4</v>
      </c>
      <c r="M77" s="6">
        <f t="shared" si="62"/>
        <v>0</v>
      </c>
      <c r="N77" s="3">
        <f t="shared" si="63"/>
        <v>25000</v>
      </c>
      <c r="O77" s="4">
        <f t="shared" si="64"/>
        <v>37571</v>
      </c>
      <c r="P77" s="4">
        <f t="shared" si="65"/>
        <v>18750</v>
      </c>
      <c r="Q77" s="8">
        <f t="shared" si="66"/>
        <v>62571.01</v>
      </c>
      <c r="R77" s="55">
        <f ca="1">IF(NOW()-TODAY()&gt;15/24, G77, [1]!s_dq_volume(B77,R$2,1))/$AI$2</f>
        <v>36</v>
      </c>
      <c r="AB77" s="39" t="s">
        <v>347</v>
      </c>
      <c r="AC77" s="29" t="str">
        <f>IF([1]!w_info_callput(AB77)="认购","C","P")</f>
        <v>P</v>
      </c>
      <c r="AD77" s="31">
        <f>[1]!w_info_strikeprice(AB77,"")</f>
        <v>3750</v>
      </c>
      <c r="AE77" s="18" t="str">
        <f>[1]!w_info_lasttradingdate(AB77)</f>
        <v>2020-06-19</v>
      </c>
      <c r="AF77" s="4">
        <f>RTD("wdf.rtq",,$AB77,F$5)</f>
        <v>250</v>
      </c>
      <c r="AG77" s="53">
        <f>RTD("wdf.rtq",,$AB77,G$5)</f>
        <v>18</v>
      </c>
      <c r="AH77" s="4">
        <f>RTD("wdf.rtq",,$AB77,H$5)</f>
        <v>16</v>
      </c>
      <c r="AI77" s="53">
        <f>RTD("wdf.rtq",,$AB77,I$5)</f>
        <v>2</v>
      </c>
      <c r="AJ77" s="4">
        <f>RTD("wdf.rtq",,$AB77,J$5)</f>
        <v>0</v>
      </c>
      <c r="AK77" s="54">
        <f>RTD("wdf.rtq",,$AB77,K$5)</f>
        <v>0</v>
      </c>
      <c r="AL77" s="4">
        <f>[1]!s_dq_presettle(AB77,"")</f>
        <v>292.8</v>
      </c>
      <c r="AM77" s="6">
        <f t="shared" si="67"/>
        <v>7.0999999999999091</v>
      </c>
      <c r="AN77" s="6">
        <f t="shared" si="68"/>
        <v>25000</v>
      </c>
      <c r="AO77" s="6">
        <f t="shared" si="69"/>
        <v>36861.000000000015</v>
      </c>
      <c r="AP77" s="4">
        <f t="shared" si="70"/>
        <v>18750</v>
      </c>
      <c r="AQ77" s="8">
        <f t="shared" si="71"/>
        <v>61861.010000000017</v>
      </c>
      <c r="AR77" s="55">
        <f ca="1">IF(NOW()-TODAY()&gt;15/24, AG77, [1]!s_dq_volume(AB77,AR$2,1))/AI$2</f>
        <v>26</v>
      </c>
      <c r="AS77" s="110"/>
      <c r="AT77" s="110"/>
      <c r="AU77" s="110"/>
      <c r="AV77" s="110"/>
      <c r="AY77" s="10"/>
      <c r="AZ77" s="10"/>
      <c r="BA77" s="6">
        <f t="shared" ca="1" si="91"/>
        <v>4809.1166666666759</v>
      </c>
      <c r="BB77" s="6">
        <f t="shared" ca="1" si="92"/>
        <v>0</v>
      </c>
      <c r="BC77" s="6">
        <f t="shared" ca="1" si="93"/>
        <v>0</v>
      </c>
      <c r="BD77" s="12">
        <f t="shared" ca="1" si="94"/>
        <v>0</v>
      </c>
      <c r="BE77" s="2">
        <f t="shared" ca="1" si="72"/>
        <v>1.0380560745769993E-2</v>
      </c>
      <c r="BF77" s="2">
        <f t="shared" ca="1" si="73"/>
        <v>0</v>
      </c>
      <c r="BG77" s="2">
        <f t="shared" ca="1" si="74"/>
        <v>0</v>
      </c>
      <c r="BH77" s="13">
        <f t="shared" ca="1" si="75"/>
        <v>0</v>
      </c>
      <c r="BI77" s="2">
        <f t="shared" ca="1" si="76"/>
        <v>4.4575349084777026E-2</v>
      </c>
      <c r="BJ77" s="2">
        <f t="shared" ca="1" si="77"/>
        <v>0</v>
      </c>
      <c r="BK77" s="2">
        <f t="shared" ca="1" si="78"/>
        <v>0</v>
      </c>
      <c r="BL77" s="40">
        <f t="shared" ca="1" si="79"/>
        <v>0</v>
      </c>
      <c r="BN77" s="6">
        <f t="shared" ca="1" si="95"/>
        <v>-683.07000000001028</v>
      </c>
      <c r="BO77" s="6">
        <f t="shared" ca="1" si="96"/>
        <v>0</v>
      </c>
      <c r="BP77" s="6">
        <f t="shared" ca="1" si="97"/>
        <v>0</v>
      </c>
      <c r="BQ77" s="12">
        <f t="shared" ca="1" si="98"/>
        <v>0</v>
      </c>
      <c r="BR77" s="2">
        <f t="shared" ca="1" si="80"/>
        <v>-5.3833273135040459E-3</v>
      </c>
      <c r="BS77" s="2">
        <f t="shared" ca="1" si="81"/>
        <v>0</v>
      </c>
      <c r="BT77" s="2">
        <f t="shared" ca="1" si="82"/>
        <v>0</v>
      </c>
      <c r="BU77" s="13">
        <f t="shared" ca="1" si="83"/>
        <v>0</v>
      </c>
      <c r="BV77" s="2">
        <f t="shared" ca="1" si="84"/>
        <v>-2.3116640816811491E-2</v>
      </c>
      <c r="BW77" s="2">
        <f t="shared" ca="1" si="85"/>
        <v>0</v>
      </c>
      <c r="BX77" s="2">
        <f t="shared" ca="1" si="86"/>
        <v>0</v>
      </c>
      <c r="BY77" s="13">
        <f t="shared" ca="1" si="87"/>
        <v>0</v>
      </c>
      <c r="CF77" s="39" t="str">
        <f t="shared" si="88"/>
        <v>C2020-06-3750000.CFE</v>
      </c>
      <c r="CG77" s="39" t="str">
        <f t="shared" si="89"/>
        <v>P2020-06-3750000.CFE</v>
      </c>
      <c r="CH77" s="95" t="s">
        <v>337</v>
      </c>
      <c r="CI77" s="100" t="str">
        <f>IF([1]!w_info_callput(CH77)="认购","C","P")</f>
        <v>C</v>
      </c>
      <c r="CJ77" s="104">
        <f>[1]!w_info_strikeprice(CH77,"")</f>
        <v>3750</v>
      </c>
      <c r="CK77" s="102" t="str">
        <f>[1]!w_info_lasttradingdate(CH77)</f>
        <v>2020-06-19</v>
      </c>
      <c r="CL77" s="39" t="str">
        <f t="shared" si="90"/>
        <v>IO2006-P-3750.CFE</v>
      </c>
    </row>
    <row r="78" spans="1:90">
      <c r="A78" s="35"/>
      <c r="B78" s="112" t="s">
        <v>91</v>
      </c>
      <c r="C78" s="29" t="str">
        <f>IF([1]!w_info_callput(B78)="认购","C","P")</f>
        <v>C</v>
      </c>
      <c r="D78" s="96">
        <f>[1]!w_info_strikeprice(B78,"")</f>
        <v>3800</v>
      </c>
      <c r="E78" s="18" t="str">
        <f>[1]!w_info_lasttradingdate(B78)</f>
        <v>2020-06-19</v>
      </c>
      <c r="F78" s="4">
        <f>IF(G78&gt;0,RTD("wdf.rtq",,$B78,F$5),0)</f>
        <v>179.6</v>
      </c>
      <c r="G78" s="53">
        <f>RTD("wdf.rtq",,$B78,G$5)</f>
        <v>34</v>
      </c>
      <c r="H78" s="4">
        <f>RTD("wdf.rtq",,$B78,H$5)</f>
        <v>168</v>
      </c>
      <c r="I78" s="53">
        <f>RTD("wdf.rtq",,$B78,I$5)</f>
        <v>1</v>
      </c>
      <c r="J78" s="4">
        <f>RTD("wdf.rtq",,$B78,J$5)</f>
        <v>185</v>
      </c>
      <c r="K78" s="54">
        <f>RTD("wdf.rtq",,$B78,K$5)</f>
        <v>1</v>
      </c>
      <c r="L78" s="4">
        <f>[1]!s_dq_presettle(B78,"")</f>
        <v>157.19999999999999</v>
      </c>
      <c r="M78" s="6">
        <f t="shared" si="62"/>
        <v>42.900000000000091</v>
      </c>
      <c r="N78" s="3">
        <f t="shared" si="63"/>
        <v>27980</v>
      </c>
      <c r="O78" s="4">
        <f t="shared" si="64"/>
        <v>33280.999999999993</v>
      </c>
      <c r="P78" s="4">
        <f t="shared" si="65"/>
        <v>19000</v>
      </c>
      <c r="Q78" s="8">
        <f t="shared" si="66"/>
        <v>61261.009999999995</v>
      </c>
      <c r="R78" s="55">
        <f ca="1">IF(NOW()-TODAY()&gt;15/24, G78, [1]!s_dq_volume(B78,R$2,1))/$AI$2</f>
        <v>58</v>
      </c>
      <c r="AB78" s="39" t="s">
        <v>106</v>
      </c>
      <c r="AC78" s="29" t="str">
        <f>IF([1]!w_info_callput(AB78)="认购","C","P")</f>
        <v>P</v>
      </c>
      <c r="AD78" s="31">
        <f>[1]!w_info_strikeprice(AB78,"")</f>
        <v>3800</v>
      </c>
      <c r="AE78" s="18" t="str">
        <f>[1]!w_info_lasttradingdate(AB78)</f>
        <v>2020-06-19</v>
      </c>
      <c r="AF78" s="4">
        <f>RTD("wdf.rtq",,$AB78,F$5)</f>
        <v>279.8</v>
      </c>
      <c r="AG78" s="53">
        <f>RTD("wdf.rtq",,$AB78,G$5)</f>
        <v>8</v>
      </c>
      <c r="AH78" s="4">
        <f>RTD("wdf.rtq",,$AB78,H$5)</f>
        <v>16</v>
      </c>
      <c r="AI78" s="53">
        <f>RTD("wdf.rtq",,$AB78,I$5)</f>
        <v>2</v>
      </c>
      <c r="AJ78" s="4">
        <f>RTD("wdf.rtq",,$AB78,J$5)</f>
        <v>0</v>
      </c>
      <c r="AK78" s="54">
        <f>RTD("wdf.rtq",,$AB78,K$5)</f>
        <v>0</v>
      </c>
      <c r="AL78" s="4">
        <f>[1]!s_dq_presettle(AB78,"")</f>
        <v>325.39999999999998</v>
      </c>
      <c r="AM78" s="6">
        <f t="shared" si="67"/>
        <v>0</v>
      </c>
      <c r="AN78" s="6">
        <f t="shared" si="68"/>
        <v>27980</v>
      </c>
      <c r="AO78" s="6">
        <f t="shared" si="69"/>
        <v>37571</v>
      </c>
      <c r="AP78" s="4">
        <f t="shared" si="70"/>
        <v>19000</v>
      </c>
      <c r="AQ78" s="8">
        <f t="shared" si="71"/>
        <v>65551.009999999995</v>
      </c>
      <c r="AR78" s="55">
        <f ca="1">IF(NOW()-TODAY()&gt;15/24, AG78, [1]!s_dq_volume(AB78,AR$2,1))/AI$2</f>
        <v>16</v>
      </c>
      <c r="AS78" s="110"/>
      <c r="AT78" s="110"/>
      <c r="AU78" s="110"/>
      <c r="AV78" s="110"/>
      <c r="AY78" s="10"/>
      <c r="AZ78" s="10"/>
      <c r="BA78" s="6">
        <f t="shared" ca="1" si="91"/>
        <v>4849.1166666666741</v>
      </c>
      <c r="BB78" s="6">
        <f t="shared" ca="1" si="92"/>
        <v>0</v>
      </c>
      <c r="BC78" s="6">
        <f t="shared" ca="1" si="93"/>
        <v>31769.076666666675</v>
      </c>
      <c r="BD78" s="12">
        <f t="shared" ca="1" si="94"/>
        <v>31769.116666666676</v>
      </c>
      <c r="BE78" s="2">
        <f t="shared" ca="1" si="72"/>
        <v>1.0429306663226032E-2</v>
      </c>
      <c r="BF78" s="2">
        <f t="shared" ca="1" si="73"/>
        <v>0</v>
      </c>
      <c r="BG78" s="2">
        <f t="shared" ca="1" si="74"/>
        <v>7.2437699924380955E-2</v>
      </c>
      <c r="BH78" s="13">
        <f t="shared" ca="1" si="75"/>
        <v>7.243779443303075E-2</v>
      </c>
      <c r="BI78" s="2">
        <f t="shared" ca="1" si="76"/>
        <v>4.478466978914708E-2</v>
      </c>
      <c r="BJ78" s="2">
        <f t="shared" ca="1" si="77"/>
        <v>0</v>
      </c>
      <c r="BK78" s="2">
        <f t="shared" ca="1" si="78"/>
        <v>0.31105600555763585</v>
      </c>
      <c r="BL78" s="40">
        <f t="shared" ca="1" si="79"/>
        <v>0.31105641138889673</v>
      </c>
      <c r="BN78" s="6">
        <f t="shared" ca="1" si="95"/>
        <v>-723.07000000000801</v>
      </c>
      <c r="BO78" s="6">
        <f t="shared" ca="1" si="96"/>
        <v>-27643.070000000011</v>
      </c>
      <c r="BP78" s="6">
        <f t="shared" ca="1" si="97"/>
        <v>0</v>
      </c>
      <c r="BQ78" s="12">
        <f t="shared" ca="1" si="98"/>
        <v>0</v>
      </c>
      <c r="BR78" s="2">
        <f t="shared" ca="1" si="80"/>
        <v>-5.622794015469103E-3</v>
      </c>
      <c r="BS78" s="2">
        <f t="shared" ca="1" si="81"/>
        <v>-0.21406133879877698</v>
      </c>
      <c r="BT78" s="2">
        <f t="shared" ca="1" si="82"/>
        <v>0</v>
      </c>
      <c r="BU78" s="13">
        <f t="shared" ca="1" si="83"/>
        <v>0</v>
      </c>
      <c r="BV78" s="2">
        <f t="shared" ca="1" si="84"/>
        <v>-2.4144939007602621E-2</v>
      </c>
      <c r="BW78" s="2">
        <f t="shared" ca="1" si="85"/>
        <v>-0.91920457248886578</v>
      </c>
      <c r="BX78" s="2">
        <f t="shared" ca="1" si="86"/>
        <v>0</v>
      </c>
      <c r="BY78" s="13">
        <f t="shared" ca="1" si="87"/>
        <v>0</v>
      </c>
      <c r="CF78" s="39" t="str">
        <f t="shared" si="88"/>
        <v>C2020-06-3800000.CFE</v>
      </c>
      <c r="CG78" s="39" t="str">
        <f t="shared" si="89"/>
        <v>P2020-06-3800000.CFE</v>
      </c>
      <c r="CH78" s="95" t="s">
        <v>91</v>
      </c>
      <c r="CI78" s="100" t="str">
        <f>IF([1]!w_info_callput(CH78)="认购","C","P")</f>
        <v>C</v>
      </c>
      <c r="CJ78" s="104">
        <f>[1]!w_info_strikeprice(CH78,"")</f>
        <v>3800</v>
      </c>
      <c r="CK78" s="102" t="str">
        <f>[1]!w_info_lasttradingdate(CH78)</f>
        <v>2020-06-19</v>
      </c>
      <c r="CL78" s="39" t="str">
        <f t="shared" si="90"/>
        <v>IO2006-P-3800.CFE</v>
      </c>
    </row>
    <row r="79" spans="1:90">
      <c r="A79" s="35"/>
      <c r="B79" s="112" t="s">
        <v>338</v>
      </c>
      <c r="C79" s="29" t="str">
        <f>IF([1]!w_info_callput(B79)="认购","C","P")</f>
        <v>C</v>
      </c>
      <c r="D79" s="96">
        <f>[1]!w_info_strikeprice(B79,"")</f>
        <v>3850</v>
      </c>
      <c r="E79" s="18" t="str">
        <f>[1]!w_info_lasttradingdate(B79)</f>
        <v>2020-06-19</v>
      </c>
      <c r="F79" s="4">
        <f>IF(G79&gt;0,RTD("wdf.rtq",,$B79,F$5),0)</f>
        <v>0</v>
      </c>
      <c r="G79" s="53">
        <f>RTD("wdf.rtq",,$B79,G$5)</f>
        <v>0</v>
      </c>
      <c r="H79" s="4">
        <f>RTD("wdf.rtq",,$B79,H$5)</f>
        <v>66</v>
      </c>
      <c r="I79" s="53">
        <f>RTD("wdf.rtq",,$B79,I$5)</f>
        <v>1</v>
      </c>
      <c r="J79" s="4">
        <f>RTD("wdf.rtq",,$B79,J$5)</f>
        <v>0</v>
      </c>
      <c r="K79" s="54">
        <f>RTD("wdf.rtq",,$B79,K$5)</f>
        <v>0</v>
      </c>
      <c r="L79" s="4">
        <f>[1]!s_dq_presettle(B79,"")</f>
        <v>139.80000000000001</v>
      </c>
      <c r="M79" s="6">
        <f t="shared" si="62"/>
        <v>92.900000000000091</v>
      </c>
      <c r="N79" s="3">
        <f t="shared" si="63"/>
        <v>32860</v>
      </c>
      <c r="O79" s="4">
        <f t="shared" si="64"/>
        <v>28280.999999999993</v>
      </c>
      <c r="P79" s="4">
        <f t="shared" si="65"/>
        <v>19250</v>
      </c>
      <c r="Q79" s="8">
        <f t="shared" si="66"/>
        <v>61141.009999999995</v>
      </c>
      <c r="R79" s="55">
        <f ca="1">IF(NOW()-TODAY()&gt;15/24, G79, [1]!s_dq_volume(B79,R$2,1))/$AI$2</f>
        <v>17</v>
      </c>
      <c r="AB79" s="39" t="s">
        <v>348</v>
      </c>
      <c r="AC79" s="29" t="str">
        <f>IF([1]!w_info_callput(AB79)="认购","C","P")</f>
        <v>P</v>
      </c>
      <c r="AD79" s="31">
        <f>[1]!w_info_strikeprice(AB79,"")</f>
        <v>3850</v>
      </c>
      <c r="AE79" s="18" t="str">
        <f>[1]!w_info_lasttradingdate(AB79)</f>
        <v>2020-06-19</v>
      </c>
      <c r="AF79" s="4">
        <f>RTD("wdf.rtq",,$AB79,F$5)</f>
        <v>328.6</v>
      </c>
      <c r="AG79" s="53">
        <f>RTD("wdf.rtq",,$AB79,G$5)</f>
        <v>2</v>
      </c>
      <c r="AH79" s="4">
        <f>RTD("wdf.rtq",,$AB79,H$5)</f>
        <v>16</v>
      </c>
      <c r="AI79" s="53">
        <f>RTD("wdf.rtq",,$AB79,I$5)</f>
        <v>2</v>
      </c>
      <c r="AJ79" s="4">
        <f>RTD("wdf.rtq",,$AB79,J$5)</f>
        <v>0</v>
      </c>
      <c r="AK79" s="54">
        <f>RTD("wdf.rtq",,$AB79,K$5)</f>
        <v>0</v>
      </c>
      <c r="AL79" s="4">
        <f>[1]!s_dq_presettle(AB79,"")</f>
        <v>356.6</v>
      </c>
      <c r="AM79" s="6">
        <f t="shared" si="67"/>
        <v>0</v>
      </c>
      <c r="AN79" s="6">
        <f t="shared" si="68"/>
        <v>32860</v>
      </c>
      <c r="AO79" s="6">
        <f t="shared" si="69"/>
        <v>37571</v>
      </c>
      <c r="AP79" s="4">
        <f t="shared" si="70"/>
        <v>19250</v>
      </c>
      <c r="AQ79" s="8">
        <f t="shared" si="71"/>
        <v>70431.009999999995</v>
      </c>
      <c r="AR79" s="55">
        <f ca="1">IF(NOW()-TODAY()&gt;15/24, AG79, [1]!s_dq_volume(AB79,AR$2,1))/AI$2</f>
        <v>8</v>
      </c>
      <c r="AS79" s="110"/>
      <c r="AT79" s="110"/>
      <c r="AU79" s="110"/>
      <c r="AV79" s="110"/>
      <c r="AY79" s="10"/>
      <c r="AZ79" s="10"/>
      <c r="BA79" s="6">
        <f t="shared" ca="1" si="91"/>
        <v>0</v>
      </c>
      <c r="BB79" s="6">
        <f t="shared" ca="1" si="92"/>
        <v>0</v>
      </c>
      <c r="BC79" s="6">
        <f t="shared" ca="1" si="93"/>
        <v>0</v>
      </c>
      <c r="BD79" s="12">
        <f t="shared" ca="1" si="94"/>
        <v>0</v>
      </c>
      <c r="BE79" s="2">
        <f t="shared" ca="1" si="72"/>
        <v>0</v>
      </c>
      <c r="BF79" s="2">
        <f t="shared" ca="1" si="73"/>
        <v>0</v>
      </c>
      <c r="BG79" s="2">
        <f t="shared" ca="1" si="74"/>
        <v>0</v>
      </c>
      <c r="BH79" s="13">
        <f t="shared" ca="1" si="75"/>
        <v>0</v>
      </c>
      <c r="BI79" s="2">
        <f t="shared" ca="1" si="76"/>
        <v>0</v>
      </c>
      <c r="BJ79" s="2">
        <f t="shared" ca="1" si="77"/>
        <v>0</v>
      </c>
      <c r="BK79" s="2">
        <f t="shared" ca="1" si="78"/>
        <v>0</v>
      </c>
      <c r="BL79" s="40">
        <f t="shared" ca="1" si="79"/>
        <v>0</v>
      </c>
      <c r="BN79" s="6">
        <f t="shared" ca="1" si="95"/>
        <v>0</v>
      </c>
      <c r="BO79" s="6">
        <f t="shared" ca="1" si="96"/>
        <v>0</v>
      </c>
      <c r="BP79" s="6">
        <f t="shared" ca="1" si="97"/>
        <v>0</v>
      </c>
      <c r="BQ79" s="12">
        <f t="shared" ca="1" si="98"/>
        <v>0</v>
      </c>
      <c r="BR79" s="2">
        <f t="shared" ca="1" si="80"/>
        <v>0</v>
      </c>
      <c r="BS79" s="2">
        <f t="shared" ca="1" si="81"/>
        <v>0</v>
      </c>
      <c r="BT79" s="2">
        <f t="shared" ca="1" si="82"/>
        <v>0</v>
      </c>
      <c r="BU79" s="13">
        <f t="shared" ca="1" si="83"/>
        <v>0</v>
      </c>
      <c r="BV79" s="2">
        <f t="shared" ca="1" si="84"/>
        <v>0</v>
      </c>
      <c r="BW79" s="2">
        <f t="shared" ca="1" si="85"/>
        <v>0</v>
      </c>
      <c r="BX79" s="2">
        <f t="shared" ca="1" si="86"/>
        <v>0</v>
      </c>
      <c r="BY79" s="13">
        <f t="shared" ca="1" si="87"/>
        <v>0</v>
      </c>
      <c r="CF79" s="39" t="str">
        <f t="shared" si="88"/>
        <v>C2020-06-3850000.CFE</v>
      </c>
      <c r="CG79" s="39" t="str">
        <f t="shared" si="89"/>
        <v>P2020-06-3850000.CFE</v>
      </c>
      <c r="CH79" s="95" t="s">
        <v>338</v>
      </c>
      <c r="CI79" s="100" t="str">
        <f>IF([1]!w_info_callput(CH79)="认购","C","P")</f>
        <v>C</v>
      </c>
      <c r="CJ79" s="104">
        <f>[1]!w_info_strikeprice(CH79,"")</f>
        <v>3850</v>
      </c>
      <c r="CK79" s="102" t="str">
        <f>[1]!w_info_lasttradingdate(CH79)</f>
        <v>2020-06-19</v>
      </c>
      <c r="CL79" s="39" t="str">
        <f t="shared" si="90"/>
        <v>IO2006-P-3850.CFE</v>
      </c>
    </row>
    <row r="80" spans="1:90">
      <c r="A80" s="35"/>
      <c r="B80" s="112" t="s">
        <v>92</v>
      </c>
      <c r="C80" s="29" t="str">
        <f>IF([1]!w_info_callput(B80)="认购","C","P")</f>
        <v>C</v>
      </c>
      <c r="D80" s="96">
        <f>[1]!w_info_strikeprice(B80,"")</f>
        <v>3900</v>
      </c>
      <c r="E80" s="18" t="str">
        <f>[1]!w_info_lasttradingdate(B80)</f>
        <v>2020-06-19</v>
      </c>
      <c r="F80" s="4">
        <f>IF(G80&gt;0,RTD("wdf.rtq",,$B80,F$5),0)</f>
        <v>142.4</v>
      </c>
      <c r="G80" s="53">
        <f>RTD("wdf.rtq",,$B80,G$5)</f>
        <v>19</v>
      </c>
      <c r="H80" s="4">
        <f>RTD("wdf.rtq",,$B80,H$5)</f>
        <v>80</v>
      </c>
      <c r="I80" s="53">
        <f>RTD("wdf.rtq",,$B80,I$5)</f>
        <v>2</v>
      </c>
      <c r="J80" s="4">
        <f>RTD("wdf.rtq",,$B80,J$5)</f>
        <v>148.80000000000001</v>
      </c>
      <c r="K80" s="54">
        <f>RTD("wdf.rtq",,$B80,K$5)</f>
        <v>2</v>
      </c>
      <c r="L80" s="4">
        <f>[1]!s_dq_presettle(B80,"")</f>
        <v>125.4</v>
      </c>
      <c r="M80" s="6">
        <f t="shared" si="62"/>
        <v>142.90000000000009</v>
      </c>
      <c r="N80" s="3">
        <f t="shared" si="63"/>
        <v>33980</v>
      </c>
      <c r="O80" s="4">
        <f t="shared" si="64"/>
        <v>23280.999999999993</v>
      </c>
      <c r="P80" s="4">
        <f t="shared" si="65"/>
        <v>19500</v>
      </c>
      <c r="Q80" s="8">
        <f t="shared" si="66"/>
        <v>57261.009999999995</v>
      </c>
      <c r="R80" s="55">
        <f ca="1">IF(NOW()-TODAY()&gt;15/24, G80, [1]!s_dq_volume(B80,R$2,1))/$AI$2</f>
        <v>47</v>
      </c>
      <c r="AB80" s="39" t="s">
        <v>107</v>
      </c>
      <c r="AC80" s="29" t="str">
        <f>IF([1]!w_info_callput(AB80)="认购","C","P")</f>
        <v>P</v>
      </c>
      <c r="AD80" s="31">
        <f>[1]!w_info_strikeprice(AB80,"")</f>
        <v>3900</v>
      </c>
      <c r="AE80" s="18" t="str">
        <f>[1]!w_info_lasttradingdate(AB80)</f>
        <v>2020-06-19</v>
      </c>
      <c r="AF80" s="4">
        <f>RTD("wdf.rtq",,$AB80,F$5)</f>
        <v>339.8</v>
      </c>
      <c r="AG80" s="53">
        <f>RTD("wdf.rtq",,$AB80,G$5)</f>
        <v>4</v>
      </c>
      <c r="AH80" s="4">
        <f>RTD("wdf.rtq",,$AB80,H$5)</f>
        <v>53</v>
      </c>
      <c r="AI80" s="53">
        <f>RTD("wdf.rtq",,$AB80,I$5)</f>
        <v>1</v>
      </c>
      <c r="AJ80" s="4">
        <f>RTD("wdf.rtq",,$AB80,J$5)</f>
        <v>0</v>
      </c>
      <c r="AK80" s="54">
        <f>RTD("wdf.rtq",,$AB80,K$5)</f>
        <v>0</v>
      </c>
      <c r="AL80" s="4">
        <f>[1]!s_dq_presettle(AB80,"")</f>
        <v>390.4</v>
      </c>
      <c r="AM80" s="6">
        <f t="shared" si="67"/>
        <v>0</v>
      </c>
      <c r="AN80" s="6">
        <f t="shared" si="68"/>
        <v>33980</v>
      </c>
      <c r="AO80" s="6">
        <f t="shared" si="69"/>
        <v>37571</v>
      </c>
      <c r="AP80" s="4">
        <f t="shared" si="70"/>
        <v>19500</v>
      </c>
      <c r="AQ80" s="8">
        <f t="shared" si="71"/>
        <v>71551.009999999995</v>
      </c>
      <c r="AR80" s="55">
        <f ca="1">IF(NOW()-TODAY()&gt;15/24, AG80, [1]!s_dq_volume(AB80,AR$2,1))/AI$2</f>
        <v>13</v>
      </c>
      <c r="AS80" s="110"/>
      <c r="AT80" s="110"/>
      <c r="AU80" s="110"/>
      <c r="AV80" s="110"/>
      <c r="AY80" s="10"/>
      <c r="AZ80" s="10"/>
      <c r="BA80" s="6">
        <f t="shared" ca="1" si="91"/>
        <v>5129.116666666675</v>
      </c>
      <c r="BB80" s="6">
        <f t="shared" ca="1" si="92"/>
        <v>0</v>
      </c>
      <c r="BC80" s="6">
        <f t="shared" ca="1" si="93"/>
        <v>34449.076666666682</v>
      </c>
      <c r="BD80" s="12">
        <f t="shared" ca="1" si="94"/>
        <v>34449.116666666676</v>
      </c>
      <c r="BE80" s="2">
        <f t="shared" ca="1" si="72"/>
        <v>1.0984271490635978E-2</v>
      </c>
      <c r="BF80" s="2">
        <f t="shared" ca="1" si="73"/>
        <v>0</v>
      </c>
      <c r="BG80" s="2">
        <f t="shared" ca="1" si="74"/>
        <v>7.8602221704379333E-2</v>
      </c>
      <c r="BH80" s="13">
        <f t="shared" ca="1" si="75"/>
        <v>7.8602316559031993E-2</v>
      </c>
      <c r="BI80" s="2">
        <f t="shared" ca="1" si="76"/>
        <v>4.716775404802509E-2</v>
      </c>
      <c r="BJ80" s="2">
        <f t="shared" ca="1" si="77"/>
        <v>0</v>
      </c>
      <c r="BK80" s="2">
        <f t="shared" ca="1" si="78"/>
        <v>0.33752718731880538</v>
      </c>
      <c r="BL80" s="40">
        <f t="shared" ca="1" si="79"/>
        <v>0.33752759463584325</v>
      </c>
      <c r="BN80" s="6">
        <f t="shared" ca="1" si="95"/>
        <v>-1003.0700000000091</v>
      </c>
      <c r="BO80" s="6">
        <f t="shared" ca="1" si="96"/>
        <v>-30323.070000000011</v>
      </c>
      <c r="BP80" s="6">
        <f t="shared" ca="1" si="97"/>
        <v>0</v>
      </c>
      <c r="BQ80" s="12">
        <f t="shared" ca="1" si="98"/>
        <v>0</v>
      </c>
      <c r="BR80" s="2">
        <f t="shared" ca="1" si="80"/>
        <v>-7.6642653389795536E-3</v>
      </c>
      <c r="BS80" s="2">
        <f t="shared" ca="1" si="81"/>
        <v>-0.23056526644130038</v>
      </c>
      <c r="BT80" s="2">
        <f t="shared" ca="1" si="82"/>
        <v>0</v>
      </c>
      <c r="BU80" s="13">
        <f t="shared" ca="1" si="83"/>
        <v>0</v>
      </c>
      <c r="BV80" s="2">
        <f t="shared" ca="1" si="84"/>
        <v>-3.2911257043853379E-2</v>
      </c>
      <c r="BW80" s="2">
        <f t="shared" ca="1" si="85"/>
        <v>-0.99007437942440757</v>
      </c>
      <c r="BX80" s="2">
        <f t="shared" ca="1" si="86"/>
        <v>0</v>
      </c>
      <c r="BY80" s="13">
        <f t="shared" ca="1" si="87"/>
        <v>0</v>
      </c>
      <c r="CF80" s="39" t="str">
        <f t="shared" si="88"/>
        <v>C2020-06-3900000.CFE</v>
      </c>
      <c r="CG80" s="39" t="str">
        <f t="shared" si="89"/>
        <v>P2020-06-3900000.CFE</v>
      </c>
      <c r="CH80" s="95" t="s">
        <v>92</v>
      </c>
      <c r="CI80" s="100" t="str">
        <f>IF([1]!w_info_callput(CH80)="认购","C","P")</f>
        <v>C</v>
      </c>
      <c r="CJ80" s="104">
        <f>[1]!w_info_strikeprice(CH80,"")</f>
        <v>3900</v>
      </c>
      <c r="CK80" s="102" t="str">
        <f>[1]!w_info_lasttradingdate(CH80)</f>
        <v>2020-06-19</v>
      </c>
      <c r="CL80" s="39" t="str">
        <f t="shared" si="90"/>
        <v>IO2006-P-3900.CFE</v>
      </c>
    </row>
    <row r="81" spans="1:90">
      <c r="A81" s="35"/>
      <c r="B81" s="112" t="s">
        <v>339</v>
      </c>
      <c r="C81" s="29" t="str">
        <f>IF([1]!w_info_callput(B81)="认购","C","P")</f>
        <v>C</v>
      </c>
      <c r="D81" s="96">
        <f>[1]!w_info_strikeprice(B81,"")</f>
        <v>3950</v>
      </c>
      <c r="E81" s="18" t="str">
        <f>[1]!w_info_lasttradingdate(B81)</f>
        <v>2020-06-19</v>
      </c>
      <c r="F81" s="4">
        <f>IF(G81&gt;0,RTD("wdf.rtq",,$B81,F$5),0)</f>
        <v>116</v>
      </c>
      <c r="G81" s="53">
        <f>RTD("wdf.rtq",,$B81,G$5)</f>
        <v>1</v>
      </c>
      <c r="H81" s="4">
        <f>RTD("wdf.rtq",,$B81,H$5)</f>
        <v>20</v>
      </c>
      <c r="I81" s="53">
        <f>RTD("wdf.rtq",,$B81,I$5)</f>
        <v>1</v>
      </c>
      <c r="J81" s="4">
        <f>RTD("wdf.rtq",,$B81,J$5)</f>
        <v>138</v>
      </c>
      <c r="K81" s="54">
        <f>RTD("wdf.rtq",,$B81,K$5)</f>
        <v>1</v>
      </c>
      <c r="L81" s="4">
        <f>[1]!s_dq_presettle(B81,"")</f>
        <v>111.4</v>
      </c>
      <c r="M81" s="6">
        <f t="shared" si="62"/>
        <v>192.90000000000009</v>
      </c>
      <c r="N81" s="3">
        <f t="shared" si="63"/>
        <v>40380</v>
      </c>
      <c r="O81" s="4">
        <f t="shared" si="64"/>
        <v>18280.999999999993</v>
      </c>
      <c r="P81" s="4">
        <f t="shared" si="65"/>
        <v>19750</v>
      </c>
      <c r="Q81" s="8">
        <f t="shared" si="66"/>
        <v>60130.01</v>
      </c>
      <c r="R81" s="55">
        <f ca="1">IF(NOW()-TODAY()&gt;15/24, G81, [1]!s_dq_volume(B81,R$2,1))/$AI$2</f>
        <v>36</v>
      </c>
      <c r="AB81" s="39" t="s">
        <v>349</v>
      </c>
      <c r="AC81" s="29" t="str">
        <f>IF([1]!w_info_callput(AB81)="认购","C","P")</f>
        <v>P</v>
      </c>
      <c r="AD81" s="31">
        <f>[1]!w_info_strikeprice(AB81,"")</f>
        <v>3950</v>
      </c>
      <c r="AE81" s="18" t="str">
        <f>[1]!w_info_lasttradingdate(AB81)</f>
        <v>2020-06-19</v>
      </c>
      <c r="AF81" s="4">
        <f>RTD("wdf.rtq",,$AB81,F$5)</f>
        <v>403.8</v>
      </c>
      <c r="AG81" s="53">
        <f>RTD("wdf.rtq",,$AB81,G$5)</f>
        <v>1</v>
      </c>
      <c r="AH81" s="4">
        <f>RTD("wdf.rtq",,$AB81,H$5)</f>
        <v>0</v>
      </c>
      <c r="AI81" s="53">
        <f>RTD("wdf.rtq",,$AB81,I$5)</f>
        <v>0</v>
      </c>
      <c r="AJ81" s="4">
        <f>RTD("wdf.rtq",,$AB81,J$5)</f>
        <v>0</v>
      </c>
      <c r="AK81" s="54">
        <f>RTD("wdf.rtq",,$AB81,K$5)</f>
        <v>0</v>
      </c>
      <c r="AL81" s="4">
        <f>[1]!s_dq_presettle(AB81,"")</f>
        <v>428.2</v>
      </c>
      <c r="AM81" s="6">
        <f t="shared" si="67"/>
        <v>0</v>
      </c>
      <c r="AN81" s="6">
        <f t="shared" si="68"/>
        <v>40380</v>
      </c>
      <c r="AO81" s="6">
        <f t="shared" si="69"/>
        <v>37571</v>
      </c>
      <c r="AP81" s="4">
        <f t="shared" si="70"/>
        <v>19750</v>
      </c>
      <c r="AQ81" s="8">
        <f t="shared" si="71"/>
        <v>77951.009999999995</v>
      </c>
      <c r="AR81" s="55">
        <f ca="1">IF(NOW()-TODAY()&gt;15/24, AG81, [1]!s_dq_volume(AB81,AR$2,1))/AI$2</f>
        <v>10</v>
      </c>
      <c r="AS81" s="110"/>
      <c r="AT81" s="110"/>
      <c r="AU81" s="110"/>
      <c r="AV81" s="110"/>
      <c r="AY81" s="10"/>
      <c r="AZ81" s="10"/>
      <c r="BA81" s="6">
        <f t="shared" ca="1" si="91"/>
        <v>1089.1166666666745</v>
      </c>
      <c r="BB81" s="6">
        <f t="shared" ca="1" si="92"/>
        <v>0</v>
      </c>
      <c r="BC81" s="6">
        <f t="shared" ca="1" si="93"/>
        <v>0</v>
      </c>
      <c r="BD81" s="12">
        <f t="shared" ca="1" si="94"/>
        <v>0</v>
      </c>
      <c r="BE81" s="2">
        <f t="shared" ca="1" si="72"/>
        <v>2.2870031577771682E-3</v>
      </c>
      <c r="BF81" s="2">
        <f t="shared" ca="1" si="73"/>
        <v>0</v>
      </c>
      <c r="BG81" s="2">
        <f t="shared" ca="1" si="74"/>
        <v>0</v>
      </c>
      <c r="BH81" s="13">
        <f t="shared" ca="1" si="75"/>
        <v>0</v>
      </c>
      <c r="BI81" s="2">
        <f t="shared" ca="1" si="76"/>
        <v>9.820660618690193E-3</v>
      </c>
      <c r="BJ81" s="2">
        <f t="shared" ca="1" si="77"/>
        <v>0</v>
      </c>
      <c r="BK81" s="2">
        <f t="shared" ca="1" si="78"/>
        <v>0</v>
      </c>
      <c r="BL81" s="40">
        <f t="shared" ca="1" si="79"/>
        <v>0</v>
      </c>
      <c r="BN81" s="6">
        <f t="shared" ca="1" si="95"/>
        <v>3036.9299999999912</v>
      </c>
      <c r="BO81" s="6">
        <f t="shared" ca="1" si="96"/>
        <v>0</v>
      </c>
      <c r="BP81" s="6">
        <f t="shared" ca="1" si="97"/>
        <v>0</v>
      </c>
      <c r="BQ81" s="12">
        <f t="shared" ca="1" si="98"/>
        <v>0</v>
      </c>
      <c r="BR81" s="2">
        <f t="shared" ca="1" si="80"/>
        <v>2.2556561864003684E-2</v>
      </c>
      <c r="BS81" s="2">
        <f t="shared" ca="1" si="81"/>
        <v>0</v>
      </c>
      <c r="BT81" s="2">
        <f t="shared" ca="1" si="82"/>
        <v>0</v>
      </c>
      <c r="BU81" s="13">
        <f t="shared" ca="1" si="83"/>
        <v>0</v>
      </c>
      <c r="BV81" s="2">
        <f t="shared" ca="1" si="84"/>
        <v>9.686053035719229E-2</v>
      </c>
      <c r="BW81" s="2">
        <f t="shared" ca="1" si="85"/>
        <v>0</v>
      </c>
      <c r="BX81" s="2">
        <f t="shared" ca="1" si="86"/>
        <v>0</v>
      </c>
      <c r="BY81" s="13">
        <f t="shared" ca="1" si="87"/>
        <v>0</v>
      </c>
      <c r="CF81" s="39" t="str">
        <f t="shared" si="88"/>
        <v>C2020-06-3950000.CFE</v>
      </c>
      <c r="CG81" s="39" t="str">
        <f t="shared" si="89"/>
        <v>P2020-06-3950000.CFE</v>
      </c>
      <c r="CH81" s="95" t="s">
        <v>339</v>
      </c>
      <c r="CI81" s="100" t="str">
        <f>IF([1]!w_info_callput(CH81)="认购","C","P")</f>
        <v>C</v>
      </c>
      <c r="CJ81" s="104">
        <f>[1]!w_info_strikeprice(CH81,"")</f>
        <v>3950</v>
      </c>
      <c r="CK81" s="102" t="str">
        <f>[1]!w_info_lasttradingdate(CH81)</f>
        <v>2020-06-19</v>
      </c>
      <c r="CL81" s="39" t="str">
        <f t="shared" si="90"/>
        <v>IO2006-P-3950.CFE</v>
      </c>
    </row>
    <row r="82" spans="1:90">
      <c r="A82" s="35"/>
      <c r="B82" s="112" t="s">
        <v>93</v>
      </c>
      <c r="C82" s="29" t="str">
        <f>IF([1]!w_info_callput(B82)="认购","C","P")</f>
        <v>C</v>
      </c>
      <c r="D82" s="96">
        <f>[1]!w_info_strikeprice(B82,"")</f>
        <v>4000</v>
      </c>
      <c r="E82" s="18" t="str">
        <f>[1]!w_info_lasttradingdate(B82)</f>
        <v>2020-06-19</v>
      </c>
      <c r="F82" s="4">
        <f>IF(G82&gt;0,RTD("wdf.rtq",,$B82,F$5),0)</f>
        <v>109</v>
      </c>
      <c r="G82" s="53">
        <f>RTD("wdf.rtq",,$B82,G$5)</f>
        <v>92</v>
      </c>
      <c r="H82" s="4">
        <f>RTD("wdf.rtq",,$B82,H$5)</f>
        <v>86</v>
      </c>
      <c r="I82" s="53">
        <f>RTD("wdf.rtq",,$B82,I$5)</f>
        <v>2</v>
      </c>
      <c r="J82" s="4">
        <f>RTD("wdf.rtq",,$B82,J$5)</f>
        <v>115</v>
      </c>
      <c r="K82" s="54">
        <f>RTD("wdf.rtq",,$B82,K$5)</f>
        <v>1</v>
      </c>
      <c r="L82" s="4">
        <f>[1]!s_dq_presettle(B82,"")</f>
        <v>99</v>
      </c>
      <c r="M82" s="6">
        <f t="shared" si="62"/>
        <v>242.90000000000009</v>
      </c>
      <c r="N82" s="3">
        <f t="shared" si="63"/>
        <v>44360</v>
      </c>
      <c r="O82" s="4">
        <f t="shared" si="64"/>
        <v>13280.999999999995</v>
      </c>
      <c r="P82" s="4">
        <f t="shared" si="65"/>
        <v>20000</v>
      </c>
      <c r="Q82" s="8">
        <f t="shared" si="66"/>
        <v>64360.01</v>
      </c>
      <c r="R82" s="55">
        <f ca="1">IF(NOW()-TODAY()&gt;15/24, G82, [1]!s_dq_volume(B82,R$2,1))/$AI$2</f>
        <v>25</v>
      </c>
      <c r="AB82" s="39" t="s">
        <v>108</v>
      </c>
      <c r="AC82" s="29" t="str">
        <f>IF([1]!w_info_callput(AB82)="认购","C","P")</f>
        <v>P</v>
      </c>
      <c r="AD82" s="31">
        <f>[1]!w_info_strikeprice(AB82,"")</f>
        <v>4000</v>
      </c>
      <c r="AE82" s="18" t="str">
        <f>[1]!w_info_lasttradingdate(AB82)</f>
        <v>2020-06-19</v>
      </c>
      <c r="AF82" s="4">
        <f>RTD("wdf.rtq",,$AB82,F$5)</f>
        <v>443.6</v>
      </c>
      <c r="AG82" s="53">
        <f>RTD("wdf.rtq",,$AB82,G$5)</f>
        <v>5</v>
      </c>
      <c r="AH82" s="4">
        <f>RTD("wdf.rtq",,$AB82,H$5)</f>
        <v>101</v>
      </c>
      <c r="AI82" s="53">
        <f>RTD("wdf.rtq",,$AB82,I$5)</f>
        <v>1</v>
      </c>
      <c r="AJ82" s="4">
        <f>RTD("wdf.rtq",,$AB82,J$5)</f>
        <v>0</v>
      </c>
      <c r="AK82" s="54">
        <f>RTD("wdf.rtq",,$AB82,K$5)</f>
        <v>0</v>
      </c>
      <c r="AL82" s="4">
        <f>[1]!s_dq_presettle(AB82,"")</f>
        <v>464.4</v>
      </c>
      <c r="AM82" s="6">
        <f t="shared" si="67"/>
        <v>0</v>
      </c>
      <c r="AN82" s="6">
        <f t="shared" si="68"/>
        <v>44360</v>
      </c>
      <c r="AO82" s="6">
        <f t="shared" si="69"/>
        <v>37571</v>
      </c>
      <c r="AP82" s="4">
        <f t="shared" si="70"/>
        <v>20000</v>
      </c>
      <c r="AQ82" s="8">
        <f t="shared" si="71"/>
        <v>81931.009999999995</v>
      </c>
      <c r="AR82" s="55">
        <f ca="1">IF(NOW()-TODAY()&gt;15/24, AG82, [1]!s_dq_volume(AB82,AR$2,1))/AI$2</f>
        <v>11</v>
      </c>
      <c r="AS82" s="110"/>
      <c r="AT82" s="110"/>
      <c r="AU82" s="110"/>
      <c r="AV82" s="110"/>
      <c r="AY82" s="10"/>
      <c r="AZ82" s="10"/>
      <c r="BA82" s="6">
        <f t="shared" ca="1" si="91"/>
        <v>1409.1166666666734</v>
      </c>
      <c r="BB82" s="6">
        <f t="shared" ca="1" si="92"/>
        <v>0</v>
      </c>
      <c r="BC82" s="6">
        <f t="shared" ca="1" si="93"/>
        <v>36269.076666666682</v>
      </c>
      <c r="BD82" s="12">
        <f t="shared" ca="1" si="94"/>
        <v>36269.116666666676</v>
      </c>
      <c r="BE82" s="2">
        <f t="shared" ca="1" si="72"/>
        <v>2.9088137348606321E-3</v>
      </c>
      <c r="BF82" s="2">
        <f t="shared" ca="1" si="73"/>
        <v>0</v>
      </c>
      <c r="BG82" s="2">
        <f t="shared" ca="1" si="74"/>
        <v>8.0567506163541552E-2</v>
      </c>
      <c r="BH82" s="13">
        <f t="shared" ca="1" si="75"/>
        <v>8.0567598598286619E-2</v>
      </c>
      <c r="BI82" s="2">
        <f t="shared" ca="1" si="76"/>
        <v>1.2490788390872126E-2</v>
      </c>
      <c r="BJ82" s="2">
        <f t="shared" ca="1" si="77"/>
        <v>0</v>
      </c>
      <c r="BK82" s="2">
        <f t="shared" ca="1" si="78"/>
        <v>0.34596634999638431</v>
      </c>
      <c r="BL82" s="40">
        <f t="shared" ca="1" si="79"/>
        <v>0.34596674692205431</v>
      </c>
      <c r="BN82" s="6">
        <f t="shared" ca="1" si="95"/>
        <v>2716.9299999999926</v>
      </c>
      <c r="BO82" s="6">
        <f t="shared" ca="1" si="96"/>
        <v>-32143.070000000011</v>
      </c>
      <c r="BP82" s="6">
        <f t="shared" ca="1" si="97"/>
        <v>0</v>
      </c>
      <c r="BQ82" s="12">
        <f t="shared" ca="1" si="98"/>
        <v>0</v>
      </c>
      <c r="BR82" s="2">
        <f t="shared" ca="1" si="80"/>
        <v>1.9699859791680707E-2</v>
      </c>
      <c r="BS82" s="2">
        <f t="shared" ca="1" si="81"/>
        <v>-0.23205276840883832</v>
      </c>
      <c r="BT82" s="2">
        <f t="shared" ca="1" si="82"/>
        <v>0</v>
      </c>
      <c r="BU82" s="13">
        <f t="shared" ca="1" si="83"/>
        <v>0</v>
      </c>
      <c r="BV82" s="2">
        <f t="shared" ca="1" si="84"/>
        <v>8.4593515576040682E-2</v>
      </c>
      <c r="BW82" s="2">
        <f t="shared" ca="1" si="85"/>
        <v>-0.99646188787324697</v>
      </c>
      <c r="BX82" s="2">
        <f t="shared" ca="1" si="86"/>
        <v>0</v>
      </c>
      <c r="BY82" s="13">
        <f t="shared" ca="1" si="87"/>
        <v>0</v>
      </c>
      <c r="CF82" s="39" t="str">
        <f t="shared" si="88"/>
        <v>C2020-06-4000000.CFE</v>
      </c>
      <c r="CG82" s="39" t="str">
        <f t="shared" si="89"/>
        <v>P2020-06-4000000.CFE</v>
      </c>
      <c r="CH82" s="95" t="s">
        <v>93</v>
      </c>
      <c r="CI82" s="100" t="str">
        <f>IF([1]!w_info_callput(CH82)="认购","C","P")</f>
        <v>C</v>
      </c>
      <c r="CJ82" s="104">
        <f>[1]!w_info_strikeprice(CH82,"")</f>
        <v>4000</v>
      </c>
      <c r="CK82" s="102" t="str">
        <f>[1]!w_info_lasttradingdate(CH82)</f>
        <v>2020-06-19</v>
      </c>
      <c r="CL82" s="39" t="str">
        <f t="shared" si="90"/>
        <v>IO2006-P-4000.CFE</v>
      </c>
    </row>
    <row r="83" spans="1:90">
      <c r="A83" s="35"/>
      <c r="B83" s="112" t="s">
        <v>340</v>
      </c>
      <c r="C83" s="29" t="str">
        <f>IF([1]!w_info_callput(B83)="认购","C","P")</f>
        <v>C</v>
      </c>
      <c r="D83" s="96">
        <f>[1]!w_info_strikeprice(B83,"")</f>
        <v>4050</v>
      </c>
      <c r="E83" s="18" t="str">
        <f>[1]!w_info_lasttradingdate(B83)</f>
        <v>2020-06-19</v>
      </c>
      <c r="F83" s="4">
        <f>IF(G83&gt;0,RTD("wdf.rtq",,$B83,F$5),0)</f>
        <v>95.2</v>
      </c>
      <c r="G83" s="53">
        <f>RTD("wdf.rtq",,$B83,G$5)</f>
        <v>4</v>
      </c>
      <c r="H83" s="4">
        <f>RTD("wdf.rtq",,$B83,H$5)</f>
        <v>16</v>
      </c>
      <c r="I83" s="53">
        <f>RTD("wdf.rtq",,$B83,I$5)</f>
        <v>1</v>
      </c>
      <c r="J83" s="4">
        <f>RTD("wdf.rtq",,$B83,J$5)</f>
        <v>0</v>
      </c>
      <c r="K83" s="54">
        <f>RTD("wdf.rtq",,$B83,K$5)</f>
        <v>0</v>
      </c>
      <c r="L83" s="4">
        <f>[1]!s_dq_presettle(B83,"")</f>
        <v>88.4</v>
      </c>
      <c r="M83" s="6">
        <f t="shared" si="62"/>
        <v>292.90000000000009</v>
      </c>
      <c r="N83" s="3">
        <f t="shared" si="63"/>
        <v>48860</v>
      </c>
      <c r="O83" s="4">
        <f t="shared" si="64"/>
        <v>8280.9999999999945</v>
      </c>
      <c r="P83" s="4">
        <f t="shared" si="65"/>
        <v>20250</v>
      </c>
      <c r="Q83" s="8">
        <f t="shared" si="66"/>
        <v>69110.009999999995</v>
      </c>
      <c r="R83" s="55">
        <f ca="1">IF(NOW()-TODAY()&gt;15/24, G83, [1]!s_dq_volume(B83,R$2,1))/$AI$2</f>
        <v>14</v>
      </c>
      <c r="AB83" s="39" t="s">
        <v>350</v>
      </c>
      <c r="AC83" s="29" t="str">
        <f>IF([1]!w_info_callput(AB83)="认购","C","P")</f>
        <v>P</v>
      </c>
      <c r="AD83" s="31">
        <f>[1]!w_info_strikeprice(AB83,"")</f>
        <v>4050</v>
      </c>
      <c r="AE83" s="18" t="str">
        <f>[1]!w_info_lasttradingdate(AB83)</f>
        <v>2020-06-19</v>
      </c>
      <c r="AF83" s="4">
        <f>RTD("wdf.rtq",,$AB83,F$5)</f>
        <v>488.6</v>
      </c>
      <c r="AG83" s="53">
        <f>RTD("wdf.rtq",,$AB83,G$5)</f>
        <v>0</v>
      </c>
      <c r="AH83" s="4">
        <f>RTD("wdf.rtq",,$AB83,H$5)</f>
        <v>0</v>
      </c>
      <c r="AI83" s="53">
        <f>RTD("wdf.rtq",,$AB83,I$5)</f>
        <v>0</v>
      </c>
      <c r="AJ83" s="4">
        <f>RTD("wdf.rtq",,$AB83,J$5)</f>
        <v>0</v>
      </c>
      <c r="AK83" s="54">
        <f>RTD("wdf.rtq",,$AB83,K$5)</f>
        <v>0</v>
      </c>
      <c r="AL83" s="4">
        <f>[1]!s_dq_presettle(AB83,"")</f>
        <v>506.6</v>
      </c>
      <c r="AM83" s="6">
        <f t="shared" si="67"/>
        <v>0</v>
      </c>
      <c r="AN83" s="6">
        <f t="shared" si="68"/>
        <v>48860</v>
      </c>
      <c r="AO83" s="6">
        <f t="shared" si="69"/>
        <v>37571</v>
      </c>
      <c r="AP83" s="4">
        <f t="shared" si="70"/>
        <v>20250</v>
      </c>
      <c r="AQ83" s="8">
        <f t="shared" si="71"/>
        <v>86431.01</v>
      </c>
      <c r="AR83" s="55">
        <f ca="1">IF(NOW()-TODAY()&gt;15/24, AG83, [1]!s_dq_volume(AB83,AR$2,1))/AI$2</f>
        <v>8</v>
      </c>
      <c r="AS83" s="110"/>
      <c r="AT83" s="110"/>
      <c r="AU83" s="110"/>
      <c r="AV83" s="110"/>
      <c r="AY83" s="10"/>
      <c r="AZ83" s="10"/>
      <c r="BA83" s="6">
        <f t="shared" ca="1" si="91"/>
        <v>529.11666666667224</v>
      </c>
      <c r="BB83" s="6">
        <f t="shared" ca="1" si="92"/>
        <v>0</v>
      </c>
      <c r="BC83" s="6">
        <f t="shared" ca="1" si="93"/>
        <v>0</v>
      </c>
      <c r="BD83" s="12">
        <f t="shared" ca="1" si="94"/>
        <v>0</v>
      </c>
      <c r="BE83" s="2">
        <f t="shared" ca="1" si="72"/>
        <v>1.0717806189208922E-3</v>
      </c>
      <c r="BF83" s="2">
        <f t="shared" ca="1" si="73"/>
        <v>0</v>
      </c>
      <c r="BG83" s="2">
        <f t="shared" ca="1" si="74"/>
        <v>0</v>
      </c>
      <c r="BH83" s="13">
        <f t="shared" ca="1" si="75"/>
        <v>0</v>
      </c>
      <c r="BI83" s="2">
        <f t="shared" ca="1" si="76"/>
        <v>4.6023520694838315E-3</v>
      </c>
      <c r="BJ83" s="2">
        <f t="shared" ca="1" si="77"/>
        <v>0</v>
      </c>
      <c r="BK83" s="2">
        <f t="shared" ca="1" si="78"/>
        <v>0</v>
      </c>
      <c r="BL83" s="40">
        <f t="shared" ca="1" si="79"/>
        <v>0</v>
      </c>
      <c r="BN83" s="6">
        <f t="shared" ca="1" si="95"/>
        <v>3596.9299999999935</v>
      </c>
      <c r="BO83" s="6">
        <f t="shared" ca="1" si="96"/>
        <v>0</v>
      </c>
      <c r="BP83" s="6">
        <f t="shared" ca="1" si="97"/>
        <v>0</v>
      </c>
      <c r="BQ83" s="12">
        <f t="shared" ca="1" si="98"/>
        <v>0</v>
      </c>
      <c r="BR83" s="2">
        <f t="shared" ca="1" si="80"/>
        <v>2.5503592304415963E-2</v>
      </c>
      <c r="BS83" s="2">
        <f t="shared" ca="1" si="81"/>
        <v>0</v>
      </c>
      <c r="BT83" s="2">
        <f t="shared" ca="1" si="82"/>
        <v>0</v>
      </c>
      <c r="BU83" s="13">
        <f t="shared" ca="1" si="83"/>
        <v>0</v>
      </c>
      <c r="BV83" s="2">
        <f t="shared" ca="1" si="84"/>
        <v>0.1095154257777862</v>
      </c>
      <c r="BW83" s="2">
        <f t="shared" ca="1" si="85"/>
        <v>0</v>
      </c>
      <c r="BX83" s="2">
        <f t="shared" ca="1" si="86"/>
        <v>0</v>
      </c>
      <c r="BY83" s="13">
        <f t="shared" ca="1" si="87"/>
        <v>0</v>
      </c>
      <c r="CF83" s="39" t="str">
        <f t="shared" si="88"/>
        <v>C2020-06-4050000.CFE</v>
      </c>
      <c r="CG83" s="39" t="str">
        <f t="shared" si="89"/>
        <v>P2020-06-4050000.CFE</v>
      </c>
      <c r="CH83" s="95" t="s">
        <v>340</v>
      </c>
      <c r="CI83" s="100" t="str">
        <f>IF([1]!w_info_callput(CH83)="认购","C","P")</f>
        <v>C</v>
      </c>
      <c r="CJ83" s="104">
        <f>[1]!w_info_strikeprice(CH83,"")</f>
        <v>4050</v>
      </c>
      <c r="CK83" s="102" t="str">
        <f>[1]!w_info_lasttradingdate(CH83)</f>
        <v>2020-06-19</v>
      </c>
      <c r="CL83" s="39" t="str">
        <f t="shared" si="90"/>
        <v>IO2006-P-4050.CFE</v>
      </c>
    </row>
    <row r="84" spans="1:90">
      <c r="A84" s="35"/>
      <c r="B84" s="112" t="s">
        <v>94</v>
      </c>
      <c r="C84" s="29" t="str">
        <f>IF([1]!w_info_callput(B84)="认购","C","P")</f>
        <v>C</v>
      </c>
      <c r="D84" s="96">
        <f>[1]!w_info_strikeprice(B84,"")</f>
        <v>4100</v>
      </c>
      <c r="E84" s="18" t="str">
        <f>[1]!w_info_lasttradingdate(B84)</f>
        <v>2020-06-19</v>
      </c>
      <c r="F84" s="4">
        <f>IF(G84&gt;0,RTD("wdf.rtq",,$B84,F$5),0)</f>
        <v>90</v>
      </c>
      <c r="G84" s="53">
        <f>RTD("wdf.rtq",,$B84,G$5)</f>
        <v>30</v>
      </c>
      <c r="H84" s="4">
        <f>RTD("wdf.rtq",,$B84,H$5)</f>
        <v>14</v>
      </c>
      <c r="I84" s="53">
        <f>RTD("wdf.rtq",,$B84,I$5)</f>
        <v>1</v>
      </c>
      <c r="J84" s="4">
        <f>RTD("wdf.rtq",,$B84,J$5)</f>
        <v>100</v>
      </c>
      <c r="K84" s="54">
        <f>RTD("wdf.rtq",,$B84,K$5)</f>
        <v>2</v>
      </c>
      <c r="L84" s="4">
        <f>[1]!s_dq_presettle(B84,"")</f>
        <v>78.400000000000006</v>
      </c>
      <c r="M84" s="6">
        <f t="shared" si="62"/>
        <v>342.90000000000009</v>
      </c>
      <c r="N84" s="3">
        <f t="shared" si="63"/>
        <v>51979.999999999993</v>
      </c>
      <c r="O84" s="4">
        <f t="shared" si="64"/>
        <v>3280.9999999999945</v>
      </c>
      <c r="P84" s="4">
        <f t="shared" si="65"/>
        <v>20500</v>
      </c>
      <c r="Q84" s="8">
        <f t="shared" si="66"/>
        <v>72480.009999999995</v>
      </c>
      <c r="R84" s="55">
        <f ca="1">IF(NOW()-TODAY()&gt;15/24, G84, [1]!s_dq_volume(B84,R$2,1))/$AI$2</f>
        <v>31</v>
      </c>
      <c r="AB84" s="39" t="s">
        <v>109</v>
      </c>
      <c r="AC84" s="29" t="str">
        <f>IF([1]!w_info_callput(AB84)="认购","C","P")</f>
        <v>P</v>
      </c>
      <c r="AD84" s="31">
        <f>[1]!w_info_strikeprice(AB84,"")</f>
        <v>4100</v>
      </c>
      <c r="AE84" s="18" t="str">
        <f>[1]!w_info_lasttradingdate(AB84)</f>
        <v>2020-06-19</v>
      </c>
      <c r="AF84" s="4">
        <f>RTD("wdf.rtq",,$AB84,F$5)</f>
        <v>519.79999999999995</v>
      </c>
      <c r="AG84" s="53">
        <f>RTD("wdf.rtq",,$AB84,G$5)</f>
        <v>0</v>
      </c>
      <c r="AH84" s="4">
        <f>RTD("wdf.rtq",,$AB84,H$5)</f>
        <v>0</v>
      </c>
      <c r="AI84" s="53">
        <f>RTD("wdf.rtq",,$AB84,I$5)</f>
        <v>0</v>
      </c>
      <c r="AJ84" s="4">
        <f>RTD("wdf.rtq",,$AB84,J$5)</f>
        <v>0</v>
      </c>
      <c r="AK84" s="54">
        <f>RTD("wdf.rtq",,$AB84,K$5)</f>
        <v>0</v>
      </c>
      <c r="AL84" s="4">
        <f>[1]!s_dq_presettle(AB84,"")</f>
        <v>544.4</v>
      </c>
      <c r="AM84" s="6">
        <f t="shared" si="67"/>
        <v>0</v>
      </c>
      <c r="AN84" s="6">
        <f t="shared" si="68"/>
        <v>51979.999999999993</v>
      </c>
      <c r="AO84" s="6">
        <f t="shared" si="69"/>
        <v>37571</v>
      </c>
      <c r="AP84" s="4">
        <f t="shared" si="70"/>
        <v>20500</v>
      </c>
      <c r="AQ84" s="8">
        <f t="shared" si="71"/>
        <v>89551.01</v>
      </c>
      <c r="AR84" s="55">
        <f ca="1">IF(NOW()-TODAY()&gt;15/24, AG84, [1]!s_dq_volume(AB84,AR$2,1))/AI$2</f>
        <v>16</v>
      </c>
      <c r="AS84" s="110"/>
      <c r="AT84" s="110"/>
      <c r="AU84" s="110"/>
      <c r="AV84" s="110"/>
      <c r="AY84" s="10"/>
      <c r="AZ84" s="10"/>
      <c r="BA84" s="6">
        <f t="shared" ca="1" si="91"/>
        <v>1889.1166666666802</v>
      </c>
      <c r="BB84" s="6">
        <f t="shared" ca="1" si="92"/>
        <v>0</v>
      </c>
      <c r="BC84" s="6">
        <f t="shared" ca="1" si="93"/>
        <v>0</v>
      </c>
      <c r="BD84" s="12">
        <f t="shared" ca="1" si="94"/>
        <v>0</v>
      </c>
      <c r="BE84" s="2">
        <f t="shared" ca="1" si="72"/>
        <v>3.7769490951020442E-3</v>
      </c>
      <c r="BF84" s="2">
        <f t="shared" ca="1" si="73"/>
        <v>0</v>
      </c>
      <c r="BG84" s="2">
        <f t="shared" ca="1" si="74"/>
        <v>0</v>
      </c>
      <c r="BH84" s="13">
        <f t="shared" ca="1" si="75"/>
        <v>0</v>
      </c>
      <c r="BI84" s="2">
        <f t="shared" ca="1" si="76"/>
        <v>1.6218663761320543E-2</v>
      </c>
      <c r="BJ84" s="2">
        <f t="shared" ca="1" si="77"/>
        <v>0</v>
      </c>
      <c r="BK84" s="2">
        <f t="shared" ca="1" si="78"/>
        <v>0</v>
      </c>
      <c r="BL84" s="40">
        <f t="shared" ca="1" si="79"/>
        <v>0</v>
      </c>
      <c r="BN84" s="6">
        <f t="shared" ca="1" si="95"/>
        <v>2236.9299999999857</v>
      </c>
      <c r="BO84" s="6">
        <f t="shared" ca="1" si="96"/>
        <v>0</v>
      </c>
      <c r="BP84" s="6">
        <f t="shared" ca="1" si="97"/>
        <v>0</v>
      </c>
      <c r="BQ84" s="12">
        <f t="shared" ca="1" si="98"/>
        <v>0</v>
      </c>
      <c r="BR84" s="2">
        <f t="shared" ca="1" si="80"/>
        <v>1.557357994895567E-2</v>
      </c>
      <c r="BS84" s="2">
        <f t="shared" ca="1" si="81"/>
        <v>0</v>
      </c>
      <c r="BT84" s="2">
        <f t="shared" ca="1" si="82"/>
        <v>0</v>
      </c>
      <c r="BU84" s="13">
        <f t="shared" ca="1" si="83"/>
        <v>0</v>
      </c>
      <c r="BV84" s="2">
        <f t="shared" ca="1" si="84"/>
        <v>6.6874784486691999E-2</v>
      </c>
      <c r="BW84" s="2">
        <f t="shared" ca="1" si="85"/>
        <v>0</v>
      </c>
      <c r="BX84" s="2">
        <f t="shared" ca="1" si="86"/>
        <v>0</v>
      </c>
      <c r="BY84" s="13">
        <f t="shared" ca="1" si="87"/>
        <v>0</v>
      </c>
      <c r="CF84" s="39" t="str">
        <f t="shared" si="88"/>
        <v>C2020-06-4100000.CFE</v>
      </c>
      <c r="CG84" s="39" t="str">
        <f t="shared" si="89"/>
        <v>P2020-06-4100000.CFE</v>
      </c>
      <c r="CH84" s="95" t="s">
        <v>94</v>
      </c>
      <c r="CI84" s="100" t="str">
        <f>IF([1]!w_info_callput(CH84)="认购","C","P")</f>
        <v>C</v>
      </c>
      <c r="CJ84" s="104">
        <f>[1]!w_info_strikeprice(CH84,"")</f>
        <v>4100</v>
      </c>
      <c r="CK84" s="102" t="str">
        <f>[1]!w_info_lasttradingdate(CH84)</f>
        <v>2020-06-19</v>
      </c>
      <c r="CL84" s="39" t="str">
        <f t="shared" si="90"/>
        <v>IO2006-P-4100.CFE</v>
      </c>
    </row>
    <row r="85" spans="1:90">
      <c r="A85" s="35"/>
      <c r="B85" s="112" t="s">
        <v>95</v>
      </c>
      <c r="C85" s="29" t="str">
        <f>IF([1]!w_info_callput(B85)="认购","C","P")</f>
        <v>C</v>
      </c>
      <c r="D85" s="96">
        <f>[1]!w_info_strikeprice(B85,"")</f>
        <v>4200</v>
      </c>
      <c r="E85" s="18" t="str">
        <f>[1]!w_info_lasttradingdate(B85)</f>
        <v>2020-06-19</v>
      </c>
      <c r="F85" s="4">
        <f>IF(G85&gt;0,RTD("wdf.rtq",,$B85,F$5),0)</f>
        <v>69</v>
      </c>
      <c r="G85" s="53">
        <f>RTD("wdf.rtq",,$B85,G$5)</f>
        <v>8</v>
      </c>
      <c r="H85" s="4">
        <f>RTD("wdf.rtq",,$B85,H$5)</f>
        <v>12</v>
      </c>
      <c r="I85" s="53">
        <f>RTD("wdf.rtq",,$B85,I$5)</f>
        <v>1</v>
      </c>
      <c r="J85" s="4">
        <f>RTD("wdf.rtq",,$B85,J$5)</f>
        <v>85</v>
      </c>
      <c r="K85" s="54">
        <f>RTD("wdf.rtq",,$B85,K$5)</f>
        <v>1</v>
      </c>
      <c r="L85" s="4">
        <f>[1]!s_dq_presettle(B85,"")</f>
        <v>62.6</v>
      </c>
      <c r="M85" s="6">
        <f t="shared" si="62"/>
        <v>442.90000000000009</v>
      </c>
      <c r="N85" s="3">
        <f t="shared" si="63"/>
        <v>60480.000000000007</v>
      </c>
      <c r="O85" s="4">
        <f t="shared" si="64"/>
        <v>-6719.0000000000055</v>
      </c>
      <c r="P85" s="4">
        <f t="shared" si="65"/>
        <v>21000</v>
      </c>
      <c r="Q85" s="8">
        <f t="shared" si="66"/>
        <v>81480.009999999995</v>
      </c>
      <c r="R85" s="55">
        <f ca="1">IF(NOW()-TODAY()&gt;15/24, G85, [1]!s_dq_volume(B85,R$2,1))/$AI$2</f>
        <v>12</v>
      </c>
      <c r="AB85" s="39" t="s">
        <v>110</v>
      </c>
      <c r="AC85" s="29" t="str">
        <f>IF([1]!w_info_callput(AB85)="认购","C","P")</f>
        <v>P</v>
      </c>
      <c r="AD85" s="31">
        <f>[1]!w_info_strikeprice(AB85,"")</f>
        <v>4200</v>
      </c>
      <c r="AE85" s="18" t="str">
        <f>[1]!w_info_lasttradingdate(AB85)</f>
        <v>2020-06-19</v>
      </c>
      <c r="AF85" s="4">
        <f>RTD("wdf.rtq",,$AB85,F$5)</f>
        <v>604.80000000000007</v>
      </c>
      <c r="AG85" s="53">
        <f>RTD("wdf.rtq",,$AB85,G$5)</f>
        <v>0</v>
      </c>
      <c r="AH85" s="4">
        <f>RTD("wdf.rtq",,$AB85,H$5)</f>
        <v>0</v>
      </c>
      <c r="AI85" s="53">
        <f>RTD("wdf.rtq",,$AB85,I$5)</f>
        <v>0</v>
      </c>
      <c r="AJ85" s="4">
        <f>RTD("wdf.rtq",,$AB85,J$5)</f>
        <v>0</v>
      </c>
      <c r="AK85" s="54">
        <f>RTD("wdf.rtq",,$AB85,K$5)</f>
        <v>0</v>
      </c>
      <c r="AL85" s="4">
        <f>[1]!s_dq_presettle(AB85,"")</f>
        <v>627.4</v>
      </c>
      <c r="AM85" s="6">
        <f t="shared" si="67"/>
        <v>0</v>
      </c>
      <c r="AN85" s="6">
        <f t="shared" si="68"/>
        <v>60480.000000000007</v>
      </c>
      <c r="AO85" s="6">
        <f t="shared" si="69"/>
        <v>37571</v>
      </c>
      <c r="AP85" s="4">
        <f t="shared" si="70"/>
        <v>21000</v>
      </c>
      <c r="AQ85" s="8">
        <f t="shared" si="71"/>
        <v>98051.01</v>
      </c>
      <c r="AR85" s="55">
        <f ca="1">IF(NOW()-TODAY()&gt;15/24, AG85, [1]!s_dq_volume(AB85,AR$2,1))/AI$2</f>
        <v>2</v>
      </c>
      <c r="AS85" s="110"/>
      <c r="AT85" s="110"/>
      <c r="AU85" s="110"/>
      <c r="AV85" s="110"/>
      <c r="AY85" s="10"/>
      <c r="AZ85" s="10"/>
      <c r="BA85" s="6">
        <f t="shared" ca="1" si="91"/>
        <v>1289.1166666666688</v>
      </c>
      <c r="BB85" s="6">
        <f t="shared" ca="1" si="92"/>
        <v>0</v>
      </c>
      <c r="BC85" s="6">
        <f t="shared" ca="1" si="93"/>
        <v>0</v>
      </c>
      <c r="BD85" s="12">
        <f t="shared" ca="1" si="94"/>
        <v>0</v>
      </c>
      <c r="BE85" s="2">
        <f t="shared" ca="1" si="72"/>
        <v>2.4902286046407612E-3</v>
      </c>
      <c r="BF85" s="2">
        <f t="shared" ca="1" si="73"/>
        <v>0</v>
      </c>
      <c r="BG85" s="2">
        <f t="shared" ca="1" si="74"/>
        <v>0</v>
      </c>
      <c r="BH85" s="13">
        <f t="shared" ca="1" si="75"/>
        <v>0</v>
      </c>
      <c r="BI85" s="2">
        <f t="shared" ca="1" si="76"/>
        <v>1.0693334596398563E-2</v>
      </c>
      <c r="BJ85" s="2">
        <f t="shared" ca="1" si="77"/>
        <v>0</v>
      </c>
      <c r="BK85" s="2">
        <f t="shared" ca="1" si="78"/>
        <v>0</v>
      </c>
      <c r="BL85" s="40">
        <f t="shared" ca="1" si="79"/>
        <v>0</v>
      </c>
      <c r="BN85" s="6">
        <f t="shared" ca="1" si="95"/>
        <v>2836.9299999999971</v>
      </c>
      <c r="BO85" s="6">
        <f t="shared" ca="1" si="96"/>
        <v>0</v>
      </c>
      <c r="BP85" s="6">
        <f t="shared" ca="1" si="97"/>
        <v>0</v>
      </c>
      <c r="BQ85" s="12">
        <f t="shared" ca="1" si="98"/>
        <v>0</v>
      </c>
      <c r="BR85" s="2">
        <f t="shared" ca="1" si="80"/>
        <v>1.8908302202514961E-2</v>
      </c>
      <c r="BS85" s="2">
        <f t="shared" ca="1" si="81"/>
        <v>0</v>
      </c>
      <c r="BT85" s="2">
        <f t="shared" ca="1" si="82"/>
        <v>0</v>
      </c>
      <c r="BU85" s="13">
        <f t="shared" ca="1" si="83"/>
        <v>0</v>
      </c>
      <c r="BV85" s="2">
        <f t="shared" ca="1" si="84"/>
        <v>8.1194474163740718E-2</v>
      </c>
      <c r="BW85" s="2">
        <f t="shared" ca="1" si="85"/>
        <v>0</v>
      </c>
      <c r="BX85" s="2">
        <f t="shared" ca="1" si="86"/>
        <v>0</v>
      </c>
      <c r="BY85" s="13">
        <f t="shared" ca="1" si="87"/>
        <v>0</v>
      </c>
      <c r="CF85" s="39" t="str">
        <f t="shared" si="88"/>
        <v>C2020-06-4200000.CFE</v>
      </c>
      <c r="CG85" s="39" t="str">
        <f t="shared" si="89"/>
        <v>P2020-06-4200000.CFE</v>
      </c>
      <c r="CH85" s="95" t="s">
        <v>95</v>
      </c>
      <c r="CI85" s="100" t="str">
        <f>IF([1]!w_info_callput(CH85)="认购","C","P")</f>
        <v>C</v>
      </c>
      <c r="CJ85" s="104">
        <f>[1]!w_info_strikeprice(CH85,"")</f>
        <v>4200</v>
      </c>
      <c r="CK85" s="102" t="str">
        <f>[1]!w_info_lasttradingdate(CH85)</f>
        <v>2020-06-19</v>
      </c>
      <c r="CL85" s="39" t="str">
        <f t="shared" si="90"/>
        <v>IO2006-P-4200.CFE</v>
      </c>
    </row>
    <row r="86" spans="1:90">
      <c r="A86" s="35"/>
      <c r="B86" s="112" t="s">
        <v>96</v>
      </c>
      <c r="C86" s="29" t="str">
        <f>IF([1]!w_info_callput(B86)="认购","C","P")</f>
        <v>C</v>
      </c>
      <c r="D86" s="96">
        <f>[1]!w_info_strikeprice(B86,"")</f>
        <v>4300</v>
      </c>
      <c r="E86" s="18" t="str">
        <f>[1]!w_info_lasttradingdate(B86)</f>
        <v>2020-06-19</v>
      </c>
      <c r="F86" s="4">
        <f>IF(G86&gt;0,RTD("wdf.rtq",,$B86,F$5),0)</f>
        <v>56.4</v>
      </c>
      <c r="G86" s="53">
        <f>RTD("wdf.rtq",,$B86,G$5)</f>
        <v>9</v>
      </c>
      <c r="H86" s="4">
        <f>RTD("wdf.rtq",,$B86,H$5)</f>
        <v>45</v>
      </c>
      <c r="I86" s="53">
        <f>RTD("wdf.rtq",,$B86,I$5)</f>
        <v>1</v>
      </c>
      <c r="J86" s="4">
        <f>RTD("wdf.rtq",,$B86,J$5)</f>
        <v>65</v>
      </c>
      <c r="K86" s="54">
        <f>RTD("wdf.rtq",,$B86,K$5)</f>
        <v>2</v>
      </c>
      <c r="L86" s="4">
        <f>[1]!s_dq_presettle(B86,"")</f>
        <v>49.8</v>
      </c>
      <c r="M86" s="6">
        <f t="shared" si="62"/>
        <v>542.90000000000009</v>
      </c>
      <c r="N86" s="3">
        <f t="shared" si="63"/>
        <v>69040</v>
      </c>
      <c r="O86" s="4">
        <f t="shared" si="64"/>
        <v>-16719.000000000007</v>
      </c>
      <c r="P86" s="4">
        <f t="shared" si="65"/>
        <v>21500</v>
      </c>
      <c r="Q86" s="8">
        <f t="shared" si="66"/>
        <v>90540.01</v>
      </c>
      <c r="R86" s="55">
        <f ca="1">IF(NOW()-TODAY()&gt;15/24, G86, [1]!s_dq_volume(B86,R$2,1))/$AI$2</f>
        <v>16</v>
      </c>
      <c r="AB86" s="39" t="s">
        <v>111</v>
      </c>
      <c r="AC86" s="29" t="str">
        <f>IF([1]!w_info_callput(AB86)="认购","C","P")</f>
        <v>P</v>
      </c>
      <c r="AD86" s="31">
        <f>[1]!w_info_strikeprice(AB86,"")</f>
        <v>4300</v>
      </c>
      <c r="AE86" s="18" t="str">
        <f>[1]!w_info_lasttradingdate(AB86)</f>
        <v>2020-06-19</v>
      </c>
      <c r="AF86" s="4">
        <f>RTD("wdf.rtq",,$AB86,F$5)</f>
        <v>690.4</v>
      </c>
      <c r="AG86" s="53">
        <f>RTD("wdf.rtq",,$AB86,G$5)</f>
        <v>0</v>
      </c>
      <c r="AH86" s="4">
        <f>RTD("wdf.rtq",,$AB86,H$5)</f>
        <v>0</v>
      </c>
      <c r="AI86" s="53">
        <f>RTD("wdf.rtq",,$AB86,I$5)</f>
        <v>0</v>
      </c>
      <c r="AJ86" s="4">
        <f>RTD("wdf.rtq",,$AB86,J$5)</f>
        <v>0</v>
      </c>
      <c r="AK86" s="54">
        <f>RTD("wdf.rtq",,$AB86,K$5)</f>
        <v>0</v>
      </c>
      <c r="AL86" s="4">
        <f>[1]!s_dq_presettle(AB86,"")</f>
        <v>718.8</v>
      </c>
      <c r="AM86" s="6">
        <f t="shared" si="67"/>
        <v>0</v>
      </c>
      <c r="AN86" s="6">
        <f t="shared" si="68"/>
        <v>69040</v>
      </c>
      <c r="AO86" s="6">
        <f t="shared" si="69"/>
        <v>37571</v>
      </c>
      <c r="AP86" s="4">
        <f t="shared" si="70"/>
        <v>21500</v>
      </c>
      <c r="AQ86" s="8">
        <f t="shared" si="71"/>
        <v>106611.01</v>
      </c>
      <c r="AR86" s="55">
        <f ca="1">IF(NOW()-TODAY()&gt;15/24, AG86, [1]!s_dq_volume(AB86,AR$2,1))/AI$2</f>
        <v>2</v>
      </c>
      <c r="AS86" s="110"/>
      <c r="AT86" s="110"/>
      <c r="AU86" s="110"/>
      <c r="AV86" s="110"/>
      <c r="AY86" s="10"/>
      <c r="AZ86" s="10"/>
      <c r="BA86" s="6">
        <f t="shared" ca="1" si="91"/>
        <v>1469.1166666666757</v>
      </c>
      <c r="BB86" s="6">
        <f t="shared" ca="1" si="92"/>
        <v>0</v>
      </c>
      <c r="BC86" s="6">
        <f t="shared" ca="1" si="93"/>
        <v>0</v>
      </c>
      <c r="BD86" s="12">
        <f t="shared" ca="1" si="94"/>
        <v>0</v>
      </c>
      <c r="BE86" s="2">
        <f t="shared" ca="1" si="72"/>
        <v>2.7445247234609807E-3</v>
      </c>
      <c r="BF86" s="2">
        <f t="shared" ca="1" si="73"/>
        <v>0</v>
      </c>
      <c r="BG86" s="2">
        <f t="shared" ca="1" si="74"/>
        <v>0</v>
      </c>
      <c r="BH86" s="13">
        <f t="shared" ca="1" si="75"/>
        <v>0</v>
      </c>
      <c r="BI86" s="2">
        <f t="shared" ca="1" si="76"/>
        <v>1.1785312047803035E-2</v>
      </c>
      <c r="BJ86" s="2">
        <f t="shared" ca="1" si="77"/>
        <v>0</v>
      </c>
      <c r="BK86" s="2">
        <f t="shared" ca="1" si="78"/>
        <v>0</v>
      </c>
      <c r="BL86" s="40">
        <f t="shared" ca="1" si="79"/>
        <v>0</v>
      </c>
      <c r="BN86" s="6">
        <f t="shared" ca="1" si="95"/>
        <v>2656.9299999999903</v>
      </c>
      <c r="BO86" s="6">
        <f t="shared" ca="1" si="96"/>
        <v>0</v>
      </c>
      <c r="BP86" s="6">
        <f t="shared" ca="1" si="97"/>
        <v>0</v>
      </c>
      <c r="BQ86" s="12">
        <f t="shared" ca="1" si="98"/>
        <v>0</v>
      </c>
      <c r="BR86" s="2">
        <f t="shared" ca="1" si="80"/>
        <v>1.688695818972626E-2</v>
      </c>
      <c r="BS86" s="2">
        <f t="shared" ca="1" si="81"/>
        <v>0</v>
      </c>
      <c r="BT86" s="2">
        <f t="shared" ca="1" si="82"/>
        <v>0</v>
      </c>
      <c r="BU86" s="13">
        <f t="shared" ca="1" si="83"/>
        <v>0</v>
      </c>
      <c r="BV86" s="2">
        <f t="shared" ca="1" si="84"/>
        <v>7.2514585167648055E-2</v>
      </c>
      <c r="BW86" s="2">
        <f t="shared" ca="1" si="85"/>
        <v>0</v>
      </c>
      <c r="BX86" s="2">
        <f t="shared" ca="1" si="86"/>
        <v>0</v>
      </c>
      <c r="BY86" s="13">
        <f t="shared" ca="1" si="87"/>
        <v>0</v>
      </c>
      <c r="CF86" s="39" t="str">
        <f t="shared" si="88"/>
        <v>C2020-06-4300000.CFE</v>
      </c>
      <c r="CG86" s="39" t="str">
        <f t="shared" si="89"/>
        <v>P2020-06-4300000.CFE</v>
      </c>
      <c r="CH86" s="95" t="s">
        <v>96</v>
      </c>
      <c r="CI86" s="100" t="str">
        <f>IF([1]!w_info_callput(CH86)="认购","C","P")</f>
        <v>C</v>
      </c>
      <c r="CJ86" s="104">
        <f>[1]!w_info_strikeprice(CH86,"")</f>
        <v>4300</v>
      </c>
      <c r="CK86" s="102" t="str">
        <f>[1]!w_info_lasttradingdate(CH86)</f>
        <v>2020-06-19</v>
      </c>
      <c r="CL86" s="39" t="str">
        <f t="shared" si="90"/>
        <v>IO2006-P-4300.CFE</v>
      </c>
    </row>
    <row r="87" spans="1:90">
      <c r="B87" s="112" t="s">
        <v>97</v>
      </c>
      <c r="C87" s="29" t="str">
        <f>IF([1]!w_info_callput(B87)="认购","C","P")</f>
        <v>C</v>
      </c>
      <c r="D87" s="96">
        <f>[1]!w_info_strikeprice(B87,"")</f>
        <v>4400</v>
      </c>
      <c r="E87" s="18" t="str">
        <f>[1]!w_info_lasttradingdate(B87)</f>
        <v>2020-06-19</v>
      </c>
      <c r="F87" s="4">
        <f>IF(G87&gt;0,RTD("wdf.rtq",,$B87,F$5),0)</f>
        <v>42.800000000000004</v>
      </c>
      <c r="G87" s="53">
        <f>RTD("wdf.rtq",,$B87,G$5)</f>
        <v>13</v>
      </c>
      <c r="H87" s="4">
        <f>RTD("wdf.rtq",,$B87,H$5)</f>
        <v>9</v>
      </c>
      <c r="I87" s="53">
        <f>RTD("wdf.rtq",,$B87,I$5)</f>
        <v>1</v>
      </c>
      <c r="J87" s="4">
        <f>RTD("wdf.rtq",,$B87,J$5)</f>
        <v>59.800000000000004</v>
      </c>
      <c r="K87" s="54">
        <f>RTD("wdf.rtq",,$B87,K$5)</f>
        <v>2</v>
      </c>
      <c r="L87" s="4">
        <f>[1]!s_dq_presettle(B87,"")</f>
        <v>40.200000000000003</v>
      </c>
      <c r="M87" s="6">
        <f t="shared" si="62"/>
        <v>642.90000000000009</v>
      </c>
      <c r="N87" s="3">
        <f t="shared" si="63"/>
        <v>77500</v>
      </c>
      <c r="O87" s="4">
        <f t="shared" si="64"/>
        <v>-26719.000000000007</v>
      </c>
      <c r="P87" s="4">
        <f t="shared" si="65"/>
        <v>22000</v>
      </c>
      <c r="Q87" s="8">
        <f t="shared" si="66"/>
        <v>99500.01</v>
      </c>
      <c r="R87" s="55">
        <f ca="1">IF(NOW()-TODAY()&gt;15/24, G87, [1]!s_dq_volume(B87,R$2,1))/$AI$2</f>
        <v>40</v>
      </c>
      <c r="AB87" s="39" t="s">
        <v>112</v>
      </c>
      <c r="AC87" s="29" t="str">
        <f>IF([1]!w_info_callput(AB87)="认购","C","P")</f>
        <v>P</v>
      </c>
      <c r="AD87" s="31">
        <f>[1]!w_info_strikeprice(AB87,"")</f>
        <v>4400</v>
      </c>
      <c r="AE87" s="18" t="str">
        <f>[1]!w_info_lasttradingdate(AB87)</f>
        <v>2020-06-19</v>
      </c>
      <c r="AF87" s="4">
        <f>RTD("wdf.rtq",,$AB87,F$5)</f>
        <v>775</v>
      </c>
      <c r="AG87" s="53">
        <f>RTD("wdf.rtq",,$AB87,G$5)</f>
        <v>0</v>
      </c>
      <c r="AH87" s="4">
        <f>RTD("wdf.rtq",,$AB87,H$5)</f>
        <v>0</v>
      </c>
      <c r="AI87" s="53">
        <f>RTD("wdf.rtq",,$AB87,I$5)</f>
        <v>0</v>
      </c>
      <c r="AJ87" s="4">
        <f>RTD("wdf.rtq",,$AB87,J$5)</f>
        <v>0</v>
      </c>
      <c r="AK87" s="54">
        <f>RTD("wdf.rtq",,$AB87,K$5)</f>
        <v>0</v>
      </c>
      <c r="AL87" s="4">
        <f>[1]!s_dq_presettle(AB87,"")</f>
        <v>803.4</v>
      </c>
      <c r="AM87" s="6">
        <f t="shared" si="67"/>
        <v>0</v>
      </c>
      <c r="AN87" s="6">
        <f t="shared" si="68"/>
        <v>77500</v>
      </c>
      <c r="AO87" s="6">
        <f t="shared" si="69"/>
        <v>37571</v>
      </c>
      <c r="AP87" s="4">
        <f t="shared" si="70"/>
        <v>22000</v>
      </c>
      <c r="AQ87" s="8">
        <f t="shared" si="71"/>
        <v>115071.01</v>
      </c>
      <c r="AR87" s="55">
        <f ca="1">IF(NOW()-TODAY()&gt;15/24, AG87, [1]!s_dq_volume(AB87,AR$2,1))/AI$2</f>
        <v>0</v>
      </c>
      <c r="AS87" s="110"/>
      <c r="AT87" s="110"/>
      <c r="AU87" s="110"/>
      <c r="AV87" s="110"/>
      <c r="AY87" s="10"/>
      <c r="AZ87" s="10"/>
      <c r="BA87" s="6">
        <f t="shared" ca="1" si="91"/>
        <v>1649.1166666666711</v>
      </c>
      <c r="BB87" s="6">
        <f t="shared" ca="1" si="92"/>
        <v>0</v>
      </c>
      <c r="BC87" s="6">
        <f t="shared" ca="1" si="93"/>
        <v>0</v>
      </c>
      <c r="BD87" s="12">
        <f t="shared" ca="1" si="94"/>
        <v>0</v>
      </c>
      <c r="BE87" s="2">
        <f t="shared" ca="1" si="72"/>
        <v>2.9836924188629604E-3</v>
      </c>
      <c r="BF87" s="2">
        <f t="shared" ca="1" si="73"/>
        <v>0</v>
      </c>
      <c r="BG87" s="2">
        <f t="shared" ca="1" si="74"/>
        <v>0</v>
      </c>
      <c r="BH87" s="13">
        <f t="shared" ca="1" si="75"/>
        <v>0</v>
      </c>
      <c r="BI87" s="2">
        <f t="shared" ca="1" si="76"/>
        <v>1.2812326269235065E-2</v>
      </c>
      <c r="BJ87" s="2">
        <f t="shared" ca="1" si="77"/>
        <v>0</v>
      </c>
      <c r="BK87" s="2">
        <f t="shared" ca="1" si="78"/>
        <v>0</v>
      </c>
      <c r="BL87" s="40">
        <f t="shared" ca="1" si="79"/>
        <v>0</v>
      </c>
      <c r="BN87" s="6">
        <f t="shared" ca="1" si="95"/>
        <v>2476.9299999999948</v>
      </c>
      <c r="BO87" s="6">
        <f t="shared" ca="1" si="96"/>
        <v>0</v>
      </c>
      <c r="BP87" s="6">
        <f t="shared" ca="1" si="97"/>
        <v>0</v>
      </c>
      <c r="BQ87" s="12">
        <f t="shared" ca="1" si="98"/>
        <v>0</v>
      </c>
      <c r="BR87" s="2">
        <f t="shared" ca="1" si="80"/>
        <v>1.5063166440043801E-2</v>
      </c>
      <c r="BS87" s="2">
        <f t="shared" ca="1" si="81"/>
        <v>0</v>
      </c>
      <c r="BT87" s="2">
        <f t="shared" ca="1" si="82"/>
        <v>0</v>
      </c>
      <c r="BU87" s="13">
        <f t="shared" ca="1" si="83"/>
        <v>0</v>
      </c>
      <c r="BV87" s="2">
        <f t="shared" ca="1" si="84"/>
        <v>6.4683008830776323E-2</v>
      </c>
      <c r="BW87" s="2">
        <f t="shared" ca="1" si="85"/>
        <v>0</v>
      </c>
      <c r="BX87" s="2">
        <f t="shared" ca="1" si="86"/>
        <v>0</v>
      </c>
      <c r="BY87" s="13">
        <f t="shared" ca="1" si="87"/>
        <v>0</v>
      </c>
      <c r="CF87" s="39" t="str">
        <f t="shared" si="88"/>
        <v>C2020-06-4400000.CFE</v>
      </c>
      <c r="CG87" s="39" t="str">
        <f t="shared" si="89"/>
        <v>P2020-06-4400000.CFE</v>
      </c>
      <c r="CH87" s="95" t="s">
        <v>97</v>
      </c>
      <c r="CI87" s="100" t="str">
        <f>IF([1]!w_info_callput(CH87)="认购","C","P")</f>
        <v>C</v>
      </c>
      <c r="CJ87" s="104">
        <f>[1]!w_info_strikeprice(CH87,"")</f>
        <v>4400</v>
      </c>
      <c r="CK87" s="102" t="str">
        <f>[1]!w_info_lasttradingdate(CH87)</f>
        <v>2020-06-19</v>
      </c>
      <c r="CL87" s="39" t="str">
        <f t="shared" si="90"/>
        <v>IO2006-P-4400.CFE</v>
      </c>
    </row>
    <row r="88" spans="1:90">
      <c r="B88" s="112" t="s">
        <v>98</v>
      </c>
      <c r="C88" s="29" t="str">
        <f>IF([1]!w_info_callput(B88)="认购","C","P")</f>
        <v>C</v>
      </c>
      <c r="D88" s="96">
        <f>[1]!w_info_strikeprice(B88,"")</f>
        <v>4500</v>
      </c>
      <c r="E88" s="18" t="str">
        <f>[1]!w_info_lasttradingdate(B88)</f>
        <v>2020-06-19</v>
      </c>
      <c r="F88" s="4">
        <f>IF(G88&gt;0,RTD("wdf.rtq",,$B88,F$5),0)</f>
        <v>33.6</v>
      </c>
      <c r="G88" s="53">
        <f>RTD("wdf.rtq",,$B88,G$5)</f>
        <v>42</v>
      </c>
      <c r="H88" s="4">
        <f>RTD("wdf.rtq",,$B88,H$5)</f>
        <v>7</v>
      </c>
      <c r="I88" s="53">
        <f>RTD("wdf.rtq",,$B88,I$5)</f>
        <v>1</v>
      </c>
      <c r="J88" s="4">
        <f>RTD("wdf.rtq",,$B88,J$5)</f>
        <v>50</v>
      </c>
      <c r="K88" s="54">
        <f>RTD("wdf.rtq",,$B88,K$5)</f>
        <v>5</v>
      </c>
      <c r="L88" s="4">
        <f>[1]!s_dq_presettle(B88,"")</f>
        <v>33.4</v>
      </c>
      <c r="M88" s="6">
        <f t="shared" si="62"/>
        <v>742.90000000000009</v>
      </c>
      <c r="N88" s="3">
        <f t="shared" si="63"/>
        <v>86840</v>
      </c>
      <c r="O88" s="4">
        <f t="shared" si="64"/>
        <v>-36719.000000000007</v>
      </c>
      <c r="P88" s="4">
        <f t="shared" si="65"/>
        <v>22500</v>
      </c>
      <c r="Q88" s="8">
        <f t="shared" si="66"/>
        <v>109340.01</v>
      </c>
      <c r="R88" s="55">
        <f ca="1">IF(NOW()-TODAY()&gt;15/24, G88, [1]!s_dq_volume(B88,R$2,1))/$AI$2</f>
        <v>96</v>
      </c>
      <c r="AB88" s="39" t="s">
        <v>113</v>
      </c>
      <c r="AC88" s="29" t="str">
        <f>IF([1]!w_info_callput(AB88)="认购","C","P")</f>
        <v>P</v>
      </c>
      <c r="AD88" s="31">
        <f>[1]!w_info_strikeprice(AB88,"")</f>
        <v>4500</v>
      </c>
      <c r="AE88" s="18" t="str">
        <f>[1]!w_info_lasttradingdate(AB88)</f>
        <v>2020-06-19</v>
      </c>
      <c r="AF88" s="4">
        <f>RTD("wdf.rtq",,$AB88,F$5)</f>
        <v>868.4</v>
      </c>
      <c r="AG88" s="53">
        <f>RTD("wdf.rtq",,$AB88,G$5)</f>
        <v>0</v>
      </c>
      <c r="AH88" s="4">
        <f>RTD("wdf.rtq",,$AB88,H$5)</f>
        <v>0</v>
      </c>
      <c r="AI88" s="53">
        <f>RTD("wdf.rtq",,$AB88,I$5)</f>
        <v>0</v>
      </c>
      <c r="AJ88" s="4">
        <f>RTD("wdf.rtq",,$AB88,J$5)</f>
        <v>0</v>
      </c>
      <c r="AK88" s="54">
        <f>RTD("wdf.rtq",,$AB88,K$5)</f>
        <v>0</v>
      </c>
      <c r="AL88" s="4">
        <f>[1]!s_dq_presettle(AB88,"")</f>
        <v>895.4</v>
      </c>
      <c r="AM88" s="6">
        <f t="shared" si="67"/>
        <v>0</v>
      </c>
      <c r="AN88" s="6">
        <f t="shared" si="68"/>
        <v>86840</v>
      </c>
      <c r="AO88" s="6">
        <f t="shared" si="69"/>
        <v>37571</v>
      </c>
      <c r="AP88" s="4">
        <f t="shared" si="70"/>
        <v>22500</v>
      </c>
      <c r="AQ88" s="8">
        <f t="shared" si="71"/>
        <v>124411.01</v>
      </c>
      <c r="AR88" s="55">
        <f ca="1">IF(NOW()-TODAY()&gt;15/24, AG88, [1]!s_dq_volume(AB88,AR$2,1))/AI$2</f>
        <v>0</v>
      </c>
      <c r="AS88" s="110"/>
      <c r="AT88" s="110"/>
      <c r="AU88" s="110"/>
      <c r="AV88" s="110"/>
      <c r="AY88" s="10"/>
      <c r="AZ88" s="10"/>
      <c r="BA88" s="6">
        <f t="shared" ca="1" si="91"/>
        <v>1389.1166666666802</v>
      </c>
      <c r="BB88" s="6">
        <f t="shared" ca="1" si="92"/>
        <v>0</v>
      </c>
      <c r="BC88" s="6">
        <f t="shared" ca="1" si="93"/>
        <v>0</v>
      </c>
      <c r="BD88" s="12">
        <f t="shared" ca="1" si="94"/>
        <v>0</v>
      </c>
      <c r="BE88" s="2">
        <f t="shared" ca="1" si="72"/>
        <v>2.4289927125439388E-3</v>
      </c>
      <c r="BF88" s="2">
        <f t="shared" ca="1" si="73"/>
        <v>0</v>
      </c>
      <c r="BG88" s="2">
        <f t="shared" ca="1" si="74"/>
        <v>0</v>
      </c>
      <c r="BH88" s="13">
        <f t="shared" ca="1" si="75"/>
        <v>0</v>
      </c>
      <c r="BI88" s="2">
        <f t="shared" ca="1" si="76"/>
        <v>1.0430380471512207E-2</v>
      </c>
      <c r="BJ88" s="2">
        <f t="shared" ca="1" si="77"/>
        <v>0</v>
      </c>
      <c r="BK88" s="2">
        <f t="shared" ca="1" si="78"/>
        <v>0</v>
      </c>
      <c r="BL88" s="40">
        <f t="shared" ca="1" si="79"/>
        <v>0</v>
      </c>
      <c r="BN88" s="6">
        <f t="shared" ca="1" si="95"/>
        <v>2736.9299999999857</v>
      </c>
      <c r="BO88" s="6">
        <f t="shared" ca="1" si="96"/>
        <v>0</v>
      </c>
      <c r="BP88" s="6">
        <f t="shared" ca="1" si="97"/>
        <v>0</v>
      </c>
      <c r="BQ88" s="12">
        <f t="shared" ca="1" si="98"/>
        <v>0</v>
      </c>
      <c r="BR88" s="2">
        <f t="shared" ca="1" si="80"/>
        <v>1.5833564787750384E-2</v>
      </c>
      <c r="BS88" s="2">
        <f t="shared" ca="1" si="81"/>
        <v>0</v>
      </c>
      <c r="BT88" s="2">
        <f t="shared" ca="1" si="82"/>
        <v>0</v>
      </c>
      <c r="BU88" s="13">
        <f t="shared" ca="1" si="83"/>
        <v>0</v>
      </c>
      <c r="BV88" s="2">
        <f t="shared" ca="1" si="84"/>
        <v>6.7991189970928123E-2</v>
      </c>
      <c r="BW88" s="2">
        <f t="shared" ca="1" si="85"/>
        <v>0</v>
      </c>
      <c r="BX88" s="2">
        <f t="shared" ca="1" si="86"/>
        <v>0</v>
      </c>
      <c r="BY88" s="13">
        <f t="shared" ca="1" si="87"/>
        <v>0</v>
      </c>
      <c r="CF88" s="39" t="str">
        <f t="shared" si="88"/>
        <v>C2020-06-4500000.CFE</v>
      </c>
      <c r="CG88" s="39" t="str">
        <f t="shared" si="89"/>
        <v>P2020-06-4500000.CFE</v>
      </c>
      <c r="CH88" s="95" t="s">
        <v>98</v>
      </c>
      <c r="CI88" s="100" t="str">
        <f>IF([1]!w_info_callput(CH88)="认购","C","P")</f>
        <v>C</v>
      </c>
      <c r="CJ88" s="104">
        <f>[1]!w_info_strikeprice(CH88,"")</f>
        <v>4500</v>
      </c>
      <c r="CK88" s="102" t="str">
        <f>[1]!w_info_lasttradingdate(CH88)</f>
        <v>2020-06-19</v>
      </c>
      <c r="CL88" s="39" t="str">
        <f t="shared" si="90"/>
        <v>IO2006-P-4500.CFE</v>
      </c>
    </row>
    <row r="89" spans="1:90">
      <c r="B89" s="112" t="s">
        <v>99</v>
      </c>
      <c r="C89" s="29" t="str">
        <f>IF([1]!w_info_callput(B89)="认购","C","P")</f>
        <v>C</v>
      </c>
      <c r="D89" s="96">
        <f>[1]!w_info_strikeprice(B89,"")</f>
        <v>4600</v>
      </c>
      <c r="E89" s="18" t="str">
        <f>[1]!w_info_lasttradingdate(B89)</f>
        <v>2020-06-19</v>
      </c>
      <c r="F89" s="4">
        <f>IF(G89&gt;0,RTD("wdf.rtq",,$B89,F$5),0)</f>
        <v>27.8</v>
      </c>
      <c r="G89" s="53">
        <f>RTD("wdf.rtq",,$B89,G$5)</f>
        <v>33</v>
      </c>
      <c r="H89" s="4">
        <f>RTD("wdf.rtq",,$B89,H$5)</f>
        <v>26.2</v>
      </c>
      <c r="I89" s="53">
        <f>RTD("wdf.rtq",,$B89,I$5)</f>
        <v>5</v>
      </c>
      <c r="J89" s="4">
        <f>RTD("wdf.rtq",,$B89,J$5)</f>
        <v>31.2</v>
      </c>
      <c r="K89" s="54">
        <f>RTD("wdf.rtq",,$B89,K$5)</f>
        <v>1</v>
      </c>
      <c r="L89" s="4">
        <f>[1]!s_dq_presettle(B89,"")</f>
        <v>27.2</v>
      </c>
      <c r="M89" s="6">
        <f t="shared" si="62"/>
        <v>842.90000000000009</v>
      </c>
      <c r="N89" s="3">
        <f t="shared" si="63"/>
        <v>106780</v>
      </c>
      <c r="O89" s="4">
        <f t="shared" si="64"/>
        <v>-46719.000000000007</v>
      </c>
      <c r="P89" s="4">
        <f t="shared" si="65"/>
        <v>23000</v>
      </c>
      <c r="Q89" s="8">
        <f t="shared" si="66"/>
        <v>129780.01</v>
      </c>
      <c r="R89" s="55">
        <f ca="1">IF(NOW()-TODAY()&gt;15/24, G89, [1]!s_dq_volume(B89,R$2,1))/$AI$2</f>
        <v>85</v>
      </c>
      <c r="AB89" s="39" t="s">
        <v>114</v>
      </c>
      <c r="AC89" s="29" t="str">
        <f>IF([1]!w_info_callput(AB89)="认购","C","P")</f>
        <v>P</v>
      </c>
      <c r="AD89" s="31">
        <f>[1]!w_info_strikeprice(AB89,"")</f>
        <v>4600</v>
      </c>
      <c r="AE89" s="18" t="str">
        <f>[1]!w_info_lasttradingdate(AB89)</f>
        <v>2020-06-19</v>
      </c>
      <c r="AF89" s="4">
        <f>RTD("wdf.rtq",,$AB89,F$5)</f>
        <v>1067.8</v>
      </c>
      <c r="AG89" s="53">
        <f>RTD("wdf.rtq",,$AB89,G$5)</f>
        <v>0</v>
      </c>
      <c r="AH89" s="4">
        <f>RTD("wdf.rtq",,$AB89,H$5)</f>
        <v>0</v>
      </c>
      <c r="AI89" s="53">
        <f>RTD("wdf.rtq",,$AB89,I$5)</f>
        <v>0</v>
      </c>
      <c r="AJ89" s="4">
        <f>RTD("wdf.rtq",,$AB89,J$5)</f>
        <v>925.6</v>
      </c>
      <c r="AK89" s="54">
        <f>RTD("wdf.rtq",,$AB89,K$5)</f>
        <v>1</v>
      </c>
      <c r="AL89" s="4">
        <f>[1]!s_dq_presettle(AB89,"")</f>
        <v>988.6</v>
      </c>
      <c r="AM89" s="6">
        <f t="shared" si="67"/>
        <v>0</v>
      </c>
      <c r="AN89" s="6">
        <f t="shared" si="68"/>
        <v>106780</v>
      </c>
      <c r="AO89" s="6">
        <f t="shared" si="69"/>
        <v>37571</v>
      </c>
      <c r="AP89" s="4">
        <f t="shared" si="70"/>
        <v>23000</v>
      </c>
      <c r="AQ89" s="8">
        <f t="shared" si="71"/>
        <v>144351.01</v>
      </c>
      <c r="AR89" s="55">
        <f ca="1">IF(NOW()-TODAY()&gt;15/24, AG89, [1]!s_dq_volume(AB89,AR$2,1))/AI$2</f>
        <v>0</v>
      </c>
      <c r="AS89" s="110"/>
      <c r="AT89" s="110"/>
      <c r="AU89" s="110"/>
      <c r="AV89" s="110"/>
      <c r="AY89" s="10"/>
      <c r="AZ89" s="10"/>
      <c r="BA89" s="6">
        <f t="shared" ca="1" si="91"/>
        <v>-9130.8833333333241</v>
      </c>
      <c r="BB89" s="6">
        <f t="shared" ca="1" si="92"/>
        <v>4929.1166666666777</v>
      </c>
      <c r="BC89" s="6">
        <f t="shared" ca="1" si="93"/>
        <v>0</v>
      </c>
      <c r="BD89" s="12">
        <f t="shared" ca="1" si="94"/>
        <v>0</v>
      </c>
      <c r="BE89" s="2">
        <f t="shared" ca="1" si="72"/>
        <v>-1.4913164427787874E-2</v>
      </c>
      <c r="BF89" s="2">
        <f t="shared" ca="1" si="73"/>
        <v>8.2419807444977337E-3</v>
      </c>
      <c r="BG89" s="2">
        <f t="shared" ca="1" si="74"/>
        <v>0</v>
      </c>
      <c r="BH89" s="13">
        <f t="shared" ca="1" si="75"/>
        <v>0</v>
      </c>
      <c r="BI89" s="2">
        <f t="shared" ca="1" si="76"/>
        <v>-6.4038882542853809E-2</v>
      </c>
      <c r="BJ89" s="2">
        <f t="shared" ca="1" si="77"/>
        <v>3.5392034961666735E-2</v>
      </c>
      <c r="BK89" s="2">
        <f t="shared" ca="1" si="78"/>
        <v>0</v>
      </c>
      <c r="BL89" s="40">
        <f t="shared" ca="1" si="79"/>
        <v>0</v>
      </c>
      <c r="BN89" s="6">
        <f t="shared" ca="1" si="95"/>
        <v>13256.929999999991</v>
      </c>
      <c r="BO89" s="6">
        <f t="shared" ca="1" si="96"/>
        <v>0</v>
      </c>
      <c r="BP89" s="6">
        <f t="shared" ca="1" si="97"/>
        <v>-803.11000000001195</v>
      </c>
      <c r="BQ89" s="12">
        <f t="shared" ca="1" si="98"/>
        <v>-803.07000000001199</v>
      </c>
      <c r="BR89" s="2">
        <f t="shared" ca="1" si="80"/>
        <v>6.8968845031332118E-2</v>
      </c>
      <c r="BS89" s="2">
        <f t="shared" ca="1" si="81"/>
        <v>0</v>
      </c>
      <c r="BT89" s="2">
        <f t="shared" ca="1" si="82"/>
        <v>-4.1816399290979097E-3</v>
      </c>
      <c r="BU89" s="13">
        <f t="shared" ca="1" si="83"/>
        <v>-4.1814320921984864E-3</v>
      </c>
      <c r="BV89" s="2">
        <f t="shared" ca="1" si="84"/>
        <v>0.29616033454630852</v>
      </c>
      <c r="BW89" s="2">
        <f t="shared" ca="1" si="85"/>
        <v>0</v>
      </c>
      <c r="BX89" s="2">
        <f t="shared" ca="1" si="86"/>
        <v>-1.7956453813185141E-2</v>
      </c>
      <c r="BY89" s="13">
        <f t="shared" ca="1" si="87"/>
        <v>-1.7955561337087617E-2</v>
      </c>
      <c r="CF89" s="39" t="str">
        <f t="shared" si="88"/>
        <v>C2020-06-4600000.CFE</v>
      </c>
      <c r="CG89" s="39" t="str">
        <f t="shared" si="89"/>
        <v>P2020-06-4600000.CFE</v>
      </c>
      <c r="CH89" s="95" t="s">
        <v>99</v>
      </c>
      <c r="CI89" s="100" t="str">
        <f>IF([1]!w_info_callput(CH89)="认购","C","P")</f>
        <v>C</v>
      </c>
      <c r="CJ89" s="104">
        <f>[1]!w_info_strikeprice(CH89,"")</f>
        <v>4600</v>
      </c>
      <c r="CK89" s="102" t="str">
        <f>[1]!w_info_lasttradingdate(CH89)</f>
        <v>2020-06-19</v>
      </c>
      <c r="CL89" s="39" t="str">
        <f t="shared" si="90"/>
        <v>IO2006-P-4600.CFE</v>
      </c>
    </row>
    <row r="90" spans="1:90">
      <c r="B90" s="112" t="s">
        <v>100</v>
      </c>
      <c r="C90" s="29" t="str">
        <f>IF([1]!w_info_callput(B90)="认购","C","P")</f>
        <v>C</v>
      </c>
      <c r="D90" s="96">
        <f>[1]!w_info_strikeprice(B90,"")</f>
        <v>4700</v>
      </c>
      <c r="E90" s="18" t="str">
        <f>[1]!w_info_lasttradingdate(B90)</f>
        <v>2020-06-19</v>
      </c>
      <c r="F90" s="4">
        <f>IF(G90&gt;0,RTD("wdf.rtq",,$B90,F$5),0)</f>
        <v>24.6</v>
      </c>
      <c r="G90" s="53">
        <f>RTD("wdf.rtq",,$B90,G$5)</f>
        <v>37</v>
      </c>
      <c r="H90" s="4">
        <f>RTD("wdf.rtq",,$B90,H$5)</f>
        <v>17.2</v>
      </c>
      <c r="I90" s="53">
        <f>RTD("wdf.rtq",,$B90,I$5)</f>
        <v>1</v>
      </c>
      <c r="J90" s="4">
        <f>RTD("wdf.rtq",,$B90,J$5)</f>
        <v>24.8</v>
      </c>
      <c r="K90" s="54">
        <f>RTD("wdf.rtq",,$B90,K$5)</f>
        <v>5</v>
      </c>
      <c r="L90" s="4">
        <f>[1]!s_dq_presettle(B90,"")</f>
        <v>21.4</v>
      </c>
      <c r="M90" s="6">
        <f t="shared" si="62"/>
        <v>942.90000000000009</v>
      </c>
      <c r="N90" s="3">
        <f t="shared" si="63"/>
        <v>102600</v>
      </c>
      <c r="O90" s="4">
        <f t="shared" si="64"/>
        <v>-56719.000000000007</v>
      </c>
      <c r="P90" s="4">
        <f t="shared" si="65"/>
        <v>23500</v>
      </c>
      <c r="Q90" s="8">
        <f t="shared" si="66"/>
        <v>126100.01</v>
      </c>
      <c r="R90" s="55">
        <f ca="1">IF(NOW()-TODAY()&gt;15/24, G90, [1]!s_dq_volume(B90,R$2,1))/$AI$2</f>
        <v>177</v>
      </c>
      <c r="AB90" s="39" t="s">
        <v>115</v>
      </c>
      <c r="AC90" s="29" t="str">
        <f>IF([1]!w_info_callput(AB90)="认购","C","P")</f>
        <v>P</v>
      </c>
      <c r="AD90" s="31">
        <f>[1]!w_info_strikeprice(AB90,"")</f>
        <v>4700</v>
      </c>
      <c r="AE90" s="18" t="str">
        <f>[1]!w_info_lasttradingdate(AB90)</f>
        <v>2020-06-19</v>
      </c>
      <c r="AF90" s="4">
        <f>RTD("wdf.rtq",,$AB90,F$5)</f>
        <v>1026</v>
      </c>
      <c r="AG90" s="53">
        <f>RTD("wdf.rtq",,$AB90,G$5)</f>
        <v>23</v>
      </c>
      <c r="AH90" s="4">
        <f>RTD("wdf.rtq",,$AB90,H$5)</f>
        <v>0</v>
      </c>
      <c r="AI90" s="53">
        <f>RTD("wdf.rtq",,$AB90,I$5)</f>
        <v>0</v>
      </c>
      <c r="AJ90" s="4">
        <f>RTD("wdf.rtq",,$AB90,J$5)</f>
        <v>1017</v>
      </c>
      <c r="AK90" s="54">
        <f>RTD("wdf.rtq",,$AB90,K$5)</f>
        <v>2</v>
      </c>
      <c r="AL90" s="4">
        <f>[1]!s_dq_presettle(AB90,"")</f>
        <v>1082</v>
      </c>
      <c r="AM90" s="6">
        <f t="shared" si="67"/>
        <v>0</v>
      </c>
      <c r="AN90" s="6">
        <f t="shared" si="68"/>
        <v>102600</v>
      </c>
      <c r="AO90" s="6">
        <f t="shared" si="69"/>
        <v>37571</v>
      </c>
      <c r="AP90" s="4">
        <f t="shared" si="70"/>
        <v>23500</v>
      </c>
      <c r="AQ90" s="8">
        <f t="shared" si="71"/>
        <v>140171.01</v>
      </c>
      <c r="AR90" s="55">
        <f ca="1">IF(NOW()-TODAY()&gt;15/24, AG90, [1]!s_dq_volume(AB90,AR$2,1))/AI$2</f>
        <v>0</v>
      </c>
      <c r="AS90" s="110"/>
      <c r="AT90" s="110"/>
      <c r="AU90" s="110"/>
      <c r="AV90" s="110"/>
      <c r="AY90" s="10"/>
      <c r="AZ90" s="10"/>
      <c r="BA90" s="6">
        <f t="shared" ca="1" si="91"/>
        <v>4729.1166666666777</v>
      </c>
      <c r="BB90" s="6">
        <f t="shared" ca="1" si="92"/>
        <v>4889.1166666666804</v>
      </c>
      <c r="BC90" s="6">
        <f t="shared" ca="1" si="93"/>
        <v>0</v>
      </c>
      <c r="BD90" s="12">
        <f t="shared" ca="1" si="94"/>
        <v>0</v>
      </c>
      <c r="BE90" s="2">
        <f t="shared" ca="1" si="72"/>
        <v>7.8243519935526501E-3</v>
      </c>
      <c r="BF90" s="2">
        <f t="shared" ca="1" si="73"/>
        <v>8.1011359971753915E-3</v>
      </c>
      <c r="BG90" s="2">
        <f t="shared" ca="1" si="74"/>
        <v>0</v>
      </c>
      <c r="BH90" s="13">
        <f t="shared" ca="1" si="75"/>
        <v>0</v>
      </c>
      <c r="BI90" s="2">
        <f t="shared" ca="1" si="76"/>
        <v>3.3598687972314321E-2</v>
      </c>
      <c r="BJ90" s="2">
        <f t="shared" ca="1" si="77"/>
        <v>3.4787231046694331E-2</v>
      </c>
      <c r="BK90" s="2">
        <f t="shared" ca="1" si="78"/>
        <v>0</v>
      </c>
      <c r="BL90" s="40">
        <f t="shared" ca="1" si="79"/>
        <v>0</v>
      </c>
      <c r="BN90" s="6">
        <f t="shared" ca="1" si="95"/>
        <v>-603.07000000001199</v>
      </c>
      <c r="BO90" s="6">
        <f t="shared" ca="1" si="96"/>
        <v>0</v>
      </c>
      <c r="BP90" s="6">
        <f t="shared" ca="1" si="97"/>
        <v>-763.11000000001422</v>
      </c>
      <c r="BQ90" s="12">
        <f t="shared" ca="1" si="98"/>
        <v>-763.07000000001426</v>
      </c>
      <c r="BR90" s="2">
        <f t="shared" ca="1" si="80"/>
        <v>-3.2126687407550572E-3</v>
      </c>
      <c r="BS90" s="2">
        <f t="shared" ca="1" si="81"/>
        <v>0</v>
      </c>
      <c r="BT90" s="2">
        <f t="shared" ca="1" si="82"/>
        <v>-4.0813209251251573E-3</v>
      </c>
      <c r="BU90" s="13">
        <f t="shared" ca="1" si="83"/>
        <v>-4.0811074307261557E-3</v>
      </c>
      <c r="BV90" s="2">
        <f t="shared" ca="1" si="84"/>
        <v>-1.3795577533830539E-2</v>
      </c>
      <c r="BW90" s="2">
        <f t="shared" ca="1" si="85"/>
        <v>0</v>
      </c>
      <c r="BX90" s="2">
        <f t="shared" ca="1" si="86"/>
        <v>-1.7525672207890381E-2</v>
      </c>
      <c r="BY90" s="13">
        <f t="shared" ca="1" si="87"/>
        <v>-1.7524755437824079E-2</v>
      </c>
      <c r="CF90" s="39" t="str">
        <f t="shared" si="88"/>
        <v>C2020-06-4700000.CFE</v>
      </c>
      <c r="CG90" s="39" t="str">
        <f t="shared" si="89"/>
        <v>P2020-06-4700000.CFE</v>
      </c>
      <c r="CH90" s="95" t="s">
        <v>100</v>
      </c>
      <c r="CI90" s="100" t="str">
        <f>IF([1]!w_info_callput(CH90)="认购","C","P")</f>
        <v>C</v>
      </c>
      <c r="CJ90" s="104">
        <f>[1]!w_info_strikeprice(CH90,"")</f>
        <v>4700</v>
      </c>
      <c r="CK90" s="102" t="str">
        <f>[1]!w_info_lasttradingdate(CH90)</f>
        <v>2020-06-19</v>
      </c>
      <c r="CL90" s="39" t="str">
        <f t="shared" si="90"/>
        <v>IO2006-P-4700.CFE</v>
      </c>
    </row>
    <row r="91" spans="1:90">
      <c r="B91" s="112" t="s">
        <v>351</v>
      </c>
      <c r="C91" s="29" t="str">
        <f>IF([1]!w_info_callput(B91)="认购","C","P")</f>
        <v>C</v>
      </c>
      <c r="D91" s="96">
        <f>[1]!w_info_strikeprice(B91,"")</f>
        <v>3200</v>
      </c>
      <c r="E91" s="18" t="str">
        <f>[1]!w_info_lasttradingdate(B91)</f>
        <v>2020-09-18</v>
      </c>
      <c r="F91" s="4">
        <f>IF(G91&gt;0,RTD("wdf.rtq",,$B91,F$5),0)</f>
        <v>0</v>
      </c>
      <c r="G91" s="53">
        <f>RTD("wdf.rtq",,$B91,G$5)</f>
        <v>0</v>
      </c>
      <c r="H91" s="4">
        <f>RTD("wdf.rtq",,$B91,H$5)</f>
        <v>0</v>
      </c>
      <c r="I91" s="53">
        <f>RTD("wdf.rtq",,$B91,I$5)</f>
        <v>0</v>
      </c>
      <c r="J91" s="4">
        <f>RTD("wdf.rtq",,$B91,J$5)</f>
        <v>0</v>
      </c>
      <c r="K91" s="54">
        <f>RTD("wdf.rtq",,$B91,K$5)</f>
        <v>0</v>
      </c>
      <c r="L91" s="4">
        <f>[1]!s_dq_presettle(B91,"")</f>
        <v>521.4</v>
      </c>
      <c r="M91" s="6">
        <f t="shared" si="62"/>
        <v>0</v>
      </c>
      <c r="N91" s="3">
        <f t="shared" si="63"/>
        <v>13280.000000000002</v>
      </c>
      <c r="O91" s="4">
        <f t="shared" si="64"/>
        <v>37571</v>
      </c>
      <c r="P91" s="4">
        <f t="shared" si="65"/>
        <v>16000</v>
      </c>
      <c r="Q91" s="8">
        <f t="shared" si="66"/>
        <v>50851.01</v>
      </c>
      <c r="R91" s="55">
        <f ca="1">IF(NOW()-TODAY()&gt;15/24, G91, [1]!s_dq_volume(B91,R$2,1))/$AI$2</f>
        <v>3</v>
      </c>
      <c r="AB91" s="39" t="s">
        <v>352</v>
      </c>
      <c r="AC91" s="29" t="str">
        <f>IF([1]!w_info_callput(AB91)="认购","C","P")</f>
        <v>P</v>
      </c>
      <c r="AD91" s="31">
        <f>[1]!w_info_strikeprice(AB91,"")</f>
        <v>3200</v>
      </c>
      <c r="AE91" s="18" t="str">
        <f>[1]!w_info_lasttradingdate(AB91)</f>
        <v>2020-09-18</v>
      </c>
      <c r="AF91" s="4">
        <f>RTD("wdf.rtq",,$AB91,F$5)</f>
        <v>132.80000000000001</v>
      </c>
      <c r="AG91" s="53">
        <f>RTD("wdf.rtq",,$AB91,G$5)</f>
        <v>2</v>
      </c>
      <c r="AH91" s="4">
        <f>RTD("wdf.rtq",,$AB91,H$5)</f>
        <v>2</v>
      </c>
      <c r="AI91" s="53">
        <f>RTD("wdf.rtq",,$AB91,I$5)</f>
        <v>1</v>
      </c>
      <c r="AJ91" s="4">
        <f>RTD("wdf.rtq",,$AB91,J$5)</f>
        <v>198.8</v>
      </c>
      <c r="AK91" s="54">
        <f>RTD("wdf.rtq",,$AB91,K$5)</f>
        <v>1</v>
      </c>
      <c r="AL91" s="4">
        <f>[1]!s_dq_presettle(AB91,"")</f>
        <v>136.19999999999999</v>
      </c>
      <c r="AM91" s="6">
        <f t="shared" si="67"/>
        <v>557.09999999999991</v>
      </c>
      <c r="AN91" s="6">
        <f t="shared" si="68"/>
        <v>13280.000000000002</v>
      </c>
      <c r="AO91" s="6">
        <f t="shared" si="69"/>
        <v>-18138.999999999985</v>
      </c>
      <c r="AP91" s="4">
        <f t="shared" si="70"/>
        <v>16000</v>
      </c>
      <c r="AQ91" s="8">
        <f t="shared" si="71"/>
        <v>29280.01</v>
      </c>
      <c r="AR91" s="55">
        <f ca="1">IF(NOW()-TODAY()&gt;15/24, AG91, [1]!s_dq_volume(AB91,AR$2,1))/AI$2</f>
        <v>26</v>
      </c>
      <c r="AS91" s="110"/>
      <c r="AT91" s="110"/>
      <c r="AU91" s="110"/>
      <c r="AV91" s="110"/>
      <c r="AY91" s="10"/>
      <c r="AZ91" s="10"/>
      <c r="BA91" s="6">
        <f t="shared" ca="1" si="91"/>
        <v>0</v>
      </c>
      <c r="BB91" s="6">
        <f t="shared" ca="1" si="92"/>
        <v>0</v>
      </c>
      <c r="BC91" s="6">
        <f t="shared" ca="1" si="93"/>
        <v>0</v>
      </c>
      <c r="BD91" s="12">
        <f t="shared" ca="1" si="94"/>
        <v>0</v>
      </c>
      <c r="BE91" s="2">
        <f t="shared" ca="1" si="72"/>
        <v>0</v>
      </c>
      <c r="BF91" s="2">
        <f t="shared" ca="1" si="73"/>
        <v>0</v>
      </c>
      <c r="BG91" s="2">
        <f t="shared" ca="1" si="74"/>
        <v>0</v>
      </c>
      <c r="BH91" s="13">
        <f t="shared" ca="1" si="75"/>
        <v>0</v>
      </c>
      <c r="BI91" s="2">
        <f t="shared" ca="1" si="76"/>
        <v>0</v>
      </c>
      <c r="BJ91" s="2">
        <f t="shared" ca="1" si="77"/>
        <v>0</v>
      </c>
      <c r="BK91" s="2">
        <f t="shared" ca="1" si="78"/>
        <v>0</v>
      </c>
      <c r="BL91" s="40">
        <f t="shared" ca="1" si="79"/>
        <v>0</v>
      </c>
      <c r="BN91" s="6">
        <f t="shared" ca="1" si="95"/>
        <v>0</v>
      </c>
      <c r="BO91" s="6">
        <f t="shared" ca="1" si="96"/>
        <v>0</v>
      </c>
      <c r="BP91" s="6">
        <f t="shared" ca="1" si="97"/>
        <v>0</v>
      </c>
      <c r="BQ91" s="12">
        <f t="shared" ca="1" si="98"/>
        <v>0</v>
      </c>
      <c r="BR91" s="2">
        <f t="shared" ca="1" si="80"/>
        <v>0</v>
      </c>
      <c r="BS91" s="2">
        <f t="shared" ca="1" si="81"/>
        <v>0</v>
      </c>
      <c r="BT91" s="2">
        <f t="shared" ca="1" si="82"/>
        <v>0</v>
      </c>
      <c r="BU91" s="13">
        <f t="shared" ca="1" si="83"/>
        <v>0</v>
      </c>
      <c r="BV91" s="2">
        <f t="shared" ca="1" si="84"/>
        <v>0</v>
      </c>
      <c r="BW91" s="2">
        <f t="shared" ca="1" si="85"/>
        <v>0</v>
      </c>
      <c r="BX91" s="2">
        <f t="shared" ca="1" si="86"/>
        <v>0</v>
      </c>
      <c r="BY91" s="13">
        <f t="shared" ca="1" si="87"/>
        <v>0</v>
      </c>
      <c r="CF91" s="39" t="str">
        <f t="shared" si="88"/>
        <v>C2020-09-3200000.CFE</v>
      </c>
      <c r="CG91" s="39" t="str">
        <f t="shared" si="89"/>
        <v>P2020-09-3200000.CFE</v>
      </c>
      <c r="CH91" s="95" t="s">
        <v>351</v>
      </c>
      <c r="CI91" s="100" t="str">
        <f>IF([1]!w_info_callput(CH91)="认购","C","P")</f>
        <v>C</v>
      </c>
      <c r="CJ91" s="104">
        <f>[1]!w_info_strikeprice(CH91,"")</f>
        <v>3200</v>
      </c>
      <c r="CK91" s="102" t="str">
        <f>[1]!w_info_lasttradingdate(CH91)</f>
        <v>2020-09-18</v>
      </c>
      <c r="CL91" s="39" t="str">
        <f t="shared" si="90"/>
        <v>IO2009-P-3200.CFE</v>
      </c>
    </row>
    <row r="92" spans="1:90">
      <c r="B92" s="112" t="s">
        <v>116</v>
      </c>
      <c r="C92" s="29" t="str">
        <f>IF([1]!w_info_callput(B92)="认购","C","P")</f>
        <v>C</v>
      </c>
      <c r="D92" s="96">
        <f>[1]!w_info_strikeprice(B92,"")</f>
        <v>3300</v>
      </c>
      <c r="E92" s="18" t="str">
        <f>[1]!w_info_lasttradingdate(B92)</f>
        <v>2020-09-18</v>
      </c>
      <c r="F92" s="4">
        <f>IF(G92&gt;0,RTD("wdf.rtq",,$B92,F$5),0)</f>
        <v>482.2</v>
      </c>
      <c r="G92" s="53">
        <f>RTD("wdf.rtq",,$B92,G$5)</f>
        <v>2</v>
      </c>
      <c r="H92" s="4">
        <f>RTD("wdf.rtq",,$B92,H$5)</f>
        <v>0</v>
      </c>
      <c r="I92" s="53">
        <f>RTD("wdf.rtq",,$B92,I$5)</f>
        <v>0</v>
      </c>
      <c r="J92" s="4">
        <f>RTD("wdf.rtq",,$B92,J$5)</f>
        <v>0</v>
      </c>
      <c r="K92" s="54">
        <f>RTD("wdf.rtq",,$B92,K$5)</f>
        <v>0</v>
      </c>
      <c r="L92" s="4">
        <f>[1]!s_dq_presettle(B92,"")</f>
        <v>454.8</v>
      </c>
      <c r="M92" s="6">
        <f t="shared" si="62"/>
        <v>0</v>
      </c>
      <c r="N92" s="3">
        <f t="shared" si="63"/>
        <v>15200</v>
      </c>
      <c r="O92" s="4">
        <f t="shared" si="64"/>
        <v>37571</v>
      </c>
      <c r="P92" s="4">
        <f t="shared" si="65"/>
        <v>16500</v>
      </c>
      <c r="Q92" s="8">
        <f t="shared" si="66"/>
        <v>52771.01</v>
      </c>
      <c r="R92" s="55">
        <f ca="1">IF(NOW()-TODAY()&gt;15/24, G92, [1]!s_dq_volume(B92,R$2,1))/$AI$2</f>
        <v>16</v>
      </c>
      <c r="AB92" s="39" t="s">
        <v>131</v>
      </c>
      <c r="AC92" s="29" t="str">
        <f>IF([1]!w_info_callput(AB92)="认购","C","P")</f>
        <v>P</v>
      </c>
      <c r="AD92" s="31">
        <f>[1]!w_info_strikeprice(AB92,"")</f>
        <v>3300</v>
      </c>
      <c r="AE92" s="18" t="str">
        <f>[1]!w_info_lasttradingdate(AB92)</f>
        <v>2020-09-18</v>
      </c>
      <c r="AF92" s="4">
        <f>RTD("wdf.rtq",,$AB92,F$5)</f>
        <v>152</v>
      </c>
      <c r="AG92" s="53">
        <f>RTD("wdf.rtq",,$AB92,G$5)</f>
        <v>9</v>
      </c>
      <c r="AH92" s="4">
        <f>RTD("wdf.rtq",,$AB92,H$5)</f>
        <v>130</v>
      </c>
      <c r="AI92" s="53">
        <f>RTD("wdf.rtq",,$AB92,I$5)</f>
        <v>1</v>
      </c>
      <c r="AJ92" s="4">
        <f>RTD("wdf.rtq",,$AB92,J$5)</f>
        <v>228.8</v>
      </c>
      <c r="AK92" s="54">
        <f>RTD("wdf.rtq",,$AB92,K$5)</f>
        <v>1</v>
      </c>
      <c r="AL92" s="4">
        <f>[1]!s_dq_presettle(AB92,"")</f>
        <v>166.8</v>
      </c>
      <c r="AM92" s="6">
        <f t="shared" si="67"/>
        <v>457.09999999999991</v>
      </c>
      <c r="AN92" s="6">
        <f t="shared" si="68"/>
        <v>15200</v>
      </c>
      <c r="AO92" s="6">
        <f t="shared" si="69"/>
        <v>-8138.9999999999873</v>
      </c>
      <c r="AP92" s="4">
        <f t="shared" si="70"/>
        <v>16500</v>
      </c>
      <c r="AQ92" s="8">
        <f t="shared" si="71"/>
        <v>31700.01</v>
      </c>
      <c r="AR92" s="55">
        <f ca="1">IF(NOW()-TODAY()&gt;15/24, AG92, [1]!s_dq_volume(AB92,AR$2,1))/AI$2</f>
        <v>25</v>
      </c>
      <c r="AS92" s="110"/>
      <c r="AT92" s="110"/>
      <c r="AU92" s="110"/>
      <c r="AV92" s="110"/>
      <c r="AY92" s="10"/>
      <c r="AZ92" s="10"/>
      <c r="BA92" s="6">
        <f t="shared" ca="1" si="91"/>
        <v>9285.6533333333391</v>
      </c>
      <c r="BB92" s="6">
        <f t="shared" ca="1" si="92"/>
        <v>0</v>
      </c>
      <c r="BC92" s="6">
        <f t="shared" ca="1" si="93"/>
        <v>0</v>
      </c>
      <c r="BD92" s="12">
        <f t="shared" ca="1" si="94"/>
        <v>0</v>
      </c>
      <c r="BE92" s="2">
        <f t="shared" ca="1" si="72"/>
        <v>2.0928669751570705E-2</v>
      </c>
      <c r="BF92" s="2">
        <f t="shared" ca="1" si="73"/>
        <v>0</v>
      </c>
      <c r="BG92" s="2">
        <f t="shared" ca="1" si="74"/>
        <v>0</v>
      </c>
      <c r="BH92" s="13">
        <f t="shared" ca="1" si="75"/>
        <v>0</v>
      </c>
      <c r="BI92" s="2">
        <f t="shared" ca="1" si="76"/>
        <v>4.3403207155246065E-2</v>
      </c>
      <c r="BJ92" s="2">
        <f t="shared" ca="1" si="77"/>
        <v>0</v>
      </c>
      <c r="BK92" s="2">
        <f t="shared" ca="1" si="78"/>
        <v>0</v>
      </c>
      <c r="BL92" s="40">
        <f t="shared" ca="1" si="79"/>
        <v>0</v>
      </c>
      <c r="BN92" s="6">
        <f t="shared" ca="1" si="95"/>
        <v>-600.99200000000826</v>
      </c>
      <c r="BO92" s="6">
        <f t="shared" ca="1" si="96"/>
        <v>0</v>
      </c>
      <c r="BP92" s="6">
        <f t="shared" ca="1" si="97"/>
        <v>0</v>
      </c>
      <c r="BQ92" s="12">
        <f t="shared" ca="1" si="98"/>
        <v>0</v>
      </c>
      <c r="BR92" s="2">
        <f t="shared" ca="1" si="80"/>
        <v>-4.8077356135796927E-3</v>
      </c>
      <c r="BS92" s="2">
        <f t="shared" ca="1" si="81"/>
        <v>0</v>
      </c>
      <c r="BT92" s="2">
        <f t="shared" ca="1" si="82"/>
        <v>0</v>
      </c>
      <c r="BU92" s="13">
        <f t="shared" ca="1" si="83"/>
        <v>0</v>
      </c>
      <c r="BV92" s="2">
        <f t="shared" ca="1" si="84"/>
        <v>-9.9705880622533404E-3</v>
      </c>
      <c r="BW92" s="2">
        <f t="shared" ca="1" si="85"/>
        <v>0</v>
      </c>
      <c r="BX92" s="2">
        <f t="shared" ca="1" si="86"/>
        <v>0</v>
      </c>
      <c r="BY92" s="13">
        <f t="shared" ca="1" si="87"/>
        <v>0</v>
      </c>
      <c r="CF92" s="39" t="str">
        <f t="shared" si="88"/>
        <v>C2020-09-3300000.CFE</v>
      </c>
      <c r="CG92" s="39" t="str">
        <f t="shared" si="89"/>
        <v>P2020-09-3300000.CFE</v>
      </c>
      <c r="CH92" s="95" t="s">
        <v>116</v>
      </c>
      <c r="CI92" s="100" t="str">
        <f>IF([1]!w_info_callput(CH92)="认购","C","P")</f>
        <v>C</v>
      </c>
      <c r="CJ92" s="104">
        <f>[1]!w_info_strikeprice(CH92,"")</f>
        <v>3300</v>
      </c>
      <c r="CK92" s="102" t="str">
        <f>[1]!w_info_lasttradingdate(CH92)</f>
        <v>2020-09-18</v>
      </c>
      <c r="CL92" s="39" t="str">
        <f t="shared" si="90"/>
        <v>IO2009-P-3300.CFE</v>
      </c>
    </row>
    <row r="93" spans="1:90">
      <c r="B93" s="112" t="s">
        <v>117</v>
      </c>
      <c r="C93" s="29" t="str">
        <f>IF([1]!w_info_callput(B93)="认购","C","P")</f>
        <v>C</v>
      </c>
      <c r="D93" s="96">
        <f>[1]!w_info_strikeprice(B93,"")</f>
        <v>3400</v>
      </c>
      <c r="E93" s="18" t="str">
        <f>[1]!w_info_lasttradingdate(B93)</f>
        <v>2020-09-18</v>
      </c>
      <c r="F93" s="4">
        <f>IF(G93&gt;0,RTD("wdf.rtq",,$B93,F$5),0)</f>
        <v>0</v>
      </c>
      <c r="G93" s="53">
        <f>RTD("wdf.rtq",,$B93,G$5)</f>
        <v>0</v>
      </c>
      <c r="H93" s="4">
        <f>RTD("wdf.rtq",,$B93,H$5)</f>
        <v>0</v>
      </c>
      <c r="I93" s="53">
        <f>RTD("wdf.rtq",,$B93,I$5)</f>
        <v>0</v>
      </c>
      <c r="J93" s="4">
        <f>RTD("wdf.rtq",,$B93,J$5)</f>
        <v>0</v>
      </c>
      <c r="K93" s="54">
        <f>RTD("wdf.rtq",,$B93,K$5)</f>
        <v>0</v>
      </c>
      <c r="L93" s="4">
        <f>[1]!s_dq_presettle(B93,"")</f>
        <v>392.4</v>
      </c>
      <c r="M93" s="6">
        <f t="shared" si="62"/>
        <v>0</v>
      </c>
      <c r="N93" s="3">
        <f t="shared" si="63"/>
        <v>19100</v>
      </c>
      <c r="O93" s="4">
        <f t="shared" si="64"/>
        <v>37571</v>
      </c>
      <c r="P93" s="4">
        <f t="shared" si="65"/>
        <v>17000</v>
      </c>
      <c r="Q93" s="8">
        <f t="shared" si="66"/>
        <v>56671.01</v>
      </c>
      <c r="R93" s="55">
        <f ca="1">IF(NOW()-TODAY()&gt;15/24, G93, [1]!s_dq_volume(B93,R$2,1))/$AI$2</f>
        <v>0</v>
      </c>
      <c r="AB93" s="39" t="s">
        <v>132</v>
      </c>
      <c r="AC93" s="29" t="str">
        <f>IF([1]!w_info_callput(AB93)="认购","C","P")</f>
        <v>P</v>
      </c>
      <c r="AD93" s="31">
        <f>[1]!w_info_strikeprice(AB93,"")</f>
        <v>3400</v>
      </c>
      <c r="AE93" s="18" t="str">
        <f>[1]!w_info_lasttradingdate(AB93)</f>
        <v>2020-09-18</v>
      </c>
      <c r="AF93" s="4">
        <f>RTD("wdf.rtq",,$AB93,F$5)</f>
        <v>191</v>
      </c>
      <c r="AG93" s="53">
        <f>RTD("wdf.rtq",,$AB93,G$5)</f>
        <v>3</v>
      </c>
      <c r="AH93" s="4">
        <f>RTD("wdf.rtq",,$AB93,H$5)</f>
        <v>100</v>
      </c>
      <c r="AI93" s="53">
        <f>RTD("wdf.rtq",,$AB93,I$5)</f>
        <v>16</v>
      </c>
      <c r="AJ93" s="4">
        <f>RTD("wdf.rtq",,$AB93,J$5)</f>
        <v>0</v>
      </c>
      <c r="AK93" s="54">
        <f>RTD("wdf.rtq",,$AB93,K$5)</f>
        <v>0</v>
      </c>
      <c r="AL93" s="4">
        <f>[1]!s_dq_presettle(AB93,"")</f>
        <v>203.8</v>
      </c>
      <c r="AM93" s="6">
        <f t="shared" si="67"/>
        <v>357.09999999999991</v>
      </c>
      <c r="AN93" s="6">
        <f t="shared" si="68"/>
        <v>19100</v>
      </c>
      <c r="AO93" s="6">
        <f t="shared" si="69"/>
        <v>1861.0000000000127</v>
      </c>
      <c r="AP93" s="4">
        <f t="shared" si="70"/>
        <v>17000</v>
      </c>
      <c r="AQ93" s="8">
        <f t="shared" si="71"/>
        <v>36100.01</v>
      </c>
      <c r="AR93" s="55">
        <f ca="1">IF(NOW()-TODAY()&gt;15/24, AG93, [1]!s_dq_volume(AB93,AR$2,1))/AI$2</f>
        <v>8</v>
      </c>
      <c r="AS93" s="110"/>
      <c r="AT93" s="110"/>
      <c r="AU93" s="110"/>
      <c r="AV93" s="110"/>
      <c r="AY93" s="10"/>
      <c r="AZ93" s="10"/>
      <c r="BA93" s="6">
        <f t="shared" ca="1" si="91"/>
        <v>0</v>
      </c>
      <c r="BB93" s="6">
        <f t="shared" ca="1" si="92"/>
        <v>0</v>
      </c>
      <c r="BC93" s="6">
        <f t="shared" ca="1" si="93"/>
        <v>0</v>
      </c>
      <c r="BD93" s="12">
        <f t="shared" ca="1" si="94"/>
        <v>0</v>
      </c>
      <c r="BE93" s="2">
        <f t="shared" ca="1" si="72"/>
        <v>0</v>
      </c>
      <c r="BF93" s="2">
        <f t="shared" ca="1" si="73"/>
        <v>0</v>
      </c>
      <c r="BG93" s="2">
        <f t="shared" ca="1" si="74"/>
        <v>0</v>
      </c>
      <c r="BH93" s="13">
        <f t="shared" ca="1" si="75"/>
        <v>0</v>
      </c>
      <c r="BI93" s="2">
        <f t="shared" ca="1" si="76"/>
        <v>0</v>
      </c>
      <c r="BJ93" s="2">
        <f t="shared" ca="1" si="77"/>
        <v>0</v>
      </c>
      <c r="BK93" s="2">
        <f t="shared" ca="1" si="78"/>
        <v>0</v>
      </c>
      <c r="BL93" s="40">
        <f t="shared" ca="1" si="79"/>
        <v>0</v>
      </c>
      <c r="BN93" s="6">
        <f t="shared" ca="1" si="95"/>
        <v>0</v>
      </c>
      <c r="BO93" s="6">
        <f t="shared" ca="1" si="96"/>
        <v>0</v>
      </c>
      <c r="BP93" s="6">
        <f t="shared" ca="1" si="97"/>
        <v>0</v>
      </c>
      <c r="BQ93" s="12">
        <f t="shared" ca="1" si="98"/>
        <v>0</v>
      </c>
      <c r="BR93" s="2">
        <f t="shared" ca="1" si="80"/>
        <v>0</v>
      </c>
      <c r="BS93" s="2">
        <f t="shared" ca="1" si="81"/>
        <v>0</v>
      </c>
      <c r="BT93" s="2">
        <f t="shared" ca="1" si="82"/>
        <v>0</v>
      </c>
      <c r="BU93" s="13">
        <f t="shared" ca="1" si="83"/>
        <v>0</v>
      </c>
      <c r="BV93" s="2">
        <f t="shared" ca="1" si="84"/>
        <v>0</v>
      </c>
      <c r="BW93" s="2">
        <f t="shared" ca="1" si="85"/>
        <v>0</v>
      </c>
      <c r="BX93" s="2">
        <f t="shared" ca="1" si="86"/>
        <v>0</v>
      </c>
      <c r="BY93" s="13">
        <f t="shared" ca="1" si="87"/>
        <v>0</v>
      </c>
      <c r="CF93" s="39" t="str">
        <f t="shared" si="88"/>
        <v>C2020-09-3400000.CFE</v>
      </c>
      <c r="CG93" s="39" t="str">
        <f t="shared" si="89"/>
        <v>P2020-09-3400000.CFE</v>
      </c>
      <c r="CH93" s="95" t="s">
        <v>117</v>
      </c>
      <c r="CI93" s="100" t="str">
        <f>IF([1]!w_info_callput(CH93)="认购","C","P")</f>
        <v>C</v>
      </c>
      <c r="CJ93" s="104">
        <f>[1]!w_info_strikeprice(CH93,"")</f>
        <v>3400</v>
      </c>
      <c r="CK93" s="102" t="str">
        <f>[1]!w_info_lasttradingdate(CH93)</f>
        <v>2020-09-18</v>
      </c>
      <c r="CL93" s="39" t="str">
        <f t="shared" si="90"/>
        <v>IO2009-P-3400.CFE</v>
      </c>
    </row>
    <row r="94" spans="1:90">
      <c r="B94" s="112" t="s">
        <v>118</v>
      </c>
      <c r="C94" s="29" t="str">
        <f>IF([1]!w_info_callput(B94)="认购","C","P")</f>
        <v>C</v>
      </c>
      <c r="D94" s="96">
        <f>[1]!w_info_strikeprice(B94,"")</f>
        <v>3500</v>
      </c>
      <c r="E94" s="18" t="str">
        <f>[1]!w_info_lasttradingdate(B94)</f>
        <v>2020-09-18</v>
      </c>
      <c r="F94" s="4">
        <f>IF(G94&gt;0,RTD("wdf.rtq",,$B94,F$5),0)</f>
        <v>358</v>
      </c>
      <c r="G94" s="53">
        <f>RTD("wdf.rtq",,$B94,G$5)</f>
        <v>2</v>
      </c>
      <c r="H94" s="4">
        <f>RTD("wdf.rtq",,$B94,H$5)</f>
        <v>2</v>
      </c>
      <c r="I94" s="53">
        <f>RTD("wdf.rtq",,$B94,I$5)</f>
        <v>1</v>
      </c>
      <c r="J94" s="4">
        <f>RTD("wdf.rtq",,$B94,J$5)</f>
        <v>419</v>
      </c>
      <c r="K94" s="54">
        <f>RTD("wdf.rtq",,$B94,K$5)</f>
        <v>1</v>
      </c>
      <c r="L94" s="4">
        <f>[1]!s_dq_presettle(B94,"")</f>
        <v>337.2</v>
      </c>
      <c r="M94" s="6">
        <f t="shared" si="62"/>
        <v>0</v>
      </c>
      <c r="N94" s="3">
        <f t="shared" si="63"/>
        <v>23180</v>
      </c>
      <c r="O94" s="4">
        <f t="shared" si="64"/>
        <v>37571</v>
      </c>
      <c r="P94" s="4">
        <f t="shared" si="65"/>
        <v>17500</v>
      </c>
      <c r="Q94" s="8">
        <f t="shared" si="66"/>
        <v>60751.01</v>
      </c>
      <c r="R94" s="55">
        <f ca="1">IF(NOW()-TODAY()&gt;15/24, G94, [1]!s_dq_volume(B94,R$2,1))/$AI$2</f>
        <v>22</v>
      </c>
      <c r="AB94" s="39" t="s">
        <v>133</v>
      </c>
      <c r="AC94" s="29" t="str">
        <f>IF([1]!w_info_callput(AB94)="认购","C","P")</f>
        <v>P</v>
      </c>
      <c r="AD94" s="31">
        <f>[1]!w_info_strikeprice(AB94,"")</f>
        <v>3500</v>
      </c>
      <c r="AE94" s="18" t="str">
        <f>[1]!w_info_lasttradingdate(AB94)</f>
        <v>2020-09-18</v>
      </c>
      <c r="AF94" s="4">
        <f>RTD("wdf.rtq",,$AB94,F$5)</f>
        <v>231.8</v>
      </c>
      <c r="AG94" s="53">
        <f>RTD("wdf.rtq",,$AB94,G$5)</f>
        <v>6</v>
      </c>
      <c r="AH94" s="4">
        <f>RTD("wdf.rtq",,$AB94,H$5)</f>
        <v>179.8</v>
      </c>
      <c r="AI94" s="53">
        <f>RTD("wdf.rtq",,$AB94,I$5)</f>
        <v>2</v>
      </c>
      <c r="AJ94" s="4">
        <f>RTD("wdf.rtq",,$AB94,J$5)</f>
        <v>0</v>
      </c>
      <c r="AK94" s="54">
        <f>RTD("wdf.rtq",,$AB94,K$5)</f>
        <v>0</v>
      </c>
      <c r="AL94" s="4">
        <f>[1]!s_dq_presettle(AB94,"")</f>
        <v>248.6</v>
      </c>
      <c r="AM94" s="6">
        <f t="shared" si="67"/>
        <v>257.09999999999991</v>
      </c>
      <c r="AN94" s="6">
        <f t="shared" si="68"/>
        <v>23180</v>
      </c>
      <c r="AO94" s="6">
        <f t="shared" si="69"/>
        <v>11861.000000000013</v>
      </c>
      <c r="AP94" s="4">
        <f t="shared" si="70"/>
        <v>17500</v>
      </c>
      <c r="AQ94" s="8">
        <f t="shared" si="71"/>
        <v>40680.01</v>
      </c>
      <c r="AR94" s="55">
        <f ca="1">IF(NOW()-TODAY()&gt;15/24, AG94, [1]!s_dq_volume(AB94,AR$2,1))/AI$2</f>
        <v>16</v>
      </c>
      <c r="AS94" s="110"/>
      <c r="AT94" s="110"/>
      <c r="AU94" s="110"/>
      <c r="AV94" s="110"/>
      <c r="AY94" s="10"/>
      <c r="AZ94" s="10"/>
      <c r="BA94" s="6">
        <f t="shared" ca="1" si="91"/>
        <v>8885.6533333333391</v>
      </c>
      <c r="BB94" s="6">
        <f t="shared" ca="1" si="92"/>
        <v>0</v>
      </c>
      <c r="BC94" s="6">
        <f t="shared" ca="1" si="93"/>
        <v>20185.613333333338</v>
      </c>
      <c r="BD94" s="12">
        <f t="shared" ca="1" si="94"/>
        <v>20185.653333333339</v>
      </c>
      <c r="BE94" s="2">
        <f t="shared" ca="1" si="72"/>
        <v>1.9331724411042736E-2</v>
      </c>
      <c r="BF94" s="2">
        <f t="shared" ca="1" si="73"/>
        <v>0</v>
      </c>
      <c r="BG94" s="2">
        <f t="shared" ca="1" si="74"/>
        <v>4.4418553785368672E-2</v>
      </c>
      <c r="BH94" s="13">
        <f t="shared" ca="1" si="75"/>
        <v>4.4418643760459335E-2</v>
      </c>
      <c r="BI94" s="2">
        <f t="shared" ca="1" si="76"/>
        <v>4.0091360284264764E-2</v>
      </c>
      <c r="BJ94" s="2">
        <f t="shared" ca="1" si="77"/>
        <v>0</v>
      </c>
      <c r="BK94" s="2">
        <f t="shared" ca="1" si="78"/>
        <v>9.2118023475338442E-2</v>
      </c>
      <c r="BL94" s="40">
        <f t="shared" ca="1" si="79"/>
        <v>9.2118210071407136E-2</v>
      </c>
      <c r="BN94" s="6">
        <f t="shared" ca="1" si="95"/>
        <v>-200.99200000000826</v>
      </c>
      <c r="BO94" s="6">
        <f t="shared" ca="1" si="96"/>
        <v>-11500.992000000007</v>
      </c>
      <c r="BP94" s="6">
        <f t="shared" ca="1" si="97"/>
        <v>0</v>
      </c>
      <c r="BQ94" s="12">
        <f t="shared" ca="1" si="98"/>
        <v>0</v>
      </c>
      <c r="BR94" s="2">
        <f t="shared" ca="1" si="80"/>
        <v>-1.6533677686240025E-3</v>
      </c>
      <c r="BS94" s="2">
        <f t="shared" ca="1" si="81"/>
        <v>-9.0087127103774062E-2</v>
      </c>
      <c r="BT94" s="2">
        <f t="shared" ca="1" si="82"/>
        <v>0</v>
      </c>
      <c r="BU94" s="13">
        <f t="shared" ca="1" si="83"/>
        <v>0</v>
      </c>
      <c r="BV94" s="2">
        <f t="shared" ca="1" si="84"/>
        <v>-3.4288592928850056E-3</v>
      </c>
      <c r="BW94" s="2">
        <f t="shared" ca="1" si="85"/>
        <v>-0.18682841700498598</v>
      </c>
      <c r="BX94" s="2">
        <f t="shared" ca="1" si="86"/>
        <v>0</v>
      </c>
      <c r="BY94" s="13">
        <f t="shared" ca="1" si="87"/>
        <v>0</v>
      </c>
      <c r="CF94" s="39" t="str">
        <f t="shared" si="88"/>
        <v>C2020-09-3500000.CFE</v>
      </c>
      <c r="CG94" s="39" t="str">
        <f t="shared" si="89"/>
        <v>P2020-09-3500000.CFE</v>
      </c>
      <c r="CH94" s="95" t="s">
        <v>118</v>
      </c>
      <c r="CI94" s="100" t="str">
        <f>IF([1]!w_info_callput(CH94)="认购","C","P")</f>
        <v>C</v>
      </c>
      <c r="CJ94" s="104">
        <f>[1]!w_info_strikeprice(CH94,"")</f>
        <v>3500</v>
      </c>
      <c r="CK94" s="102" t="str">
        <f>[1]!w_info_lasttradingdate(CH94)</f>
        <v>2020-09-18</v>
      </c>
      <c r="CL94" s="39" t="str">
        <f t="shared" si="90"/>
        <v>IO2009-P-3500.CFE</v>
      </c>
    </row>
    <row r="95" spans="1:90">
      <c r="B95" s="112" t="s">
        <v>119</v>
      </c>
      <c r="C95" s="29" t="str">
        <f>IF([1]!w_info_callput(B95)="认购","C","P")</f>
        <v>C</v>
      </c>
      <c r="D95" s="96">
        <f>[1]!w_info_strikeprice(B95,"")</f>
        <v>3600</v>
      </c>
      <c r="E95" s="18" t="str">
        <f>[1]!w_info_lasttradingdate(B95)</f>
        <v>2020-09-18</v>
      </c>
      <c r="F95" s="4">
        <f>IF(G95&gt;0,RTD("wdf.rtq",,$B95,F$5),0)</f>
        <v>320.8</v>
      </c>
      <c r="G95" s="53">
        <f>RTD("wdf.rtq",,$B95,G$5)</f>
        <v>7</v>
      </c>
      <c r="H95" s="4">
        <f>RTD("wdf.rtq",,$B95,H$5)</f>
        <v>2</v>
      </c>
      <c r="I95" s="53">
        <f>RTD("wdf.rtq",,$B95,I$5)</f>
        <v>1</v>
      </c>
      <c r="J95" s="4">
        <f>RTD("wdf.rtq",,$B95,J$5)</f>
        <v>0</v>
      </c>
      <c r="K95" s="54">
        <f>RTD("wdf.rtq",,$B95,K$5)</f>
        <v>0</v>
      </c>
      <c r="L95" s="4">
        <f>[1]!s_dq_presettle(B95,"")</f>
        <v>287.39999999999998</v>
      </c>
      <c r="M95" s="6">
        <f t="shared" si="62"/>
        <v>0</v>
      </c>
      <c r="N95" s="3">
        <f t="shared" si="63"/>
        <v>27239.999999999996</v>
      </c>
      <c r="O95" s="4">
        <f t="shared" si="64"/>
        <v>37571</v>
      </c>
      <c r="P95" s="4">
        <f t="shared" si="65"/>
        <v>18000</v>
      </c>
      <c r="Q95" s="8">
        <f t="shared" si="66"/>
        <v>64811.01</v>
      </c>
      <c r="R95" s="55">
        <f ca="1">IF(NOW()-TODAY()&gt;15/24, G95, [1]!s_dq_volume(B95,R$2,1))/$AI$2</f>
        <v>9</v>
      </c>
      <c r="AB95" s="39" t="s">
        <v>134</v>
      </c>
      <c r="AC95" s="29" t="str">
        <f>IF([1]!w_info_callput(AB95)="认购","C","P")</f>
        <v>P</v>
      </c>
      <c r="AD95" s="31">
        <f>[1]!w_info_strikeprice(AB95,"")</f>
        <v>3600</v>
      </c>
      <c r="AE95" s="18" t="str">
        <f>[1]!w_info_lasttradingdate(AB95)</f>
        <v>2020-09-18</v>
      </c>
      <c r="AF95" s="4">
        <f>RTD("wdf.rtq",,$AB95,F$5)</f>
        <v>272.39999999999998</v>
      </c>
      <c r="AG95" s="53">
        <f>RTD("wdf.rtq",,$AB95,G$5)</f>
        <v>28</v>
      </c>
      <c r="AH95" s="4">
        <f>RTD("wdf.rtq",,$AB95,H$5)</f>
        <v>10</v>
      </c>
      <c r="AI95" s="53">
        <f>RTD("wdf.rtq",,$AB95,I$5)</f>
        <v>1</v>
      </c>
      <c r="AJ95" s="4">
        <f>RTD("wdf.rtq",,$AB95,J$5)</f>
        <v>282.8</v>
      </c>
      <c r="AK95" s="54">
        <f>RTD("wdf.rtq",,$AB95,K$5)</f>
        <v>1</v>
      </c>
      <c r="AL95" s="4">
        <f>[1]!s_dq_presettle(AB95,"")</f>
        <v>296.60000000000002</v>
      </c>
      <c r="AM95" s="6">
        <f t="shared" si="67"/>
        <v>157.09999999999991</v>
      </c>
      <c r="AN95" s="6">
        <f t="shared" si="68"/>
        <v>27239.999999999996</v>
      </c>
      <c r="AO95" s="6">
        <f t="shared" si="69"/>
        <v>21861.000000000015</v>
      </c>
      <c r="AP95" s="4">
        <f t="shared" si="70"/>
        <v>18000</v>
      </c>
      <c r="AQ95" s="8">
        <f t="shared" si="71"/>
        <v>49101.010000000017</v>
      </c>
      <c r="AR95" s="55">
        <f ca="1">IF(NOW()-TODAY()&gt;15/24, AG95, [1]!s_dq_volume(AB95,AR$2,1))/AI$2</f>
        <v>37</v>
      </c>
      <c r="AS95" s="110"/>
      <c r="AT95" s="110"/>
      <c r="AU95" s="110"/>
      <c r="AV95" s="110"/>
      <c r="AY95" s="10"/>
      <c r="AZ95" s="10"/>
      <c r="BA95" s="6">
        <f t="shared" ca="1" si="91"/>
        <v>11105.653333333345</v>
      </c>
      <c r="BB95" s="6">
        <f t="shared" ca="1" si="92"/>
        <v>-21814.346666666661</v>
      </c>
      <c r="BC95" s="6">
        <f t="shared" ca="1" si="93"/>
        <v>0</v>
      </c>
      <c r="BD95" s="12">
        <f t="shared" ca="1" si="94"/>
        <v>0</v>
      </c>
      <c r="BE95" s="2">
        <f t="shared" ca="1" si="72"/>
        <v>2.3742152714552555E-2</v>
      </c>
      <c r="BF95" s="2">
        <f t="shared" ca="1" si="73"/>
        <v>-4.6532209191841672E-2</v>
      </c>
      <c r="BG95" s="2">
        <f t="shared" ca="1" si="74"/>
        <v>0</v>
      </c>
      <c r="BH95" s="13">
        <f t="shared" ca="1" si="75"/>
        <v>0</v>
      </c>
      <c r="BI95" s="2">
        <f t="shared" ca="1" si="76"/>
        <v>4.923798716370275E-2</v>
      </c>
      <c r="BJ95" s="2">
        <f t="shared" ca="1" si="77"/>
        <v>-9.6501456562626195E-2</v>
      </c>
      <c r="BK95" s="2">
        <f t="shared" ca="1" si="78"/>
        <v>0</v>
      </c>
      <c r="BL95" s="40">
        <f t="shared" ca="1" si="79"/>
        <v>0</v>
      </c>
      <c r="BN95" s="6">
        <f t="shared" ca="1" si="95"/>
        <v>-2420.9920000000129</v>
      </c>
      <c r="BO95" s="6">
        <f t="shared" ca="1" si="96"/>
        <v>0</v>
      </c>
      <c r="BP95" s="6">
        <f t="shared" ca="1" si="97"/>
        <v>30498.967999999986</v>
      </c>
      <c r="BQ95" s="12">
        <f t="shared" ca="1" si="98"/>
        <v>30499.007999999987</v>
      </c>
      <c r="BR95" s="2">
        <f t="shared" ca="1" si="80"/>
        <v>-1.9173712428685492E-2</v>
      </c>
      <c r="BS95" s="2">
        <f t="shared" ca="1" si="81"/>
        <v>0</v>
      </c>
      <c r="BT95" s="2">
        <f t="shared" ca="1" si="82"/>
        <v>0.3231294225863241</v>
      </c>
      <c r="BU95" s="13">
        <f t="shared" ca="1" si="83"/>
        <v>0.3231299148466707</v>
      </c>
      <c r="BV95" s="2">
        <f t="shared" ca="1" si="84"/>
        <v>-3.9763664979944345E-2</v>
      </c>
      <c r="BW95" s="2">
        <f t="shared" ca="1" si="85"/>
        <v>0</v>
      </c>
      <c r="BX95" s="2">
        <f t="shared" ca="1" si="86"/>
        <v>0.67012635934095621</v>
      </c>
      <c r="BY95" s="13">
        <f t="shared" ca="1" si="87"/>
        <v>0.67012738022178864</v>
      </c>
      <c r="CF95" s="39" t="str">
        <f t="shared" si="88"/>
        <v>C2020-09-3600000.CFE</v>
      </c>
      <c r="CG95" s="39" t="str">
        <f t="shared" si="89"/>
        <v>P2020-09-3600000.CFE</v>
      </c>
      <c r="CH95" s="95" t="s">
        <v>119</v>
      </c>
      <c r="CI95" s="100" t="str">
        <f>IF([1]!w_info_callput(CH95)="认购","C","P")</f>
        <v>C</v>
      </c>
      <c r="CJ95" s="104">
        <f>[1]!w_info_strikeprice(CH95,"")</f>
        <v>3600</v>
      </c>
      <c r="CK95" s="102" t="str">
        <f>[1]!w_info_lasttradingdate(CH95)</f>
        <v>2020-09-18</v>
      </c>
      <c r="CL95" s="39" t="str">
        <f t="shared" si="90"/>
        <v>IO2009-P-3600.CFE</v>
      </c>
    </row>
    <row r="96" spans="1:90">
      <c r="B96" s="112" t="s">
        <v>120</v>
      </c>
      <c r="C96" s="29" t="str">
        <f>IF([1]!w_info_callput(B96)="认购","C","P")</f>
        <v>C</v>
      </c>
      <c r="D96" s="96">
        <f>[1]!w_info_strikeprice(B96,"")</f>
        <v>3700</v>
      </c>
      <c r="E96" s="18" t="str">
        <f>[1]!w_info_lasttradingdate(B96)</f>
        <v>2020-09-18</v>
      </c>
      <c r="F96" s="4">
        <f>IF(G96&gt;0,RTD("wdf.rtq",,$B96,F$5),0)</f>
        <v>265</v>
      </c>
      <c r="G96" s="53">
        <f>RTD("wdf.rtq",,$B96,G$5)</f>
        <v>3</v>
      </c>
      <c r="H96" s="4">
        <f>RTD("wdf.rtq",,$B96,H$5)</f>
        <v>2</v>
      </c>
      <c r="I96" s="53">
        <f>RTD("wdf.rtq",,$B96,I$5)</f>
        <v>1</v>
      </c>
      <c r="J96" s="4">
        <f>RTD("wdf.rtq",,$B96,J$5)</f>
        <v>0</v>
      </c>
      <c r="K96" s="54">
        <f>RTD("wdf.rtq",,$B96,K$5)</f>
        <v>0</v>
      </c>
      <c r="L96" s="4">
        <f>[1]!s_dq_presettle(B96,"")</f>
        <v>246</v>
      </c>
      <c r="M96" s="6">
        <f t="shared" si="62"/>
        <v>0</v>
      </c>
      <c r="N96" s="3">
        <f t="shared" si="63"/>
        <v>32520</v>
      </c>
      <c r="O96" s="4">
        <f t="shared" si="64"/>
        <v>37571</v>
      </c>
      <c r="P96" s="4">
        <f t="shared" si="65"/>
        <v>18500</v>
      </c>
      <c r="Q96" s="8">
        <f t="shared" si="66"/>
        <v>70091.009999999995</v>
      </c>
      <c r="R96" s="55">
        <f ca="1">IF(NOW()-TODAY()&gt;15/24, G96, [1]!s_dq_volume(B96,R$2,1))/$AI$2</f>
        <v>13</v>
      </c>
      <c r="AB96" s="39" t="s">
        <v>135</v>
      </c>
      <c r="AC96" s="29" t="str">
        <f>IF([1]!w_info_callput(AB96)="认购","C","P")</f>
        <v>P</v>
      </c>
      <c r="AD96" s="31">
        <f>[1]!w_info_strikeprice(AB96,"")</f>
        <v>3700</v>
      </c>
      <c r="AE96" s="18" t="str">
        <f>[1]!w_info_lasttradingdate(AB96)</f>
        <v>2020-09-18</v>
      </c>
      <c r="AF96" s="4">
        <f>RTD("wdf.rtq",,$AB96,F$5)</f>
        <v>325.2</v>
      </c>
      <c r="AG96" s="53">
        <f>RTD("wdf.rtq",,$AB96,G$5)</f>
        <v>5</v>
      </c>
      <c r="AH96" s="4">
        <f>RTD("wdf.rtq",,$AB96,H$5)</f>
        <v>2</v>
      </c>
      <c r="AI96" s="53">
        <f>RTD("wdf.rtq",,$AB96,I$5)</f>
        <v>1</v>
      </c>
      <c r="AJ96" s="4">
        <f>RTD("wdf.rtq",,$AB96,J$5)</f>
        <v>0</v>
      </c>
      <c r="AK96" s="54">
        <f>RTD("wdf.rtq",,$AB96,K$5)</f>
        <v>0</v>
      </c>
      <c r="AL96" s="4">
        <f>[1]!s_dq_presettle(AB96,"")</f>
        <v>352.2</v>
      </c>
      <c r="AM96" s="6">
        <f t="shared" si="67"/>
        <v>57.099999999999909</v>
      </c>
      <c r="AN96" s="6">
        <f t="shared" si="68"/>
        <v>32520</v>
      </c>
      <c r="AO96" s="6">
        <f t="shared" si="69"/>
        <v>31861.000000000015</v>
      </c>
      <c r="AP96" s="4">
        <f t="shared" si="70"/>
        <v>18500</v>
      </c>
      <c r="AQ96" s="8">
        <f t="shared" si="71"/>
        <v>64381.010000000017</v>
      </c>
      <c r="AR96" s="55">
        <f ca="1">IF(NOW()-TODAY()&gt;15/24, AG96, [1]!s_dq_volume(AB96,AR$2,1))/AI$2</f>
        <v>3</v>
      </c>
      <c r="AS96" s="110"/>
      <c r="AT96" s="110"/>
      <c r="AU96" s="110"/>
      <c r="AV96" s="110"/>
      <c r="AY96" s="10"/>
      <c r="AZ96" s="10"/>
      <c r="BA96" s="6">
        <f t="shared" ca="1" si="91"/>
        <v>10245.653333333343</v>
      </c>
      <c r="BB96" s="6">
        <f t="shared" ca="1" si="92"/>
        <v>0</v>
      </c>
      <c r="BC96" s="6">
        <f t="shared" ca="1" si="93"/>
        <v>0</v>
      </c>
      <c r="BD96" s="12">
        <f t="shared" ca="1" si="94"/>
        <v>0</v>
      </c>
      <c r="BE96" s="2">
        <f t="shared" ca="1" si="72"/>
        <v>2.1420036166367316E-2</v>
      </c>
      <c r="BF96" s="2">
        <f t="shared" ca="1" si="73"/>
        <v>0</v>
      </c>
      <c r="BG96" s="2">
        <f t="shared" ca="1" si="74"/>
        <v>0</v>
      </c>
      <c r="BH96" s="13">
        <f t="shared" ca="1" si="75"/>
        <v>0</v>
      </c>
      <c r="BI96" s="2">
        <f t="shared" ca="1" si="76"/>
        <v>4.4422234095023126E-2</v>
      </c>
      <c r="BJ96" s="2">
        <f t="shared" ca="1" si="77"/>
        <v>0</v>
      </c>
      <c r="BK96" s="2">
        <f t="shared" ca="1" si="78"/>
        <v>0</v>
      </c>
      <c r="BL96" s="40">
        <f t="shared" ca="1" si="79"/>
        <v>0</v>
      </c>
      <c r="BN96" s="6">
        <f t="shared" ca="1" si="95"/>
        <v>-1560.9920000000106</v>
      </c>
      <c r="BO96" s="6">
        <f t="shared" ca="1" si="96"/>
        <v>0</v>
      </c>
      <c r="BP96" s="6">
        <f t="shared" ca="1" si="97"/>
        <v>0</v>
      </c>
      <c r="BQ96" s="12">
        <f t="shared" ca="1" si="98"/>
        <v>0</v>
      </c>
      <c r="BR96" s="2">
        <f t="shared" ca="1" si="80"/>
        <v>-1.1480734809038292E-2</v>
      </c>
      <c r="BS96" s="2">
        <f t="shared" ca="1" si="81"/>
        <v>0</v>
      </c>
      <c r="BT96" s="2">
        <f t="shared" ca="1" si="82"/>
        <v>0</v>
      </c>
      <c r="BU96" s="13">
        <f t="shared" ca="1" si="83"/>
        <v>0</v>
      </c>
      <c r="BV96" s="2">
        <f t="shared" ca="1" si="84"/>
        <v>-2.3809478439198731E-2</v>
      </c>
      <c r="BW96" s="2">
        <f t="shared" ca="1" si="85"/>
        <v>0</v>
      </c>
      <c r="BX96" s="2">
        <f t="shared" ca="1" si="86"/>
        <v>0</v>
      </c>
      <c r="BY96" s="13">
        <f t="shared" ca="1" si="87"/>
        <v>0</v>
      </c>
      <c r="CF96" s="39" t="str">
        <f t="shared" si="88"/>
        <v>C2020-09-3700000.CFE</v>
      </c>
      <c r="CG96" s="39" t="str">
        <f t="shared" si="89"/>
        <v>P2020-09-3700000.CFE</v>
      </c>
      <c r="CH96" s="95" t="s">
        <v>120</v>
      </c>
      <c r="CI96" s="100" t="str">
        <f>IF([1]!w_info_callput(CH96)="认购","C","P")</f>
        <v>C</v>
      </c>
      <c r="CJ96" s="104">
        <f>[1]!w_info_strikeprice(CH96,"")</f>
        <v>3700</v>
      </c>
      <c r="CK96" s="102" t="str">
        <f>[1]!w_info_lasttradingdate(CH96)</f>
        <v>2020-09-18</v>
      </c>
      <c r="CL96" s="39" t="str">
        <f t="shared" si="90"/>
        <v>IO2009-P-3700.CFE</v>
      </c>
    </row>
    <row r="97" spans="2:90">
      <c r="B97" s="112" t="s">
        <v>121</v>
      </c>
      <c r="C97" s="29" t="str">
        <f>IF([1]!w_info_callput(B97)="认购","C","P")</f>
        <v>C</v>
      </c>
      <c r="D97" s="96">
        <f>[1]!w_info_strikeprice(B97,"")</f>
        <v>3800</v>
      </c>
      <c r="E97" s="18" t="str">
        <f>[1]!w_info_lasttradingdate(B97)</f>
        <v>2020-09-18</v>
      </c>
      <c r="F97" s="4">
        <f>IF(G97&gt;0,RTD("wdf.rtq",,$B97,F$5),0)</f>
        <v>234.6</v>
      </c>
      <c r="G97" s="53">
        <f>RTD("wdf.rtq",,$B97,G$5)</f>
        <v>7</v>
      </c>
      <c r="H97" s="4">
        <f>RTD("wdf.rtq",,$B97,H$5)</f>
        <v>2</v>
      </c>
      <c r="I97" s="53">
        <f>RTD("wdf.rtq",,$B97,I$5)</f>
        <v>1</v>
      </c>
      <c r="J97" s="4">
        <f>RTD("wdf.rtq",,$B97,J$5)</f>
        <v>246</v>
      </c>
      <c r="K97" s="54">
        <f>RTD("wdf.rtq",,$B97,K$5)</f>
        <v>1</v>
      </c>
      <c r="L97" s="4">
        <f>[1]!s_dq_presettle(B97,"")</f>
        <v>207.6</v>
      </c>
      <c r="M97" s="6">
        <f t="shared" si="62"/>
        <v>42.900000000000091</v>
      </c>
      <c r="N97" s="3">
        <f t="shared" si="63"/>
        <v>38180</v>
      </c>
      <c r="O97" s="4">
        <f t="shared" si="64"/>
        <v>33280.999999999993</v>
      </c>
      <c r="P97" s="4">
        <f t="shared" si="65"/>
        <v>19000</v>
      </c>
      <c r="Q97" s="8">
        <f t="shared" si="66"/>
        <v>71461.009999999995</v>
      </c>
      <c r="R97" s="55">
        <f ca="1">IF(NOW()-TODAY()&gt;15/24, G97, [1]!s_dq_volume(B97,R$2,1))/$AI$2</f>
        <v>13</v>
      </c>
      <c r="AB97" s="39" t="s">
        <v>136</v>
      </c>
      <c r="AC97" s="29" t="str">
        <f>IF([1]!w_info_callput(AB97)="认购","C","P")</f>
        <v>P</v>
      </c>
      <c r="AD97" s="31">
        <f>[1]!w_info_strikeprice(AB97,"")</f>
        <v>3800</v>
      </c>
      <c r="AE97" s="18" t="str">
        <f>[1]!w_info_lasttradingdate(AB97)</f>
        <v>2020-09-18</v>
      </c>
      <c r="AF97" s="4">
        <f>RTD("wdf.rtq",,$AB97,F$5)</f>
        <v>381.8</v>
      </c>
      <c r="AG97" s="53">
        <f>RTD("wdf.rtq",,$AB97,G$5)</f>
        <v>5</v>
      </c>
      <c r="AH97" s="4">
        <f>RTD("wdf.rtq",,$AB97,H$5)</f>
        <v>47</v>
      </c>
      <c r="AI97" s="53">
        <f>RTD("wdf.rtq",,$AB97,I$5)</f>
        <v>1</v>
      </c>
      <c r="AJ97" s="4">
        <f>RTD("wdf.rtq",,$AB97,J$5)</f>
        <v>0</v>
      </c>
      <c r="AK97" s="54">
        <f>RTD("wdf.rtq",,$AB97,K$5)</f>
        <v>0</v>
      </c>
      <c r="AL97" s="4">
        <f>[1]!s_dq_presettle(AB97,"")</f>
        <v>415.4</v>
      </c>
      <c r="AM97" s="6">
        <f t="shared" si="67"/>
        <v>0</v>
      </c>
      <c r="AN97" s="6">
        <f t="shared" si="68"/>
        <v>38180</v>
      </c>
      <c r="AO97" s="6">
        <f t="shared" si="69"/>
        <v>37571</v>
      </c>
      <c r="AP97" s="4">
        <f t="shared" si="70"/>
        <v>19000</v>
      </c>
      <c r="AQ97" s="8">
        <f t="shared" si="71"/>
        <v>75751.009999999995</v>
      </c>
      <c r="AR97" s="55">
        <f ca="1">IF(NOW()-TODAY()&gt;15/24, AG97, [1]!s_dq_volume(AB97,AR$2,1))/AI$2</f>
        <v>2</v>
      </c>
      <c r="AS97" s="110"/>
      <c r="AT97" s="110"/>
      <c r="AU97" s="110"/>
      <c r="AV97" s="110"/>
      <c r="AY97" s="10"/>
      <c r="AZ97" s="10"/>
      <c r="BA97" s="6">
        <f t="shared" ca="1" si="91"/>
        <v>11545.653333333339</v>
      </c>
      <c r="BB97" s="6">
        <f t="shared" ca="1" si="92"/>
        <v>0</v>
      </c>
      <c r="BC97" s="6">
        <f t="shared" ca="1" si="93"/>
        <v>46165.613333333342</v>
      </c>
      <c r="BD97" s="12">
        <f t="shared" ca="1" si="94"/>
        <v>46165.653333333335</v>
      </c>
      <c r="BE97" s="2">
        <f t="shared" ca="1" si="72"/>
        <v>2.3788254470374626E-2</v>
      </c>
      <c r="BF97" s="2">
        <f t="shared" ca="1" si="73"/>
        <v>0</v>
      </c>
      <c r="BG97" s="2">
        <f t="shared" ca="1" si="74"/>
        <v>0.10216546374600148</v>
      </c>
      <c r="BH97" s="13">
        <f t="shared" ca="1" si="75"/>
        <v>0.10216555678872459</v>
      </c>
      <c r="BI97" s="2">
        <f t="shared" ca="1" si="76"/>
        <v>4.9333595918674651E-2</v>
      </c>
      <c r="BJ97" s="2">
        <f t="shared" ca="1" si="77"/>
        <v>0</v>
      </c>
      <c r="BK97" s="2">
        <f t="shared" ca="1" si="78"/>
        <v>0.21187724015505988</v>
      </c>
      <c r="BL97" s="40">
        <f t="shared" ca="1" si="79"/>
        <v>0.21187743311297999</v>
      </c>
      <c r="BN97" s="6">
        <f t="shared" ca="1" si="95"/>
        <v>-2860.9920000000075</v>
      </c>
      <c r="BO97" s="6">
        <f t="shared" ca="1" si="96"/>
        <v>-37480.992000000006</v>
      </c>
      <c r="BP97" s="6">
        <f t="shared" ca="1" si="97"/>
        <v>0</v>
      </c>
      <c r="BQ97" s="12">
        <f t="shared" ca="1" si="98"/>
        <v>0</v>
      </c>
      <c r="BR97" s="2">
        <f t="shared" ca="1" si="80"/>
        <v>-1.9827215143072764E-2</v>
      </c>
      <c r="BS97" s="2">
        <f t="shared" ca="1" si="81"/>
        <v>-0.2577143064990487</v>
      </c>
      <c r="BT97" s="2">
        <f t="shared" ca="1" si="82"/>
        <v>0</v>
      </c>
      <c r="BU97" s="13">
        <f t="shared" ca="1" si="83"/>
        <v>0</v>
      </c>
      <c r="BV97" s="2">
        <f t="shared" ca="1" si="84"/>
        <v>-4.1118940495577044E-2</v>
      </c>
      <c r="BW97" s="2">
        <f t="shared" ca="1" si="85"/>
        <v>-0.53446432881904993</v>
      </c>
      <c r="BX97" s="2">
        <f t="shared" ca="1" si="86"/>
        <v>0</v>
      </c>
      <c r="BY97" s="13">
        <f t="shared" ca="1" si="87"/>
        <v>0</v>
      </c>
      <c r="CF97" s="39" t="str">
        <f t="shared" si="88"/>
        <v>C2020-09-3800000.CFE</v>
      </c>
      <c r="CG97" s="39" t="str">
        <f t="shared" si="89"/>
        <v>P2020-09-3800000.CFE</v>
      </c>
      <c r="CH97" s="95" t="s">
        <v>121</v>
      </c>
      <c r="CI97" s="100" t="str">
        <f>IF([1]!w_info_callput(CH97)="认购","C","P")</f>
        <v>C</v>
      </c>
      <c r="CJ97" s="104">
        <f>[1]!w_info_strikeprice(CH97,"")</f>
        <v>3800</v>
      </c>
      <c r="CK97" s="102" t="str">
        <f>[1]!w_info_lasttradingdate(CH97)</f>
        <v>2020-09-18</v>
      </c>
      <c r="CL97" s="39" t="str">
        <f t="shared" si="90"/>
        <v>IO2009-P-3800.CFE</v>
      </c>
    </row>
    <row r="98" spans="2:90">
      <c r="B98" s="112" t="s">
        <v>122</v>
      </c>
      <c r="C98" s="29" t="str">
        <f>IF([1]!w_info_callput(B98)="认购","C","P")</f>
        <v>C</v>
      </c>
      <c r="D98" s="96">
        <f>[1]!w_info_strikeprice(B98,"")</f>
        <v>3900</v>
      </c>
      <c r="E98" s="18" t="str">
        <f>[1]!w_info_lasttradingdate(B98)</f>
        <v>2020-09-18</v>
      </c>
      <c r="F98" s="4">
        <f>IF(G98&gt;0,RTD("wdf.rtq",,$B98,F$5),0)</f>
        <v>0</v>
      </c>
      <c r="G98" s="53">
        <f>RTD("wdf.rtq",,$B98,G$5)</f>
        <v>0</v>
      </c>
      <c r="H98" s="4">
        <f>RTD("wdf.rtq",,$B98,H$5)</f>
        <v>100</v>
      </c>
      <c r="I98" s="53">
        <f>RTD("wdf.rtq",,$B98,I$5)</f>
        <v>2</v>
      </c>
      <c r="J98" s="4">
        <f>RTD("wdf.rtq",,$B98,J$5)</f>
        <v>0</v>
      </c>
      <c r="K98" s="54">
        <f>RTD("wdf.rtq",,$B98,K$5)</f>
        <v>0</v>
      </c>
      <c r="L98" s="4">
        <f>[1]!s_dq_presettle(B98,"")</f>
        <v>176.2</v>
      </c>
      <c r="M98" s="6">
        <f t="shared" si="62"/>
        <v>142.90000000000009</v>
      </c>
      <c r="N98" s="3">
        <f t="shared" si="63"/>
        <v>44840</v>
      </c>
      <c r="O98" s="4">
        <f t="shared" si="64"/>
        <v>23280.999999999993</v>
      </c>
      <c r="P98" s="4">
        <f t="shared" si="65"/>
        <v>19500</v>
      </c>
      <c r="Q98" s="8">
        <f t="shared" si="66"/>
        <v>68121.009999999995</v>
      </c>
      <c r="R98" s="55">
        <f ca="1">IF(NOW()-TODAY()&gt;15/24, G98, [1]!s_dq_volume(B98,R$2,1))/$AI$2</f>
        <v>19</v>
      </c>
      <c r="AB98" s="39" t="s">
        <v>137</v>
      </c>
      <c r="AC98" s="29" t="str">
        <f>IF([1]!w_info_callput(AB98)="认购","C","P")</f>
        <v>P</v>
      </c>
      <c r="AD98" s="31">
        <f>[1]!w_info_strikeprice(AB98,"")</f>
        <v>3900</v>
      </c>
      <c r="AE98" s="18" t="str">
        <f>[1]!w_info_lasttradingdate(AB98)</f>
        <v>2020-09-18</v>
      </c>
      <c r="AF98" s="4">
        <f>RTD("wdf.rtq",,$AB98,F$5)</f>
        <v>448.40000000000003</v>
      </c>
      <c r="AG98" s="53">
        <f>RTD("wdf.rtq",,$AB98,G$5)</f>
        <v>6</v>
      </c>
      <c r="AH98" s="4">
        <f>RTD("wdf.rtq",,$AB98,H$5)</f>
        <v>150</v>
      </c>
      <c r="AI98" s="53">
        <f>RTD("wdf.rtq",,$AB98,I$5)</f>
        <v>1</v>
      </c>
      <c r="AJ98" s="4">
        <f>RTD("wdf.rtq",,$AB98,J$5)</f>
        <v>0</v>
      </c>
      <c r="AK98" s="54">
        <f>RTD("wdf.rtq",,$AB98,K$5)</f>
        <v>0</v>
      </c>
      <c r="AL98" s="4">
        <f>[1]!s_dq_presettle(AB98,"")</f>
        <v>483.8</v>
      </c>
      <c r="AM98" s="6">
        <f t="shared" si="67"/>
        <v>0</v>
      </c>
      <c r="AN98" s="6">
        <f t="shared" si="68"/>
        <v>44840</v>
      </c>
      <c r="AO98" s="6">
        <f t="shared" si="69"/>
        <v>37571</v>
      </c>
      <c r="AP98" s="4">
        <f t="shared" si="70"/>
        <v>19500</v>
      </c>
      <c r="AQ98" s="8">
        <f t="shared" si="71"/>
        <v>82411.009999999995</v>
      </c>
      <c r="AR98" s="55">
        <f ca="1">IF(NOW()-TODAY()&gt;15/24, AG98, [1]!s_dq_volume(AB98,AR$2,1))/AI$2</f>
        <v>9</v>
      </c>
      <c r="AS98" s="110"/>
      <c r="AT98" s="110"/>
      <c r="AU98" s="110"/>
      <c r="AV98" s="110"/>
      <c r="AY98" s="10"/>
      <c r="AZ98" s="10"/>
      <c r="BA98" s="6">
        <f t="shared" ca="1" si="91"/>
        <v>0</v>
      </c>
      <c r="BB98" s="6">
        <f t="shared" ca="1" si="92"/>
        <v>0</v>
      </c>
      <c r="BC98" s="6">
        <f t="shared" ca="1" si="93"/>
        <v>0</v>
      </c>
      <c r="BD98" s="12">
        <f t="shared" ca="1" si="94"/>
        <v>0</v>
      </c>
      <c r="BE98" s="2">
        <f t="shared" ca="1" si="72"/>
        <v>0</v>
      </c>
      <c r="BF98" s="2">
        <f t="shared" ca="1" si="73"/>
        <v>0</v>
      </c>
      <c r="BG98" s="2">
        <f t="shared" ca="1" si="74"/>
        <v>0</v>
      </c>
      <c r="BH98" s="13">
        <f t="shared" ca="1" si="75"/>
        <v>0</v>
      </c>
      <c r="BI98" s="2">
        <f t="shared" ca="1" si="76"/>
        <v>0</v>
      </c>
      <c r="BJ98" s="2">
        <f t="shared" ca="1" si="77"/>
        <v>0</v>
      </c>
      <c r="BK98" s="2">
        <f t="shared" ca="1" si="78"/>
        <v>0</v>
      </c>
      <c r="BL98" s="40">
        <f t="shared" ca="1" si="79"/>
        <v>0</v>
      </c>
      <c r="BN98" s="6">
        <f t="shared" ca="1" si="95"/>
        <v>0</v>
      </c>
      <c r="BO98" s="6">
        <f t="shared" ca="1" si="96"/>
        <v>0</v>
      </c>
      <c r="BP98" s="6">
        <f t="shared" ca="1" si="97"/>
        <v>0</v>
      </c>
      <c r="BQ98" s="12">
        <f t="shared" ca="1" si="98"/>
        <v>0</v>
      </c>
      <c r="BR98" s="2">
        <f t="shared" ca="1" si="80"/>
        <v>0</v>
      </c>
      <c r="BS98" s="2">
        <f t="shared" ca="1" si="81"/>
        <v>0</v>
      </c>
      <c r="BT98" s="2">
        <f t="shared" ca="1" si="82"/>
        <v>0</v>
      </c>
      <c r="BU98" s="13">
        <f t="shared" ca="1" si="83"/>
        <v>0</v>
      </c>
      <c r="BV98" s="2">
        <f t="shared" ca="1" si="84"/>
        <v>0</v>
      </c>
      <c r="BW98" s="2">
        <f t="shared" ca="1" si="85"/>
        <v>0</v>
      </c>
      <c r="BX98" s="2">
        <f t="shared" ca="1" si="86"/>
        <v>0</v>
      </c>
      <c r="BY98" s="13">
        <f t="shared" ca="1" si="87"/>
        <v>0</v>
      </c>
      <c r="CF98" s="39" t="str">
        <f t="shared" si="88"/>
        <v>C2020-09-3900000.CFE</v>
      </c>
      <c r="CG98" s="39" t="str">
        <f t="shared" si="89"/>
        <v>P2020-09-3900000.CFE</v>
      </c>
      <c r="CH98" s="95" t="s">
        <v>122</v>
      </c>
      <c r="CI98" s="100" t="str">
        <f>IF([1]!w_info_callput(CH98)="认购","C","P")</f>
        <v>C</v>
      </c>
      <c r="CJ98" s="104">
        <f>[1]!w_info_strikeprice(CH98,"")</f>
        <v>3900</v>
      </c>
      <c r="CK98" s="102" t="str">
        <f>[1]!w_info_lasttradingdate(CH98)</f>
        <v>2020-09-18</v>
      </c>
      <c r="CL98" s="39" t="str">
        <f t="shared" si="90"/>
        <v>IO2009-P-3900.CFE</v>
      </c>
    </row>
    <row r="99" spans="2:90">
      <c r="B99" s="112" t="s">
        <v>123</v>
      </c>
      <c r="C99" s="29" t="str">
        <f>IF([1]!w_info_callput(B99)="认购","C","P")</f>
        <v>C</v>
      </c>
      <c r="D99" s="96">
        <f>[1]!w_info_strikeprice(B99,"")</f>
        <v>4000</v>
      </c>
      <c r="E99" s="18" t="str">
        <f>[1]!w_info_lasttradingdate(B99)</f>
        <v>2020-09-18</v>
      </c>
      <c r="F99" s="4">
        <f>IF(G99&gt;0,RTD("wdf.rtq",,$B99,F$5),0)</f>
        <v>166</v>
      </c>
      <c r="G99" s="53">
        <f>RTD("wdf.rtq",,$B99,G$5)</f>
        <v>11</v>
      </c>
      <c r="H99" s="4">
        <f>RTD("wdf.rtq",,$B99,H$5)</f>
        <v>150.6</v>
      </c>
      <c r="I99" s="53">
        <f>RTD("wdf.rtq",,$B99,I$5)</f>
        <v>1</v>
      </c>
      <c r="J99" s="4">
        <f>RTD("wdf.rtq",,$B99,J$5)</f>
        <v>184.6</v>
      </c>
      <c r="K99" s="54">
        <f>RTD("wdf.rtq",,$B99,K$5)</f>
        <v>1</v>
      </c>
      <c r="L99" s="4">
        <f>[1]!s_dq_presettle(B99,"")</f>
        <v>149.4</v>
      </c>
      <c r="M99" s="6">
        <f t="shared" si="62"/>
        <v>242.90000000000009</v>
      </c>
      <c r="N99" s="3">
        <f t="shared" si="63"/>
        <v>52760</v>
      </c>
      <c r="O99" s="4">
        <f t="shared" si="64"/>
        <v>13280.999999999995</v>
      </c>
      <c r="P99" s="4">
        <f t="shared" si="65"/>
        <v>20000</v>
      </c>
      <c r="Q99" s="8">
        <f t="shared" si="66"/>
        <v>72760.009999999995</v>
      </c>
      <c r="R99" s="55">
        <f ca="1">IF(NOW()-TODAY()&gt;15/24, G99, [1]!s_dq_volume(B99,R$2,1))/$AI$2</f>
        <v>38</v>
      </c>
      <c r="AB99" s="39" t="s">
        <v>138</v>
      </c>
      <c r="AC99" s="29" t="str">
        <f>IF([1]!w_info_callput(AB99)="认购","C","P")</f>
        <v>P</v>
      </c>
      <c r="AD99" s="31">
        <f>[1]!w_info_strikeprice(AB99,"")</f>
        <v>4000</v>
      </c>
      <c r="AE99" s="18" t="str">
        <f>[1]!w_info_lasttradingdate(AB99)</f>
        <v>2020-09-18</v>
      </c>
      <c r="AF99" s="4">
        <f>RTD("wdf.rtq",,$AB99,F$5)</f>
        <v>527.6</v>
      </c>
      <c r="AG99" s="53">
        <f>RTD("wdf.rtq",,$AB99,G$5)</f>
        <v>2</v>
      </c>
      <c r="AH99" s="4">
        <f>RTD("wdf.rtq",,$AB99,H$5)</f>
        <v>0</v>
      </c>
      <c r="AI99" s="53">
        <f>RTD("wdf.rtq",,$AB99,I$5)</f>
        <v>0</v>
      </c>
      <c r="AJ99" s="4">
        <f>RTD("wdf.rtq",,$AB99,J$5)</f>
        <v>611.80000000000007</v>
      </c>
      <c r="AK99" s="54">
        <f>RTD("wdf.rtq",,$AB99,K$5)</f>
        <v>1</v>
      </c>
      <c r="AL99" s="4">
        <f>[1]!s_dq_presettle(AB99,"")</f>
        <v>555.6</v>
      </c>
      <c r="AM99" s="6">
        <f t="shared" si="67"/>
        <v>0</v>
      </c>
      <c r="AN99" s="6">
        <f t="shared" si="68"/>
        <v>52760</v>
      </c>
      <c r="AO99" s="6">
        <f t="shared" si="69"/>
        <v>37571</v>
      </c>
      <c r="AP99" s="4">
        <f t="shared" si="70"/>
        <v>20000</v>
      </c>
      <c r="AQ99" s="8">
        <f t="shared" si="71"/>
        <v>90331.01</v>
      </c>
      <c r="AR99" s="55">
        <f ca="1">IF(NOW()-TODAY()&gt;15/24, AG99, [1]!s_dq_volume(AB99,AR$2,1))/AI$2</f>
        <v>64</v>
      </c>
      <c r="AS99" s="110"/>
      <c r="AT99" s="110"/>
      <c r="AU99" s="110"/>
      <c r="AV99" s="110"/>
      <c r="AY99" s="10"/>
      <c r="AZ99" s="10"/>
      <c r="BA99" s="6">
        <f t="shared" ca="1" si="91"/>
        <v>10105.653333333339</v>
      </c>
      <c r="BB99" s="6">
        <f t="shared" ca="1" si="92"/>
        <v>145.65333333333649</v>
      </c>
      <c r="BC99" s="6">
        <f t="shared" ca="1" si="93"/>
        <v>0</v>
      </c>
      <c r="BD99" s="12">
        <f t="shared" ca="1" si="94"/>
        <v>0</v>
      </c>
      <c r="BE99" s="2">
        <f t="shared" ca="1" si="72"/>
        <v>2.0161708460619383E-2</v>
      </c>
      <c r="BF99" s="2">
        <f t="shared" ca="1" si="73"/>
        <v>2.8579089664559508E-4</v>
      </c>
      <c r="BG99" s="2">
        <f t="shared" ca="1" si="74"/>
        <v>0</v>
      </c>
      <c r="BH99" s="13">
        <f t="shared" ca="1" si="75"/>
        <v>0</v>
      </c>
      <c r="BI99" s="2">
        <f t="shared" ca="1" si="76"/>
        <v>4.1812634023443603E-2</v>
      </c>
      <c r="BJ99" s="2">
        <f t="shared" ca="1" si="77"/>
        <v>5.9269134815705799E-4</v>
      </c>
      <c r="BK99" s="2">
        <f t="shared" ca="1" si="78"/>
        <v>0</v>
      </c>
      <c r="BL99" s="40">
        <f t="shared" ca="1" si="79"/>
        <v>0</v>
      </c>
      <c r="BN99" s="6">
        <f t="shared" ca="1" si="95"/>
        <v>-1420.992000000007</v>
      </c>
      <c r="BO99" s="6">
        <f t="shared" ca="1" si="96"/>
        <v>0</v>
      </c>
      <c r="BP99" s="6">
        <f t="shared" ca="1" si="97"/>
        <v>8538.9679999999935</v>
      </c>
      <c r="BQ99" s="12">
        <f t="shared" ca="1" si="98"/>
        <v>8539.0079999999944</v>
      </c>
      <c r="BR99" s="2">
        <f t="shared" ca="1" si="80"/>
        <v>-9.3476347029044279E-3</v>
      </c>
      <c r="BS99" s="2">
        <f t="shared" ca="1" si="81"/>
        <v>0</v>
      </c>
      <c r="BT99" s="2">
        <f t="shared" ca="1" si="82"/>
        <v>5.6746291424233548E-2</v>
      </c>
      <c r="BU99" s="13">
        <f t="shared" ca="1" si="83"/>
        <v>5.6746564789211494E-2</v>
      </c>
      <c r="BV99" s="2">
        <f t="shared" ca="1" si="84"/>
        <v>-1.9385719696364295E-2</v>
      </c>
      <c r="BW99" s="2">
        <f t="shared" ca="1" si="85"/>
        <v>0</v>
      </c>
      <c r="BX99" s="2">
        <f t="shared" ca="1" si="86"/>
        <v>0.11768407028321161</v>
      </c>
      <c r="BY99" s="13">
        <f t="shared" ca="1" si="87"/>
        <v>0.11768463720489884</v>
      </c>
      <c r="CF99" s="39" t="str">
        <f t="shared" si="88"/>
        <v>C2020-09-4000000.CFE</v>
      </c>
      <c r="CG99" s="39" t="str">
        <f t="shared" si="89"/>
        <v>P2020-09-4000000.CFE</v>
      </c>
      <c r="CH99" s="95" t="s">
        <v>123</v>
      </c>
      <c r="CI99" s="100" t="str">
        <f>IF([1]!w_info_callput(CH99)="认购","C","P")</f>
        <v>C</v>
      </c>
      <c r="CJ99" s="104">
        <f>[1]!w_info_strikeprice(CH99,"")</f>
        <v>4000</v>
      </c>
      <c r="CK99" s="102" t="str">
        <f>[1]!w_info_lasttradingdate(CH99)</f>
        <v>2020-09-18</v>
      </c>
      <c r="CL99" s="39" t="str">
        <f t="shared" si="90"/>
        <v>IO2009-P-4000.CFE</v>
      </c>
    </row>
    <row r="100" spans="2:90">
      <c r="B100" s="112" t="s">
        <v>124</v>
      </c>
      <c r="C100" s="29" t="str">
        <f>IF([1]!w_info_callput(B100)="认购","C","P")</f>
        <v>C</v>
      </c>
      <c r="D100" s="96">
        <f>[1]!w_info_strikeprice(B100,"")</f>
        <v>4100</v>
      </c>
      <c r="E100" s="18" t="str">
        <f>[1]!w_info_lasttradingdate(B100)</f>
        <v>2020-09-18</v>
      </c>
      <c r="F100" s="4">
        <f>IF(G100&gt;0,RTD("wdf.rtq",,$B100,F$5),0)</f>
        <v>0</v>
      </c>
      <c r="G100" s="53">
        <f>RTD("wdf.rtq",,$B100,G$5)</f>
        <v>0</v>
      </c>
      <c r="H100" s="4">
        <f>RTD("wdf.rtq",,$B100,H$5)</f>
        <v>100.60000000000001</v>
      </c>
      <c r="I100" s="53">
        <f>RTD("wdf.rtq",,$B100,I$5)</f>
        <v>1</v>
      </c>
      <c r="J100" s="4">
        <f>RTD("wdf.rtq",,$B100,J$5)</f>
        <v>189.20000000000002</v>
      </c>
      <c r="K100" s="54">
        <f>RTD("wdf.rtq",,$B100,K$5)</f>
        <v>2</v>
      </c>
      <c r="L100" s="4">
        <f>[1]!s_dq_presettle(B100,"")</f>
        <v>128.19999999999999</v>
      </c>
      <c r="M100" s="6">
        <f t="shared" si="62"/>
        <v>342.90000000000009</v>
      </c>
      <c r="N100" s="3">
        <f t="shared" si="63"/>
        <v>61220.000000000007</v>
      </c>
      <c r="O100" s="4">
        <f t="shared" si="64"/>
        <v>3280.9999999999945</v>
      </c>
      <c r="P100" s="4">
        <f t="shared" si="65"/>
        <v>20500</v>
      </c>
      <c r="Q100" s="8">
        <f t="shared" si="66"/>
        <v>81720.009999999995</v>
      </c>
      <c r="R100" s="55">
        <f ca="1">IF(NOW()-TODAY()&gt;15/24, G100, [1]!s_dq_volume(B100,R$2,1))/$AI$2</f>
        <v>20</v>
      </c>
      <c r="AB100" s="39" t="s">
        <v>139</v>
      </c>
      <c r="AC100" s="29" t="str">
        <f>IF([1]!w_info_callput(AB100)="认购","C","P")</f>
        <v>P</v>
      </c>
      <c r="AD100" s="31">
        <f>[1]!w_info_strikeprice(AB100,"")</f>
        <v>4100</v>
      </c>
      <c r="AE100" s="18" t="str">
        <f>[1]!w_info_lasttradingdate(AB100)</f>
        <v>2020-09-18</v>
      </c>
      <c r="AF100" s="4">
        <f>RTD("wdf.rtq",,$AB100,F$5)</f>
        <v>612.20000000000005</v>
      </c>
      <c r="AG100" s="53">
        <f>RTD("wdf.rtq",,$AB100,G$5)</f>
        <v>0</v>
      </c>
      <c r="AH100" s="4">
        <f>RTD("wdf.rtq",,$AB100,H$5)</f>
        <v>0</v>
      </c>
      <c r="AI100" s="53">
        <f>RTD("wdf.rtq",,$AB100,I$5)</f>
        <v>0</v>
      </c>
      <c r="AJ100" s="4">
        <f>RTD("wdf.rtq",,$AB100,J$5)</f>
        <v>1000</v>
      </c>
      <c r="AK100" s="54">
        <f>RTD("wdf.rtq",,$AB100,K$5)</f>
        <v>1</v>
      </c>
      <c r="AL100" s="4">
        <f>[1]!s_dq_presettle(AB100,"")</f>
        <v>632</v>
      </c>
      <c r="AM100" s="6">
        <f t="shared" si="67"/>
        <v>0</v>
      </c>
      <c r="AN100" s="6">
        <f t="shared" si="68"/>
        <v>61220.000000000007</v>
      </c>
      <c r="AO100" s="6">
        <f t="shared" si="69"/>
        <v>37571</v>
      </c>
      <c r="AP100" s="4">
        <f t="shared" si="70"/>
        <v>20500</v>
      </c>
      <c r="AQ100" s="8">
        <f t="shared" si="71"/>
        <v>98791.01</v>
      </c>
      <c r="AR100" s="55">
        <f ca="1">IF(NOW()-TODAY()&gt;15/24, AG100, [1]!s_dq_volume(AB100,AR$2,1))/AI$2</f>
        <v>3</v>
      </c>
      <c r="AS100" s="110"/>
      <c r="AT100" s="110"/>
      <c r="AU100" s="110"/>
      <c r="AV100" s="110"/>
      <c r="AY100" s="10"/>
      <c r="AZ100" s="10"/>
      <c r="BA100" s="6">
        <f t="shared" ca="1" si="91"/>
        <v>0</v>
      </c>
      <c r="BB100" s="6">
        <f t="shared" ca="1" si="92"/>
        <v>-33674.346666666657</v>
      </c>
      <c r="BC100" s="6">
        <f t="shared" ca="1" si="93"/>
        <v>0</v>
      </c>
      <c r="BD100" s="12">
        <f t="shared" ca="1" si="94"/>
        <v>0</v>
      </c>
      <c r="BE100" s="2">
        <f t="shared" ca="1" si="72"/>
        <v>0</v>
      </c>
      <c r="BF100" s="2">
        <f t="shared" ca="1" si="73"/>
        <v>-6.040999957405712E-2</v>
      </c>
      <c r="BG100" s="2">
        <f t="shared" ca="1" si="74"/>
        <v>0</v>
      </c>
      <c r="BH100" s="13">
        <f t="shared" ca="1" si="75"/>
        <v>0</v>
      </c>
      <c r="BI100" s="2">
        <f t="shared" ca="1" si="76"/>
        <v>0</v>
      </c>
      <c r="BJ100" s="2">
        <f t="shared" ca="1" si="77"/>
        <v>-0.12528210138937981</v>
      </c>
      <c r="BK100" s="2">
        <f t="shared" ca="1" si="78"/>
        <v>0</v>
      </c>
      <c r="BL100" s="40">
        <f t="shared" ca="1" si="79"/>
        <v>0</v>
      </c>
      <c r="BN100" s="6">
        <f t="shared" ca="1" si="95"/>
        <v>0</v>
      </c>
      <c r="BO100" s="6">
        <f t="shared" ca="1" si="96"/>
        <v>0</v>
      </c>
      <c r="BP100" s="6">
        <f t="shared" ca="1" si="97"/>
        <v>42358.968000000001</v>
      </c>
      <c r="BQ100" s="12">
        <f t="shared" ca="1" si="98"/>
        <v>42359.007999999994</v>
      </c>
      <c r="BR100" s="2">
        <f t="shared" ca="1" si="80"/>
        <v>0</v>
      </c>
      <c r="BS100" s="2">
        <f t="shared" ca="1" si="81"/>
        <v>0</v>
      </c>
      <c r="BT100" s="2">
        <f t="shared" ca="1" si="82"/>
        <v>0.27517218006443322</v>
      </c>
      <c r="BU100" s="13">
        <f t="shared" ca="1" si="83"/>
        <v>0.27517247566378306</v>
      </c>
      <c r="BV100" s="2">
        <f t="shared" ca="1" si="84"/>
        <v>0</v>
      </c>
      <c r="BW100" s="2">
        <f t="shared" ca="1" si="85"/>
        <v>0</v>
      </c>
      <c r="BX100" s="2">
        <f t="shared" ca="1" si="86"/>
        <v>0.57066957797453477</v>
      </c>
      <c r="BY100" s="13">
        <f t="shared" ca="1" si="87"/>
        <v>0.57067019100727734</v>
      </c>
      <c r="CF100" s="39" t="str">
        <f t="shared" si="88"/>
        <v>C2020-09-4100000.CFE</v>
      </c>
      <c r="CG100" s="39" t="str">
        <f t="shared" si="89"/>
        <v>P2020-09-4100000.CFE</v>
      </c>
      <c r="CH100" s="95" t="s">
        <v>124</v>
      </c>
      <c r="CI100" s="100" t="str">
        <f>IF([1]!w_info_callput(CH100)="认购","C","P")</f>
        <v>C</v>
      </c>
      <c r="CJ100" s="104">
        <f>[1]!w_info_strikeprice(CH100,"")</f>
        <v>4100</v>
      </c>
      <c r="CK100" s="102" t="str">
        <f>[1]!w_info_lasttradingdate(CH100)</f>
        <v>2020-09-18</v>
      </c>
      <c r="CL100" s="39" t="str">
        <f t="shared" si="90"/>
        <v>IO2009-P-4100.CFE</v>
      </c>
    </row>
    <row r="101" spans="2:90">
      <c r="B101" s="112" t="s">
        <v>125</v>
      </c>
      <c r="C101" s="29" t="str">
        <f>IF([1]!w_info_callput(B101)="认购","C","P")</f>
        <v>C</v>
      </c>
      <c r="D101" s="96">
        <f>[1]!w_info_strikeprice(B101,"")</f>
        <v>4200</v>
      </c>
      <c r="E101" s="18" t="str">
        <f>[1]!w_info_lasttradingdate(B101)</f>
        <v>2020-09-18</v>
      </c>
      <c r="F101" s="4">
        <f>IF(G101&gt;0,RTD("wdf.rtq",,$B101,F$5),0)</f>
        <v>114</v>
      </c>
      <c r="G101" s="53">
        <f>RTD("wdf.rtq",,$B101,G$5)</f>
        <v>1</v>
      </c>
      <c r="H101" s="4">
        <f>RTD("wdf.rtq",,$B101,H$5)</f>
        <v>99</v>
      </c>
      <c r="I101" s="53">
        <f>RTD("wdf.rtq",,$B101,I$5)</f>
        <v>3</v>
      </c>
      <c r="J101" s="4">
        <f>RTD("wdf.rtq",,$B101,J$5)</f>
        <v>0</v>
      </c>
      <c r="K101" s="54">
        <f>RTD("wdf.rtq",,$B101,K$5)</f>
        <v>0</v>
      </c>
      <c r="L101" s="4">
        <f>[1]!s_dq_presettle(B101,"")</f>
        <v>108</v>
      </c>
      <c r="M101" s="6">
        <f t="shared" si="62"/>
        <v>442.90000000000009</v>
      </c>
      <c r="N101" s="3">
        <f t="shared" si="63"/>
        <v>69880</v>
      </c>
      <c r="O101" s="4">
        <f t="shared" si="64"/>
        <v>-6719.0000000000055</v>
      </c>
      <c r="P101" s="4">
        <f t="shared" si="65"/>
        <v>21000</v>
      </c>
      <c r="Q101" s="8">
        <f t="shared" si="66"/>
        <v>90880.01</v>
      </c>
      <c r="R101" s="55">
        <f ca="1">IF(NOW()-TODAY()&gt;15/24, G101, [1]!s_dq_volume(B101,R$2,1))/$AI$2</f>
        <v>3</v>
      </c>
      <c r="AB101" s="39" t="s">
        <v>140</v>
      </c>
      <c r="AC101" s="29" t="str">
        <f>IF([1]!w_info_callput(AB101)="认购","C","P")</f>
        <v>P</v>
      </c>
      <c r="AD101" s="31">
        <f>[1]!w_info_strikeprice(AB101,"")</f>
        <v>4200</v>
      </c>
      <c r="AE101" s="18" t="str">
        <f>[1]!w_info_lasttradingdate(AB101)</f>
        <v>2020-09-18</v>
      </c>
      <c r="AF101" s="4">
        <f>RTD("wdf.rtq",,$AB101,F$5)</f>
        <v>698.80000000000007</v>
      </c>
      <c r="AG101" s="53">
        <f>RTD("wdf.rtq",,$AB101,G$5)</f>
        <v>0</v>
      </c>
      <c r="AH101" s="4">
        <f>RTD("wdf.rtq",,$AB101,H$5)</f>
        <v>0</v>
      </c>
      <c r="AI101" s="53">
        <f>RTD("wdf.rtq",,$AB101,I$5)</f>
        <v>0</v>
      </c>
      <c r="AJ101" s="4">
        <f>RTD("wdf.rtq",,$AB101,J$5)</f>
        <v>0</v>
      </c>
      <c r="AK101" s="54">
        <f>RTD("wdf.rtq",,$AB101,K$5)</f>
        <v>0</v>
      </c>
      <c r="AL101" s="4">
        <f>[1]!s_dq_presettle(AB101,"")</f>
        <v>710.2</v>
      </c>
      <c r="AM101" s="6">
        <f t="shared" si="67"/>
        <v>0</v>
      </c>
      <c r="AN101" s="6">
        <f t="shared" si="68"/>
        <v>69880</v>
      </c>
      <c r="AO101" s="6">
        <f t="shared" si="69"/>
        <v>37571</v>
      </c>
      <c r="AP101" s="4">
        <f t="shared" si="70"/>
        <v>21000</v>
      </c>
      <c r="AQ101" s="8">
        <f t="shared" si="71"/>
        <v>107451.01</v>
      </c>
      <c r="AR101" s="55">
        <f ca="1">IF(NOW()-TODAY()&gt;15/24, AG101, [1]!s_dq_volume(AB101,AR$2,1))/AI$2</f>
        <v>3</v>
      </c>
      <c r="AS101" s="110"/>
      <c r="AT101" s="110"/>
      <c r="AU101" s="110"/>
      <c r="AV101" s="110"/>
      <c r="AY101" s="10"/>
      <c r="AZ101" s="10"/>
      <c r="BA101" s="6">
        <f t="shared" ca="1" si="91"/>
        <v>7785.6533333333346</v>
      </c>
      <c r="BB101" s="6">
        <f t="shared" ca="1" si="92"/>
        <v>0</v>
      </c>
      <c r="BC101" s="6">
        <f t="shared" ca="1" si="93"/>
        <v>0</v>
      </c>
      <c r="BD101" s="12">
        <f t="shared" ca="1" si="94"/>
        <v>0</v>
      </c>
      <c r="BE101" s="2">
        <f t="shared" ca="1" si="72"/>
        <v>1.4512746636728744E-2</v>
      </c>
      <c r="BF101" s="2">
        <f t="shared" ca="1" si="73"/>
        <v>0</v>
      </c>
      <c r="BG101" s="2">
        <f t="shared" ca="1" si="74"/>
        <v>0</v>
      </c>
      <c r="BH101" s="13">
        <f t="shared" ca="1" si="75"/>
        <v>0</v>
      </c>
      <c r="BI101" s="2">
        <f t="shared" ca="1" si="76"/>
        <v>3.0097457513670409E-2</v>
      </c>
      <c r="BJ101" s="2">
        <f t="shared" ca="1" si="77"/>
        <v>0</v>
      </c>
      <c r="BK101" s="2">
        <f t="shared" ca="1" si="78"/>
        <v>0</v>
      </c>
      <c r="BL101" s="40">
        <f t="shared" ca="1" si="79"/>
        <v>0</v>
      </c>
      <c r="BN101" s="6">
        <f t="shared" ca="1" si="95"/>
        <v>899.00799999999742</v>
      </c>
      <c r="BO101" s="6">
        <f t="shared" ca="1" si="96"/>
        <v>0</v>
      </c>
      <c r="BP101" s="6">
        <f t="shared" ca="1" si="97"/>
        <v>0</v>
      </c>
      <c r="BQ101" s="12">
        <f t="shared" ca="1" si="98"/>
        <v>0</v>
      </c>
      <c r="BR101" s="2">
        <f t="shared" ca="1" si="80"/>
        <v>5.4838891298023629E-3</v>
      </c>
      <c r="BS101" s="2">
        <f t="shared" ca="1" si="81"/>
        <v>0</v>
      </c>
      <c r="BT101" s="2">
        <f t="shared" ca="1" si="82"/>
        <v>0</v>
      </c>
      <c r="BU101" s="13">
        <f t="shared" ca="1" si="83"/>
        <v>0</v>
      </c>
      <c r="BV101" s="2">
        <f t="shared" ca="1" si="84"/>
        <v>1.1372838252146945E-2</v>
      </c>
      <c r="BW101" s="2">
        <f t="shared" ca="1" si="85"/>
        <v>0</v>
      </c>
      <c r="BX101" s="2">
        <f t="shared" ca="1" si="86"/>
        <v>0</v>
      </c>
      <c r="BY101" s="13">
        <f t="shared" ca="1" si="87"/>
        <v>0</v>
      </c>
      <c r="CF101" s="39" t="str">
        <f t="shared" si="88"/>
        <v>C2020-09-4200000.CFE</v>
      </c>
      <c r="CG101" s="39" t="str">
        <f t="shared" si="89"/>
        <v>P2020-09-4200000.CFE</v>
      </c>
      <c r="CH101" s="95" t="s">
        <v>125</v>
      </c>
      <c r="CI101" s="100" t="str">
        <f>IF([1]!w_info_callput(CH101)="认购","C","P")</f>
        <v>C</v>
      </c>
      <c r="CJ101" s="104">
        <f>[1]!w_info_strikeprice(CH101,"")</f>
        <v>4200</v>
      </c>
      <c r="CK101" s="102" t="str">
        <f>[1]!w_info_lasttradingdate(CH101)</f>
        <v>2020-09-18</v>
      </c>
      <c r="CL101" s="39" t="str">
        <f t="shared" si="90"/>
        <v>IO2009-P-4200.CFE</v>
      </c>
    </row>
    <row r="102" spans="2:90">
      <c r="B102" s="112" t="s">
        <v>126</v>
      </c>
      <c r="C102" s="29" t="str">
        <f>IF([1]!w_info_callput(B102)="认购","C","P")</f>
        <v>C</v>
      </c>
      <c r="D102" s="96">
        <f>[1]!w_info_strikeprice(B102,"")</f>
        <v>4300</v>
      </c>
      <c r="E102" s="18" t="str">
        <f>[1]!w_info_lasttradingdate(B102)</f>
        <v>2020-09-18</v>
      </c>
      <c r="F102" s="4">
        <f>IF(G102&gt;0,RTD("wdf.rtq",,$B102,F$5),0)</f>
        <v>104.2</v>
      </c>
      <c r="G102" s="53">
        <f>RTD("wdf.rtq",,$B102,G$5)</f>
        <v>9</v>
      </c>
      <c r="H102" s="4">
        <f>RTD("wdf.rtq",,$B102,H$5)</f>
        <v>1</v>
      </c>
      <c r="I102" s="53">
        <f>RTD("wdf.rtq",,$B102,I$5)</f>
        <v>1</v>
      </c>
      <c r="J102" s="4">
        <f>RTD("wdf.rtq",,$B102,J$5)</f>
        <v>111</v>
      </c>
      <c r="K102" s="54">
        <f>RTD("wdf.rtq",,$B102,K$5)</f>
        <v>1</v>
      </c>
      <c r="L102" s="4">
        <f>[1]!s_dq_presettle(B102,"")</f>
        <v>93.2</v>
      </c>
      <c r="M102" s="6">
        <f t="shared" si="62"/>
        <v>542.90000000000009</v>
      </c>
      <c r="N102" s="3">
        <f t="shared" si="63"/>
        <v>79640</v>
      </c>
      <c r="O102" s="4">
        <f t="shared" si="64"/>
        <v>-16719.000000000007</v>
      </c>
      <c r="P102" s="4">
        <f t="shared" si="65"/>
        <v>21500</v>
      </c>
      <c r="Q102" s="8">
        <f t="shared" si="66"/>
        <v>101140.01</v>
      </c>
      <c r="R102" s="55">
        <f ca="1">IF(NOW()-TODAY()&gt;15/24, G102, [1]!s_dq_volume(B102,R$2,1))/$AI$2</f>
        <v>4</v>
      </c>
      <c r="AB102" s="39" t="s">
        <v>141</v>
      </c>
      <c r="AC102" s="29" t="str">
        <f>IF([1]!w_info_callput(AB102)="认购","C","P")</f>
        <v>P</v>
      </c>
      <c r="AD102" s="31">
        <f>[1]!w_info_strikeprice(AB102,"")</f>
        <v>4300</v>
      </c>
      <c r="AE102" s="18" t="str">
        <f>[1]!w_info_lasttradingdate(AB102)</f>
        <v>2020-09-18</v>
      </c>
      <c r="AF102" s="4">
        <f>RTD("wdf.rtq",,$AB102,F$5)</f>
        <v>796.4</v>
      </c>
      <c r="AG102" s="53">
        <f>RTD("wdf.rtq",,$AB102,G$5)</f>
        <v>0</v>
      </c>
      <c r="AH102" s="4">
        <f>RTD("wdf.rtq",,$AB102,H$5)</f>
        <v>0</v>
      </c>
      <c r="AI102" s="53">
        <f>RTD("wdf.rtq",,$AB102,I$5)</f>
        <v>0</v>
      </c>
      <c r="AJ102" s="4">
        <f>RTD("wdf.rtq",,$AB102,J$5)</f>
        <v>0</v>
      </c>
      <c r="AK102" s="54">
        <f>RTD("wdf.rtq",,$AB102,K$5)</f>
        <v>0</v>
      </c>
      <c r="AL102" s="4">
        <f>[1]!s_dq_presettle(AB102,"")</f>
        <v>796.2</v>
      </c>
      <c r="AM102" s="6">
        <f t="shared" si="67"/>
        <v>0</v>
      </c>
      <c r="AN102" s="6">
        <f t="shared" si="68"/>
        <v>79640</v>
      </c>
      <c r="AO102" s="6">
        <f t="shared" si="69"/>
        <v>37571</v>
      </c>
      <c r="AP102" s="4">
        <f t="shared" si="70"/>
        <v>21500</v>
      </c>
      <c r="AQ102" s="8">
        <f t="shared" si="71"/>
        <v>117211.01</v>
      </c>
      <c r="AR102" s="55">
        <f ca="1">IF(NOW()-TODAY()&gt;15/24, AG102, [1]!s_dq_volume(AB102,AR$2,1))/AI$2</f>
        <v>0</v>
      </c>
      <c r="AS102" s="110"/>
      <c r="AT102" s="110"/>
      <c r="AU102" s="110"/>
      <c r="AV102" s="110"/>
      <c r="AY102" s="10"/>
      <c r="AZ102" s="10"/>
      <c r="BA102" s="6">
        <f t="shared" ca="1" si="91"/>
        <v>7045.6533333333482</v>
      </c>
      <c r="BB102" s="6">
        <f t="shared" ca="1" si="92"/>
        <v>0</v>
      </c>
      <c r="BC102" s="6">
        <f t="shared" ca="1" si="93"/>
        <v>0</v>
      </c>
      <c r="BD102" s="12">
        <f t="shared" ca="1" si="94"/>
        <v>0</v>
      </c>
      <c r="BE102" s="2">
        <f t="shared" ca="1" si="72"/>
        <v>1.2660880171655458E-2</v>
      </c>
      <c r="BF102" s="2">
        <f t="shared" ca="1" si="73"/>
        <v>0</v>
      </c>
      <c r="BG102" s="2">
        <f t="shared" ca="1" si="74"/>
        <v>0</v>
      </c>
      <c r="BH102" s="13">
        <f t="shared" ca="1" si="75"/>
        <v>0</v>
      </c>
      <c r="BI102" s="2">
        <f t="shared" ca="1" si="76"/>
        <v>2.6256938992353651E-2</v>
      </c>
      <c r="BJ102" s="2">
        <f t="shared" ca="1" si="77"/>
        <v>0</v>
      </c>
      <c r="BK102" s="2">
        <f t="shared" ca="1" si="78"/>
        <v>0</v>
      </c>
      <c r="BL102" s="40">
        <f t="shared" ca="1" si="79"/>
        <v>0</v>
      </c>
      <c r="BN102" s="6">
        <f t="shared" ca="1" si="95"/>
        <v>1639.0079999999839</v>
      </c>
      <c r="BO102" s="6">
        <f t="shared" ca="1" si="96"/>
        <v>0</v>
      </c>
      <c r="BP102" s="6">
        <f t="shared" ca="1" si="97"/>
        <v>0</v>
      </c>
      <c r="BQ102" s="12">
        <f t="shared" ca="1" si="98"/>
        <v>0</v>
      </c>
      <c r="BR102" s="2">
        <f t="shared" ca="1" si="80"/>
        <v>9.4896014682118376E-3</v>
      </c>
      <c r="BS102" s="2">
        <f t="shared" ca="1" si="81"/>
        <v>0</v>
      </c>
      <c r="BT102" s="2">
        <f t="shared" ca="1" si="82"/>
        <v>0</v>
      </c>
      <c r="BU102" s="13">
        <f t="shared" ca="1" si="83"/>
        <v>0</v>
      </c>
      <c r="BV102" s="2">
        <f t="shared" ca="1" si="84"/>
        <v>1.9680139408507505E-2</v>
      </c>
      <c r="BW102" s="2">
        <f t="shared" ca="1" si="85"/>
        <v>0</v>
      </c>
      <c r="BX102" s="2">
        <f t="shared" ca="1" si="86"/>
        <v>0</v>
      </c>
      <c r="BY102" s="13">
        <f t="shared" ca="1" si="87"/>
        <v>0</v>
      </c>
      <c r="CF102" s="39" t="str">
        <f t="shared" si="88"/>
        <v>C2020-09-4300000.CFE</v>
      </c>
      <c r="CG102" s="39" t="str">
        <f t="shared" si="89"/>
        <v>P2020-09-4300000.CFE</v>
      </c>
      <c r="CH102" s="95" t="s">
        <v>126</v>
      </c>
      <c r="CI102" s="100" t="str">
        <f>IF([1]!w_info_callput(CH102)="认购","C","P")</f>
        <v>C</v>
      </c>
      <c r="CJ102" s="104">
        <f>[1]!w_info_strikeprice(CH102,"")</f>
        <v>4300</v>
      </c>
      <c r="CK102" s="102" t="str">
        <f>[1]!w_info_lasttradingdate(CH102)</f>
        <v>2020-09-18</v>
      </c>
      <c r="CL102" s="39" t="str">
        <f t="shared" ref="CL102:CL132" si="99">VLOOKUP(CG102,CF:CH,3,0)</f>
        <v>IO2009-P-4300.CFE</v>
      </c>
    </row>
    <row r="103" spans="2:90">
      <c r="B103" s="112" t="s">
        <v>127</v>
      </c>
      <c r="C103" s="29" t="str">
        <f>IF([1]!w_info_callput(B103)="认购","C","P")</f>
        <v>C</v>
      </c>
      <c r="D103" s="96">
        <f>[1]!w_info_strikeprice(B103,"")</f>
        <v>4400</v>
      </c>
      <c r="E103" s="18" t="str">
        <f>[1]!w_info_lasttradingdate(B103)</f>
        <v>2020-09-18</v>
      </c>
      <c r="F103" s="4">
        <f>IF(G103&gt;0,RTD("wdf.rtq",,$B103,F$5),0)</f>
        <v>84.4</v>
      </c>
      <c r="G103" s="53">
        <f>RTD("wdf.rtq",,$B103,G$5)</f>
        <v>3</v>
      </c>
      <c r="H103" s="4">
        <f>RTD("wdf.rtq",,$B103,H$5)</f>
        <v>0</v>
      </c>
      <c r="I103" s="53">
        <f>RTD("wdf.rtq",,$B103,I$5)</f>
        <v>0</v>
      </c>
      <c r="J103" s="4">
        <f>RTD("wdf.rtq",,$B103,J$5)</f>
        <v>96.600000000000009</v>
      </c>
      <c r="K103" s="54">
        <f>RTD("wdf.rtq",,$B103,K$5)</f>
        <v>1</v>
      </c>
      <c r="L103" s="4">
        <f>[1]!s_dq_presettle(B103,"")</f>
        <v>80.8</v>
      </c>
      <c r="M103" s="6">
        <f t="shared" si="62"/>
        <v>642.90000000000009</v>
      </c>
      <c r="N103" s="3">
        <f t="shared" si="63"/>
        <v>86180</v>
      </c>
      <c r="O103" s="4">
        <f t="shared" si="64"/>
        <v>-26719.000000000007</v>
      </c>
      <c r="P103" s="4">
        <f t="shared" si="65"/>
        <v>22000</v>
      </c>
      <c r="Q103" s="8">
        <f t="shared" si="66"/>
        <v>108180.01</v>
      </c>
      <c r="R103" s="55">
        <f ca="1">IF(NOW()-TODAY()&gt;15/24, G103, [1]!s_dq_volume(B103,R$2,1))/$AI$2</f>
        <v>72</v>
      </c>
      <c r="AB103" s="39" t="s">
        <v>142</v>
      </c>
      <c r="AC103" s="29" t="str">
        <f>IF([1]!w_info_callput(AB103)="认购","C","P")</f>
        <v>P</v>
      </c>
      <c r="AD103" s="31">
        <f>[1]!w_info_strikeprice(AB103,"")</f>
        <v>4400</v>
      </c>
      <c r="AE103" s="18" t="str">
        <f>[1]!w_info_lasttradingdate(AB103)</f>
        <v>2020-09-18</v>
      </c>
      <c r="AF103" s="4">
        <f>RTD("wdf.rtq",,$AB103,F$5)</f>
        <v>861.80000000000007</v>
      </c>
      <c r="AG103" s="53">
        <f>RTD("wdf.rtq",,$AB103,G$5)</f>
        <v>0</v>
      </c>
      <c r="AH103" s="4">
        <f>RTD("wdf.rtq",,$AB103,H$5)</f>
        <v>0</v>
      </c>
      <c r="AI103" s="53">
        <f>RTD("wdf.rtq",,$AB103,I$5)</f>
        <v>0</v>
      </c>
      <c r="AJ103" s="4">
        <f>RTD("wdf.rtq",,$AB103,J$5)</f>
        <v>0</v>
      </c>
      <c r="AK103" s="54">
        <f>RTD("wdf.rtq",,$AB103,K$5)</f>
        <v>0</v>
      </c>
      <c r="AL103" s="4">
        <f>[1]!s_dq_presettle(AB103,"")</f>
        <v>881.6</v>
      </c>
      <c r="AM103" s="6">
        <f t="shared" si="67"/>
        <v>0</v>
      </c>
      <c r="AN103" s="6">
        <f t="shared" si="68"/>
        <v>86180</v>
      </c>
      <c r="AO103" s="6">
        <f t="shared" si="69"/>
        <v>37571</v>
      </c>
      <c r="AP103" s="4">
        <f t="shared" si="70"/>
        <v>22000</v>
      </c>
      <c r="AQ103" s="8">
        <f t="shared" si="71"/>
        <v>123751.01</v>
      </c>
      <c r="AR103" s="55">
        <f ca="1">IF(NOW()-TODAY()&gt;15/24, AG103, [1]!s_dq_volume(AB103,AR$2,1))/AI$2</f>
        <v>0</v>
      </c>
      <c r="AS103" s="110"/>
      <c r="AT103" s="110"/>
      <c r="AU103" s="110"/>
      <c r="AV103" s="110"/>
      <c r="AY103" s="10"/>
      <c r="AZ103" s="10"/>
      <c r="BA103" s="6">
        <f t="shared" ca="1" si="91"/>
        <v>8525.6533333333318</v>
      </c>
      <c r="BB103" s="6">
        <f t="shared" ca="1" si="92"/>
        <v>0</v>
      </c>
      <c r="BC103" s="6">
        <f t="shared" ca="1" si="93"/>
        <v>0</v>
      </c>
      <c r="BD103" s="12">
        <f t="shared" ca="1" si="94"/>
        <v>0</v>
      </c>
      <c r="BE103" s="2">
        <f t="shared" ca="1" si="72"/>
        <v>1.4955449653163361E-2</v>
      </c>
      <c r="BF103" s="2">
        <f t="shared" ca="1" si="73"/>
        <v>0</v>
      </c>
      <c r="BG103" s="2">
        <f t="shared" ca="1" si="74"/>
        <v>0</v>
      </c>
      <c r="BH103" s="13">
        <f t="shared" ca="1" si="75"/>
        <v>0</v>
      </c>
      <c r="BI103" s="2">
        <f t="shared" ca="1" si="76"/>
        <v>3.1015563201162652E-2</v>
      </c>
      <c r="BJ103" s="2">
        <f t="shared" ca="1" si="77"/>
        <v>0</v>
      </c>
      <c r="BK103" s="2">
        <f t="shared" ca="1" si="78"/>
        <v>0</v>
      </c>
      <c r="BL103" s="40">
        <f t="shared" ca="1" si="79"/>
        <v>0</v>
      </c>
      <c r="BN103" s="6">
        <f t="shared" ca="1" si="95"/>
        <v>159.0079999999997</v>
      </c>
      <c r="BO103" s="6">
        <f t="shared" ca="1" si="96"/>
        <v>0</v>
      </c>
      <c r="BP103" s="6">
        <f t="shared" ca="1" si="97"/>
        <v>0</v>
      </c>
      <c r="BQ103" s="12">
        <f t="shared" ca="1" si="98"/>
        <v>0</v>
      </c>
      <c r="BR103" s="2">
        <f t="shared" ca="1" si="80"/>
        <v>8.9695058349904767E-4</v>
      </c>
      <c r="BS103" s="2">
        <f t="shared" ca="1" si="81"/>
        <v>0</v>
      </c>
      <c r="BT103" s="2">
        <f t="shared" ca="1" si="82"/>
        <v>0</v>
      </c>
      <c r="BU103" s="13">
        <f t="shared" ca="1" si="83"/>
        <v>0</v>
      </c>
      <c r="BV103" s="2">
        <f t="shared" ca="1" si="84"/>
        <v>1.8601531987338207E-3</v>
      </c>
      <c r="BW103" s="2">
        <f t="shared" ca="1" si="85"/>
        <v>0</v>
      </c>
      <c r="BX103" s="2">
        <f t="shared" ca="1" si="86"/>
        <v>0</v>
      </c>
      <c r="BY103" s="13">
        <f t="shared" ca="1" si="87"/>
        <v>0</v>
      </c>
      <c r="CF103" s="39" t="str">
        <f t="shared" si="88"/>
        <v>C2020-09-4400000.CFE</v>
      </c>
      <c r="CG103" s="39" t="str">
        <f t="shared" si="89"/>
        <v>P2020-09-4400000.CFE</v>
      </c>
      <c r="CH103" s="95" t="s">
        <v>127</v>
      </c>
      <c r="CI103" s="100" t="str">
        <f>IF([1]!w_info_callput(CH103)="认购","C","P")</f>
        <v>C</v>
      </c>
      <c r="CJ103" s="104">
        <f>[1]!w_info_strikeprice(CH103,"")</f>
        <v>4400</v>
      </c>
      <c r="CK103" s="102" t="str">
        <f>[1]!w_info_lasttradingdate(CH103)</f>
        <v>2020-09-18</v>
      </c>
      <c r="CL103" s="39" t="str">
        <f t="shared" si="99"/>
        <v>IO2009-P-4400.CFE</v>
      </c>
    </row>
    <row r="104" spans="2:90">
      <c r="B104" s="112" t="s">
        <v>128</v>
      </c>
      <c r="C104" s="29" t="str">
        <f>IF([1]!w_info_callput(B104)="认购","C","P")</f>
        <v>C</v>
      </c>
      <c r="D104" s="96">
        <f>[1]!w_info_strikeprice(B104,"")</f>
        <v>4500</v>
      </c>
      <c r="E104" s="18" t="str">
        <f>[1]!w_info_lasttradingdate(B104)</f>
        <v>2020-09-18</v>
      </c>
      <c r="F104" s="4">
        <f>IF(G104&gt;0,RTD("wdf.rtq",,$B104,F$5),0)</f>
        <v>77.400000000000006</v>
      </c>
      <c r="G104" s="53">
        <f>RTD("wdf.rtq",,$B104,G$5)</f>
        <v>41</v>
      </c>
      <c r="H104" s="4">
        <f>RTD("wdf.rtq",,$B104,H$5)</f>
        <v>0</v>
      </c>
      <c r="I104" s="53">
        <f>RTD("wdf.rtq",,$B104,I$5)</f>
        <v>0</v>
      </c>
      <c r="J104" s="4">
        <f>RTD("wdf.rtq",,$B104,J$5)</f>
        <v>85</v>
      </c>
      <c r="K104" s="54">
        <f>RTD("wdf.rtq",,$B104,K$5)</f>
        <v>2</v>
      </c>
      <c r="L104" s="4">
        <f>[1]!s_dq_presettle(B104,"")</f>
        <v>69.2</v>
      </c>
      <c r="M104" s="6">
        <f t="shared" si="62"/>
        <v>742.90000000000009</v>
      </c>
      <c r="N104" s="3">
        <f t="shared" si="63"/>
        <v>96900</v>
      </c>
      <c r="O104" s="4">
        <f t="shared" si="64"/>
        <v>-36719.000000000007</v>
      </c>
      <c r="P104" s="4">
        <f t="shared" si="65"/>
        <v>22500</v>
      </c>
      <c r="Q104" s="8">
        <f t="shared" si="66"/>
        <v>119400.01</v>
      </c>
      <c r="R104" s="55">
        <f ca="1">IF(NOW()-TODAY()&gt;15/24, G104, [1]!s_dq_volume(B104,R$2,1))/$AI$2</f>
        <v>57</v>
      </c>
      <c r="AB104" s="39" t="s">
        <v>143</v>
      </c>
      <c r="AC104" s="29" t="str">
        <f>IF([1]!w_info_callput(AB104)="认购","C","P")</f>
        <v>P</v>
      </c>
      <c r="AD104" s="31">
        <f>[1]!w_info_strikeprice(AB104,"")</f>
        <v>4500</v>
      </c>
      <c r="AE104" s="18" t="str">
        <f>[1]!w_info_lasttradingdate(AB104)</f>
        <v>2020-09-18</v>
      </c>
      <c r="AF104" s="4">
        <f>RTD("wdf.rtq",,$AB104,F$5)</f>
        <v>969</v>
      </c>
      <c r="AG104" s="53">
        <f>RTD("wdf.rtq",,$AB104,G$5)</f>
        <v>0</v>
      </c>
      <c r="AH104" s="4">
        <f>RTD("wdf.rtq",,$AB104,H$5)</f>
        <v>0</v>
      </c>
      <c r="AI104" s="53">
        <f>RTD("wdf.rtq",,$AB104,I$5)</f>
        <v>0</v>
      </c>
      <c r="AJ104" s="4">
        <f>RTD("wdf.rtq",,$AB104,J$5)</f>
        <v>0</v>
      </c>
      <c r="AK104" s="54">
        <f>RTD("wdf.rtq",,$AB104,K$5)</f>
        <v>0</v>
      </c>
      <c r="AL104" s="4">
        <f>[1]!s_dq_presettle(AB104,"")</f>
        <v>969</v>
      </c>
      <c r="AM104" s="6">
        <f t="shared" si="67"/>
        <v>0</v>
      </c>
      <c r="AN104" s="6">
        <f t="shared" si="68"/>
        <v>96900</v>
      </c>
      <c r="AO104" s="6">
        <f t="shared" si="69"/>
        <v>37571</v>
      </c>
      <c r="AP104" s="4">
        <f t="shared" si="70"/>
        <v>22500</v>
      </c>
      <c r="AQ104" s="8">
        <f t="shared" si="71"/>
        <v>134471.01</v>
      </c>
      <c r="AR104" s="55">
        <f ca="1">IF(NOW()-TODAY()&gt;15/24, AG104, [1]!s_dq_volume(AB104,AR$2,1))/AI$2</f>
        <v>3</v>
      </c>
      <c r="AS104" s="110"/>
      <c r="AT104" s="110"/>
      <c r="AU104" s="110"/>
      <c r="AV104" s="110"/>
      <c r="AY104" s="10"/>
      <c r="AZ104" s="10"/>
      <c r="BA104" s="6">
        <f t="shared" ca="1" si="91"/>
        <v>7105.6533333333391</v>
      </c>
      <c r="BB104" s="6">
        <f t="shared" ca="1" si="92"/>
        <v>0</v>
      </c>
      <c r="BC104" s="6">
        <f t="shared" ca="1" si="93"/>
        <v>0</v>
      </c>
      <c r="BD104" s="12">
        <f t="shared" ca="1" si="94"/>
        <v>0</v>
      </c>
      <c r="BE104" s="2">
        <f t="shared" ca="1" si="72"/>
        <v>1.2002589843596291E-2</v>
      </c>
      <c r="BF104" s="2">
        <f t="shared" ca="1" si="73"/>
        <v>0</v>
      </c>
      <c r="BG104" s="2">
        <f t="shared" ca="1" si="74"/>
        <v>0</v>
      </c>
      <c r="BH104" s="13">
        <f t="shared" ca="1" si="75"/>
        <v>0</v>
      </c>
      <c r="BI104" s="2">
        <f t="shared" ca="1" si="76"/>
        <v>2.4891734618821857E-2</v>
      </c>
      <c r="BJ104" s="2">
        <f t="shared" ca="1" si="77"/>
        <v>0</v>
      </c>
      <c r="BK104" s="2">
        <f t="shared" ca="1" si="78"/>
        <v>0</v>
      </c>
      <c r="BL104" s="40">
        <f t="shared" ca="1" si="79"/>
        <v>0</v>
      </c>
      <c r="BN104" s="6">
        <f t="shared" ca="1" si="95"/>
        <v>1579.007999999993</v>
      </c>
      <c r="BO104" s="6">
        <f t="shared" ca="1" si="96"/>
        <v>0</v>
      </c>
      <c r="BP104" s="6">
        <f t="shared" ca="1" si="97"/>
        <v>0</v>
      </c>
      <c r="BQ104" s="12">
        <f t="shared" ca="1" si="98"/>
        <v>0</v>
      </c>
      <c r="BR104" s="2">
        <f t="shared" ca="1" si="80"/>
        <v>8.4305389842111219E-3</v>
      </c>
      <c r="BS104" s="2">
        <f t="shared" ca="1" si="81"/>
        <v>0</v>
      </c>
      <c r="BT104" s="2">
        <f t="shared" ca="1" si="82"/>
        <v>0</v>
      </c>
      <c r="BU104" s="13">
        <f t="shared" ca="1" si="83"/>
        <v>0</v>
      </c>
      <c r="BV104" s="2">
        <f t="shared" ca="1" si="84"/>
        <v>1.7483788234301474E-2</v>
      </c>
      <c r="BW104" s="2">
        <f t="shared" ca="1" si="85"/>
        <v>0</v>
      </c>
      <c r="BX104" s="2">
        <f t="shared" ca="1" si="86"/>
        <v>0</v>
      </c>
      <c r="BY104" s="13">
        <f t="shared" ca="1" si="87"/>
        <v>0</v>
      </c>
      <c r="CF104" s="39" t="str">
        <f t="shared" si="88"/>
        <v>C2020-09-4500000.CFE</v>
      </c>
      <c r="CG104" s="39" t="str">
        <f t="shared" si="89"/>
        <v>P2020-09-4500000.CFE</v>
      </c>
      <c r="CH104" s="95" t="s">
        <v>128</v>
      </c>
      <c r="CI104" s="100" t="str">
        <f>IF([1]!w_info_callput(CH104)="认购","C","P")</f>
        <v>C</v>
      </c>
      <c r="CJ104" s="104">
        <f>[1]!w_info_strikeprice(CH104,"")</f>
        <v>4500</v>
      </c>
      <c r="CK104" s="102" t="str">
        <f>[1]!w_info_lasttradingdate(CH104)</f>
        <v>2020-09-18</v>
      </c>
      <c r="CL104" s="39" t="str">
        <f t="shared" si="99"/>
        <v>IO2009-P-4500.CFE</v>
      </c>
    </row>
    <row r="105" spans="2:90">
      <c r="B105" s="112" t="s">
        <v>129</v>
      </c>
      <c r="C105" s="29" t="str">
        <f>IF([1]!w_info_callput(B105)="认购","C","P")</f>
        <v>C</v>
      </c>
      <c r="D105" s="96">
        <f>[1]!w_info_strikeprice(B105,"")</f>
        <v>4600</v>
      </c>
      <c r="E105" s="18" t="str">
        <f>[1]!w_info_lasttradingdate(B105)</f>
        <v>2020-09-18</v>
      </c>
      <c r="F105" s="4">
        <f>IF(G105&gt;0,RTD("wdf.rtq",,$B105,F$5),0)</f>
        <v>67.8</v>
      </c>
      <c r="G105" s="53">
        <f>RTD("wdf.rtq",,$B105,G$5)</f>
        <v>40</v>
      </c>
      <c r="H105" s="4">
        <f>RTD("wdf.rtq",,$B105,H$5)</f>
        <v>41.800000000000004</v>
      </c>
      <c r="I105" s="53">
        <f>RTD("wdf.rtq",,$B105,I$5)</f>
        <v>14</v>
      </c>
      <c r="J105" s="4">
        <f>RTD("wdf.rtq",,$B105,J$5)</f>
        <v>80</v>
      </c>
      <c r="K105" s="54">
        <f>RTD("wdf.rtq",,$B105,K$5)</f>
        <v>1</v>
      </c>
      <c r="L105" s="4">
        <f>[1]!s_dq_presettle(B105,"")</f>
        <v>61</v>
      </c>
      <c r="M105" s="6">
        <f t="shared" si="62"/>
        <v>842.90000000000009</v>
      </c>
      <c r="N105" s="3">
        <f t="shared" si="63"/>
        <v>103900</v>
      </c>
      <c r="O105" s="4">
        <f t="shared" si="64"/>
        <v>-46719.000000000007</v>
      </c>
      <c r="P105" s="4">
        <f t="shared" si="65"/>
        <v>23000</v>
      </c>
      <c r="Q105" s="8">
        <f t="shared" si="66"/>
        <v>126900.01</v>
      </c>
      <c r="R105" s="55">
        <f ca="1">IF(NOW()-TODAY()&gt;15/24, G105, [1]!s_dq_volume(B105,R$2,1))/$AI$2</f>
        <v>87</v>
      </c>
      <c r="AB105" s="39" t="s">
        <v>144</v>
      </c>
      <c r="AC105" s="29" t="str">
        <f>IF([1]!w_info_callput(AB105)="认购","C","P")</f>
        <v>P</v>
      </c>
      <c r="AD105" s="31">
        <f>[1]!w_info_strikeprice(AB105,"")</f>
        <v>4600</v>
      </c>
      <c r="AE105" s="18" t="str">
        <f>[1]!w_info_lasttradingdate(AB105)</f>
        <v>2020-09-18</v>
      </c>
      <c r="AF105" s="4">
        <f>RTD("wdf.rtq",,$AB105,F$5)</f>
        <v>1039</v>
      </c>
      <c r="AG105" s="53">
        <f>RTD("wdf.rtq",,$AB105,G$5)</f>
        <v>6</v>
      </c>
      <c r="AH105" s="4">
        <f>RTD("wdf.rtq",,$AB105,H$5)</f>
        <v>0</v>
      </c>
      <c r="AI105" s="53">
        <f>RTD("wdf.rtq",,$AB105,I$5)</f>
        <v>0</v>
      </c>
      <c r="AJ105" s="4">
        <f>RTD("wdf.rtq",,$AB105,J$5)</f>
        <v>0</v>
      </c>
      <c r="AK105" s="54">
        <f>RTD("wdf.rtq",,$AB105,K$5)</f>
        <v>0</v>
      </c>
      <c r="AL105" s="4">
        <f>[1]!s_dq_presettle(AB105,"")</f>
        <v>1066.4000000000001</v>
      </c>
      <c r="AM105" s="6">
        <f t="shared" si="67"/>
        <v>0</v>
      </c>
      <c r="AN105" s="6">
        <f t="shared" si="68"/>
        <v>103900</v>
      </c>
      <c r="AO105" s="6">
        <f t="shared" si="69"/>
        <v>37571</v>
      </c>
      <c r="AP105" s="4">
        <f t="shared" si="70"/>
        <v>23000</v>
      </c>
      <c r="AQ105" s="8">
        <f t="shared" si="71"/>
        <v>141471.01</v>
      </c>
      <c r="AR105" s="55">
        <f ca="1">IF(NOW()-TODAY()&gt;15/24, AG105, [1]!s_dq_volume(AB105,AR$2,1))/AI$2</f>
        <v>6</v>
      </c>
      <c r="AS105" s="110"/>
      <c r="AT105" s="110"/>
      <c r="AU105" s="110"/>
      <c r="AV105" s="110"/>
      <c r="AY105" s="10"/>
      <c r="AZ105" s="10"/>
      <c r="BA105" s="6">
        <f t="shared" ca="1" si="91"/>
        <v>9145.6533333333373</v>
      </c>
      <c r="BB105" s="6">
        <f t="shared" ca="1" si="92"/>
        <v>0</v>
      </c>
      <c r="BC105" s="6">
        <f t="shared" ca="1" si="93"/>
        <v>0</v>
      </c>
      <c r="BD105" s="12">
        <f t="shared" ca="1" si="94"/>
        <v>0</v>
      </c>
      <c r="BE105" s="2">
        <f t="shared" ca="1" si="72"/>
        <v>1.507914656401687E-2</v>
      </c>
      <c r="BF105" s="2">
        <f t="shared" ca="1" si="73"/>
        <v>0</v>
      </c>
      <c r="BG105" s="2">
        <f t="shared" ca="1" si="74"/>
        <v>0</v>
      </c>
      <c r="BH105" s="13">
        <f t="shared" ca="1" si="75"/>
        <v>0</v>
      </c>
      <c r="BI105" s="2">
        <f t="shared" ca="1" si="76"/>
        <v>3.1272093726512261E-2</v>
      </c>
      <c r="BJ105" s="2">
        <f t="shared" ca="1" si="77"/>
        <v>0</v>
      </c>
      <c r="BK105" s="2">
        <f t="shared" ca="1" si="78"/>
        <v>0</v>
      </c>
      <c r="BL105" s="40">
        <f t="shared" ca="1" si="79"/>
        <v>0</v>
      </c>
      <c r="BN105" s="6">
        <f t="shared" ca="1" si="95"/>
        <v>-460.99200000000485</v>
      </c>
      <c r="BO105" s="6">
        <f t="shared" ca="1" si="96"/>
        <v>0</v>
      </c>
      <c r="BP105" s="6">
        <f t="shared" ca="1" si="97"/>
        <v>0</v>
      </c>
      <c r="BQ105" s="12">
        <f t="shared" ca="1" si="98"/>
        <v>0</v>
      </c>
      <c r="BR105" s="2">
        <f t="shared" ca="1" si="80"/>
        <v>-2.3844059009949809E-3</v>
      </c>
      <c r="BS105" s="2">
        <f t="shared" ca="1" si="81"/>
        <v>0</v>
      </c>
      <c r="BT105" s="2">
        <f t="shared" ca="1" si="82"/>
        <v>0</v>
      </c>
      <c r="BU105" s="13">
        <f t="shared" ca="1" si="83"/>
        <v>0</v>
      </c>
      <c r="BV105" s="2">
        <f t="shared" ca="1" si="84"/>
        <v>-4.9449326924043639E-3</v>
      </c>
      <c r="BW105" s="2">
        <f t="shared" ca="1" si="85"/>
        <v>0</v>
      </c>
      <c r="BX105" s="2">
        <f t="shared" ca="1" si="86"/>
        <v>0</v>
      </c>
      <c r="BY105" s="13">
        <f t="shared" ca="1" si="87"/>
        <v>0</v>
      </c>
      <c r="CF105" s="39" t="str">
        <f t="shared" si="88"/>
        <v>C2020-09-4600000.CFE</v>
      </c>
      <c r="CG105" s="39" t="str">
        <f t="shared" si="89"/>
        <v>P2020-09-4600000.CFE</v>
      </c>
      <c r="CH105" s="95" t="s">
        <v>129</v>
      </c>
      <c r="CI105" s="100" t="str">
        <f>IF([1]!w_info_callput(CH105)="认购","C","P")</f>
        <v>C</v>
      </c>
      <c r="CJ105" s="104">
        <f>[1]!w_info_strikeprice(CH105,"")</f>
        <v>4600</v>
      </c>
      <c r="CK105" s="102" t="str">
        <f>[1]!w_info_lasttradingdate(CH105)</f>
        <v>2020-09-18</v>
      </c>
      <c r="CL105" s="39" t="str">
        <f t="shared" si="99"/>
        <v>IO2009-P-4600.CFE</v>
      </c>
    </row>
    <row r="106" spans="2:90">
      <c r="B106" s="112" t="s">
        <v>130</v>
      </c>
      <c r="C106" s="29" t="str">
        <f>IF([1]!w_info_callput(B106)="认购","C","P")</f>
        <v>C</v>
      </c>
      <c r="D106" s="96">
        <f>[1]!w_info_strikeprice(B106,"")</f>
        <v>4700</v>
      </c>
      <c r="E106" s="18" t="str">
        <f>[1]!w_info_lasttradingdate(B106)</f>
        <v>2020-09-18</v>
      </c>
      <c r="F106" s="4">
        <f>IF(G106&gt;0,RTD("wdf.rtq",,$B106,F$5),0)</f>
        <v>58</v>
      </c>
      <c r="G106" s="53">
        <f>RTD("wdf.rtq",,$B106,G$5)</f>
        <v>23</v>
      </c>
      <c r="H106" s="4">
        <f>RTD("wdf.rtq",,$B106,H$5)</f>
        <v>48.800000000000004</v>
      </c>
      <c r="I106" s="53">
        <f>RTD("wdf.rtq",,$B106,I$5)</f>
        <v>5</v>
      </c>
      <c r="J106" s="4">
        <f>RTD("wdf.rtq",,$B106,J$5)</f>
        <v>59.800000000000004</v>
      </c>
      <c r="K106" s="54">
        <f>RTD("wdf.rtq",,$B106,K$5)</f>
        <v>2</v>
      </c>
      <c r="L106" s="4">
        <f>[1]!s_dq_presettle(B106,"")</f>
        <v>52.6</v>
      </c>
      <c r="M106" s="6">
        <f t="shared" si="62"/>
        <v>942.90000000000009</v>
      </c>
      <c r="N106" s="3">
        <f t="shared" si="63"/>
        <v>112400</v>
      </c>
      <c r="O106" s="4">
        <f t="shared" si="64"/>
        <v>-56719.000000000007</v>
      </c>
      <c r="P106" s="4">
        <f t="shared" si="65"/>
        <v>23500</v>
      </c>
      <c r="Q106" s="8">
        <f t="shared" si="66"/>
        <v>135900.01</v>
      </c>
      <c r="R106" s="55">
        <f ca="1">IF(NOW()-TODAY()&gt;15/24, G106, [1]!s_dq_volume(B106,R$2,1))/$AI$2</f>
        <v>80</v>
      </c>
      <c r="AB106" s="39" t="s">
        <v>145</v>
      </c>
      <c r="AC106" s="29" t="str">
        <f>IF([1]!w_info_callput(AB106)="认购","C","P")</f>
        <v>P</v>
      </c>
      <c r="AD106" s="31">
        <f>[1]!w_info_strikeprice(AB106,"")</f>
        <v>4700</v>
      </c>
      <c r="AE106" s="18" t="str">
        <f>[1]!w_info_lasttradingdate(AB106)</f>
        <v>2020-09-18</v>
      </c>
      <c r="AF106" s="4">
        <f>RTD("wdf.rtq",,$AB106,F$5)</f>
        <v>1124</v>
      </c>
      <c r="AG106" s="53">
        <f>RTD("wdf.rtq",,$AB106,G$5)</f>
        <v>12</v>
      </c>
      <c r="AH106" s="4">
        <f>RTD("wdf.rtq",,$AB106,H$5)</f>
        <v>0</v>
      </c>
      <c r="AI106" s="53">
        <f>RTD("wdf.rtq",,$AB106,I$5)</f>
        <v>0</v>
      </c>
      <c r="AJ106" s="4">
        <f>RTD("wdf.rtq",,$AB106,J$5)</f>
        <v>0</v>
      </c>
      <c r="AK106" s="54">
        <f>RTD("wdf.rtq",,$AB106,K$5)</f>
        <v>0</v>
      </c>
      <c r="AL106" s="4">
        <f>[1]!s_dq_presettle(AB106,"")</f>
        <v>1146.4000000000001</v>
      </c>
      <c r="AM106" s="6">
        <f t="shared" si="67"/>
        <v>0</v>
      </c>
      <c r="AN106" s="6">
        <f t="shared" si="68"/>
        <v>112400</v>
      </c>
      <c r="AO106" s="6">
        <f t="shared" si="69"/>
        <v>37571</v>
      </c>
      <c r="AP106" s="4">
        <f t="shared" si="70"/>
        <v>23500</v>
      </c>
      <c r="AQ106" s="8">
        <f t="shared" si="71"/>
        <v>149971.01</v>
      </c>
      <c r="AR106" s="55">
        <f ca="1">IF(NOW()-TODAY()&gt;15/24, AG106, [1]!s_dq_volume(AB106,AR$2,1))/AI$2</f>
        <v>6</v>
      </c>
      <c r="AS106" s="110"/>
      <c r="AT106" s="110"/>
      <c r="AU106" s="110"/>
      <c r="AV106" s="110"/>
      <c r="AY106" s="10"/>
      <c r="AZ106" s="10"/>
      <c r="BA106" s="6">
        <f t="shared" ca="1" si="91"/>
        <v>9665.6533333333409</v>
      </c>
      <c r="BB106" s="6">
        <f t="shared" ca="1" si="92"/>
        <v>0</v>
      </c>
      <c r="BC106" s="6">
        <f t="shared" ca="1" si="93"/>
        <v>0</v>
      </c>
      <c r="BD106" s="12">
        <f t="shared" ca="1" si="94"/>
        <v>0</v>
      </c>
      <c r="BE106" s="2">
        <f t="shared" ca="1" si="72"/>
        <v>1.5489580581140583E-2</v>
      </c>
      <c r="BF106" s="2">
        <f t="shared" ca="1" si="73"/>
        <v>0</v>
      </c>
      <c r="BG106" s="2">
        <f t="shared" ca="1" si="74"/>
        <v>0</v>
      </c>
      <c r="BH106" s="13">
        <f t="shared" ca="1" si="75"/>
        <v>0</v>
      </c>
      <c r="BI106" s="2">
        <f t="shared" ca="1" si="76"/>
        <v>3.212327790975178E-2</v>
      </c>
      <c r="BJ106" s="2">
        <f t="shared" ca="1" si="77"/>
        <v>0</v>
      </c>
      <c r="BK106" s="2">
        <f t="shared" ca="1" si="78"/>
        <v>0</v>
      </c>
      <c r="BL106" s="40">
        <f t="shared" ca="1" si="79"/>
        <v>0</v>
      </c>
      <c r="BN106" s="6">
        <f t="shared" ca="1" si="95"/>
        <v>-980.9920000000094</v>
      </c>
      <c r="BO106" s="6">
        <f t="shared" ca="1" si="96"/>
        <v>0</v>
      </c>
      <c r="BP106" s="6">
        <f t="shared" ca="1" si="97"/>
        <v>0</v>
      </c>
      <c r="BQ106" s="12">
        <f t="shared" ca="1" si="98"/>
        <v>0</v>
      </c>
      <c r="BR106" s="2">
        <f t="shared" ca="1" si="80"/>
        <v>-4.8840511328975553E-3</v>
      </c>
      <c r="BS106" s="2">
        <f t="shared" ca="1" si="81"/>
        <v>0</v>
      </c>
      <c r="BT106" s="2">
        <f t="shared" ca="1" si="82"/>
        <v>0</v>
      </c>
      <c r="BU106" s="13">
        <f t="shared" ca="1" si="83"/>
        <v>0</v>
      </c>
      <c r="BV106" s="2">
        <f t="shared" ca="1" si="84"/>
        <v>-1.0128856042656863E-2</v>
      </c>
      <c r="BW106" s="2">
        <f t="shared" ca="1" si="85"/>
        <v>0</v>
      </c>
      <c r="BX106" s="2">
        <f t="shared" ca="1" si="86"/>
        <v>0</v>
      </c>
      <c r="BY106" s="13">
        <f t="shared" ca="1" si="87"/>
        <v>0</v>
      </c>
      <c r="CF106" s="39" t="str">
        <f t="shared" si="88"/>
        <v>C2020-09-4700000.CFE</v>
      </c>
      <c r="CG106" s="39" t="str">
        <f t="shared" si="89"/>
        <v>P2020-09-4700000.CFE</v>
      </c>
      <c r="CH106" s="95" t="s">
        <v>130</v>
      </c>
      <c r="CI106" s="100" t="str">
        <f>IF([1]!w_info_callput(CH106)="认购","C","P")</f>
        <v>C</v>
      </c>
      <c r="CJ106" s="104">
        <f>[1]!w_info_strikeprice(CH106,"")</f>
        <v>4700</v>
      </c>
      <c r="CK106" s="102" t="str">
        <f>[1]!w_info_lasttradingdate(CH106)</f>
        <v>2020-09-18</v>
      </c>
      <c r="CL106" s="39" t="str">
        <f t="shared" si="99"/>
        <v>IO2009-P-4700.CFE</v>
      </c>
    </row>
    <row r="107" spans="2:90">
      <c r="B107" s="112" t="s">
        <v>353</v>
      </c>
      <c r="C107" s="29" t="str">
        <f>IF([1]!w_info_callput(B107)="认购","C","P")</f>
        <v>C</v>
      </c>
      <c r="D107" s="96">
        <f>[1]!w_info_strikeprice(B107,"")</f>
        <v>3200</v>
      </c>
      <c r="E107" s="18" t="str">
        <f>[1]!w_info_lasttradingdate(B107)</f>
        <v>2020-12-18</v>
      </c>
      <c r="F107" s="4">
        <f>IF(G107&gt;0,RTD("wdf.rtq",,$B107,F$5),0)</f>
        <v>601.20000000000005</v>
      </c>
      <c r="G107" s="53">
        <f>RTD("wdf.rtq",,$B107,G$5)</f>
        <v>1</v>
      </c>
      <c r="H107" s="4">
        <f>RTD("wdf.rtq",,$B107,H$5)</f>
        <v>240</v>
      </c>
      <c r="I107" s="53">
        <f>RTD("wdf.rtq",,$B107,I$5)</f>
        <v>2</v>
      </c>
      <c r="J107" s="4">
        <f>RTD("wdf.rtq",,$B107,J$5)</f>
        <v>0</v>
      </c>
      <c r="K107" s="54">
        <f>RTD("wdf.rtq",,$B107,K$5)</f>
        <v>0</v>
      </c>
      <c r="L107" s="4">
        <f>[1]!s_dq_presettle(B107,"")</f>
        <v>568.6</v>
      </c>
      <c r="M107" s="6">
        <f t="shared" si="62"/>
        <v>0</v>
      </c>
      <c r="N107" s="3">
        <f t="shared" si="63"/>
        <v>16260</v>
      </c>
      <c r="O107" s="4">
        <f t="shared" si="64"/>
        <v>37571</v>
      </c>
      <c r="P107" s="4">
        <f t="shared" si="65"/>
        <v>16000</v>
      </c>
      <c r="Q107" s="8">
        <f t="shared" si="66"/>
        <v>53831.01</v>
      </c>
      <c r="R107" s="55">
        <f ca="1">IF(NOW()-TODAY()&gt;15/24, G107, [1]!s_dq_volume(B107,R$2,1))/$AI$2</f>
        <v>9</v>
      </c>
      <c r="AB107" s="39" t="s">
        <v>354</v>
      </c>
      <c r="AC107" s="29" t="str">
        <f>IF([1]!w_info_callput(AB107)="认购","C","P")</f>
        <v>P</v>
      </c>
      <c r="AD107" s="31">
        <f>[1]!w_info_strikeprice(AB107,"")</f>
        <v>3200</v>
      </c>
      <c r="AE107" s="18" t="str">
        <f>[1]!w_info_lasttradingdate(AB107)</f>
        <v>2020-12-18</v>
      </c>
      <c r="AF107" s="4">
        <f>RTD("wdf.rtq",,$AB107,F$5)</f>
        <v>162.6</v>
      </c>
      <c r="AG107" s="53">
        <f>RTD("wdf.rtq",,$AB107,G$5)</f>
        <v>1</v>
      </c>
      <c r="AH107" s="4">
        <f>RTD("wdf.rtq",,$AB107,H$5)</f>
        <v>0</v>
      </c>
      <c r="AI107" s="53">
        <f>RTD("wdf.rtq",,$AB107,I$5)</f>
        <v>0</v>
      </c>
      <c r="AJ107" s="4">
        <f>RTD("wdf.rtq",,$AB107,J$5)</f>
        <v>0</v>
      </c>
      <c r="AK107" s="54">
        <f>RTD("wdf.rtq",,$AB107,K$5)</f>
        <v>0</v>
      </c>
      <c r="AL107" s="4">
        <f>[1]!s_dq_presettle(AB107,"")</f>
        <v>169.2</v>
      </c>
      <c r="AM107" s="6">
        <f t="shared" si="67"/>
        <v>557.09999999999991</v>
      </c>
      <c r="AN107" s="6">
        <f t="shared" si="68"/>
        <v>16260</v>
      </c>
      <c r="AO107" s="6">
        <f t="shared" si="69"/>
        <v>-18138.999999999985</v>
      </c>
      <c r="AP107" s="4">
        <f t="shared" si="70"/>
        <v>16000</v>
      </c>
      <c r="AQ107" s="8">
        <f t="shared" si="71"/>
        <v>32260.01</v>
      </c>
      <c r="AR107" s="55">
        <f ca="1">IF(NOW()-TODAY()&gt;15/24, AG107, [1]!s_dq_volume(AB107,AR$2,1))/AI$2</f>
        <v>7</v>
      </c>
      <c r="AS107" s="110"/>
      <c r="AT107" s="110"/>
      <c r="AU107" s="110"/>
      <c r="AV107" s="110"/>
      <c r="AY107" s="10"/>
      <c r="AZ107" s="10"/>
      <c r="BA107" s="6">
        <f t="shared" ca="1" si="91"/>
        <v>21522.190000000013</v>
      </c>
      <c r="BB107" s="6">
        <f t="shared" ca="1" si="92"/>
        <v>0</v>
      </c>
      <c r="BC107" s="6">
        <f t="shared" ca="1" si="93"/>
        <v>0</v>
      </c>
      <c r="BD107" s="12">
        <f t="shared" ca="1" si="94"/>
        <v>0</v>
      </c>
      <c r="BE107" s="2">
        <f t="shared" ca="1" si="72"/>
        <v>4.8277571197068422E-2</v>
      </c>
      <c r="BF107" s="2">
        <f t="shared" ca="1" si="73"/>
        <v>0</v>
      </c>
      <c r="BG107" s="2">
        <f t="shared" ca="1" si="74"/>
        <v>0</v>
      </c>
      <c r="BH107" s="13">
        <f t="shared" ca="1" si="75"/>
        <v>0</v>
      </c>
      <c r="BI107" s="2">
        <f t="shared" ca="1" si="76"/>
        <v>6.599742878999991E-2</v>
      </c>
      <c r="BJ107" s="2">
        <f t="shared" ca="1" si="77"/>
        <v>0</v>
      </c>
      <c r="BK107" s="2">
        <f t="shared" ca="1" si="78"/>
        <v>0</v>
      </c>
      <c r="BL107" s="40">
        <f t="shared" ca="1" si="79"/>
        <v>0</v>
      </c>
      <c r="BN107" s="6">
        <f t="shared" ca="1" si="95"/>
        <v>-8278.9140000000116</v>
      </c>
      <c r="BO107" s="6">
        <f t="shared" ca="1" si="96"/>
        <v>0</v>
      </c>
      <c r="BP107" s="6">
        <f t="shared" ca="1" si="97"/>
        <v>0</v>
      </c>
      <c r="BQ107" s="12">
        <f t="shared" ca="1" si="98"/>
        <v>0</v>
      </c>
      <c r="BR107" s="2">
        <f t="shared" ca="1" si="80"/>
        <v>-6.0225521788385659E-2</v>
      </c>
      <c r="BS107" s="2">
        <f t="shared" ca="1" si="81"/>
        <v>0</v>
      </c>
      <c r="BT107" s="2">
        <f t="shared" ca="1" si="82"/>
        <v>0</v>
      </c>
      <c r="BU107" s="13">
        <f t="shared" ca="1" si="83"/>
        <v>0</v>
      </c>
      <c r="BV107" s="2">
        <f t="shared" ca="1" si="84"/>
        <v>-8.2330769485995381E-2</v>
      </c>
      <c r="BW107" s="2">
        <f t="shared" ca="1" si="85"/>
        <v>0</v>
      </c>
      <c r="BX107" s="2">
        <f t="shared" ca="1" si="86"/>
        <v>0</v>
      </c>
      <c r="BY107" s="13">
        <f t="shared" ca="1" si="87"/>
        <v>0</v>
      </c>
      <c r="CF107" s="39" t="str">
        <f t="shared" si="88"/>
        <v>C2020-12-3200000.CFE</v>
      </c>
      <c r="CG107" s="39" t="str">
        <f t="shared" si="89"/>
        <v>P2020-12-3200000.CFE</v>
      </c>
      <c r="CH107" s="95" t="s">
        <v>353</v>
      </c>
      <c r="CI107" s="100" t="str">
        <f>IF([1]!w_info_callput(CH107)="认购","C","P")</f>
        <v>C</v>
      </c>
      <c r="CJ107" s="104">
        <f>[1]!w_info_strikeprice(CH107,"")</f>
        <v>3200</v>
      </c>
      <c r="CK107" s="102" t="str">
        <f>[1]!w_info_lasttradingdate(CH107)</f>
        <v>2020-12-18</v>
      </c>
      <c r="CL107" s="39" t="str">
        <f t="shared" si="99"/>
        <v>IO2012-P-3200.CFE</v>
      </c>
    </row>
    <row r="108" spans="2:90">
      <c r="B108" s="112" t="s">
        <v>146</v>
      </c>
      <c r="C108" s="29" t="str">
        <f>IF([1]!w_info_callput(B108)="认购","C","P")</f>
        <v>C</v>
      </c>
      <c r="D108" s="96">
        <f>[1]!w_info_strikeprice(B108,"")</f>
        <v>3300</v>
      </c>
      <c r="E108" s="18" t="str">
        <f>[1]!w_info_lasttradingdate(B108)</f>
        <v>2020-12-18</v>
      </c>
      <c r="F108" s="4">
        <f>IF(G108&gt;0,RTD("wdf.rtq",,$B108,F$5),0)</f>
        <v>0</v>
      </c>
      <c r="G108" s="53">
        <f>RTD("wdf.rtq",,$B108,G$5)</f>
        <v>0</v>
      </c>
      <c r="H108" s="4">
        <f>RTD("wdf.rtq",,$B108,H$5)</f>
        <v>0</v>
      </c>
      <c r="I108" s="53">
        <f>RTD("wdf.rtq",,$B108,I$5)</f>
        <v>0</v>
      </c>
      <c r="J108" s="4">
        <f>RTD("wdf.rtq",,$B108,J$5)</f>
        <v>0</v>
      </c>
      <c r="K108" s="54">
        <f>RTD("wdf.rtq",,$B108,K$5)</f>
        <v>0</v>
      </c>
      <c r="L108" s="4">
        <f>[1]!s_dq_presettle(B108,"")</f>
        <v>499.2</v>
      </c>
      <c r="M108" s="6">
        <f t="shared" si="62"/>
        <v>0</v>
      </c>
      <c r="N108" s="3">
        <f t="shared" si="63"/>
        <v>19520</v>
      </c>
      <c r="O108" s="4">
        <f t="shared" si="64"/>
        <v>37571</v>
      </c>
      <c r="P108" s="4">
        <f t="shared" si="65"/>
        <v>16500</v>
      </c>
      <c r="Q108" s="8">
        <f t="shared" si="66"/>
        <v>57091.01</v>
      </c>
      <c r="R108" s="55">
        <f ca="1">IF(NOW()-TODAY()&gt;15/24, G108, [1]!s_dq_volume(B108,R$2,1))/$AI$2</f>
        <v>5</v>
      </c>
      <c r="AB108" s="39" t="s">
        <v>161</v>
      </c>
      <c r="AC108" s="29" t="str">
        <f>IF([1]!w_info_callput(AB108)="认购","C","P")</f>
        <v>P</v>
      </c>
      <c r="AD108" s="31">
        <f>[1]!w_info_strikeprice(AB108,"")</f>
        <v>3300</v>
      </c>
      <c r="AE108" s="18" t="str">
        <f>[1]!w_info_lasttradingdate(AB108)</f>
        <v>2020-12-18</v>
      </c>
      <c r="AF108" s="4">
        <f>RTD("wdf.rtq",,$AB108,F$5)</f>
        <v>195.20000000000002</v>
      </c>
      <c r="AG108" s="53">
        <f>RTD("wdf.rtq",,$AB108,G$5)</f>
        <v>17</v>
      </c>
      <c r="AH108" s="4">
        <f>RTD("wdf.rtq",,$AB108,H$5)</f>
        <v>180</v>
      </c>
      <c r="AI108" s="53">
        <f>RTD("wdf.rtq",,$AB108,I$5)</f>
        <v>3</v>
      </c>
      <c r="AJ108" s="4">
        <f>RTD("wdf.rtq",,$AB108,J$5)</f>
        <v>499</v>
      </c>
      <c r="AK108" s="54">
        <f>RTD("wdf.rtq",,$AB108,K$5)</f>
        <v>1</v>
      </c>
      <c r="AL108" s="4">
        <f>[1]!s_dq_presettle(AB108,"")</f>
        <v>205.8</v>
      </c>
      <c r="AM108" s="6">
        <f t="shared" si="67"/>
        <v>457.09999999999991</v>
      </c>
      <c r="AN108" s="6">
        <f t="shared" si="68"/>
        <v>19520</v>
      </c>
      <c r="AO108" s="6">
        <f t="shared" si="69"/>
        <v>-8138.9999999999873</v>
      </c>
      <c r="AP108" s="4">
        <f t="shared" si="70"/>
        <v>16500</v>
      </c>
      <c r="AQ108" s="8">
        <f t="shared" si="71"/>
        <v>36020.01</v>
      </c>
      <c r="AR108" s="55">
        <f ca="1">IF(NOW()-TODAY()&gt;15/24, AG108, [1]!s_dq_volume(AB108,AR$2,1))/AI$2</f>
        <v>12</v>
      </c>
      <c r="AS108" s="110"/>
      <c r="AT108" s="110"/>
      <c r="AU108" s="110"/>
      <c r="AV108" s="110"/>
      <c r="AY108" s="10"/>
      <c r="AZ108" s="10"/>
      <c r="BA108" s="6">
        <f t="shared" ca="1" si="91"/>
        <v>0</v>
      </c>
      <c r="BB108" s="6">
        <f t="shared" ca="1" si="92"/>
        <v>0</v>
      </c>
      <c r="BC108" s="6">
        <f t="shared" ca="1" si="93"/>
        <v>0</v>
      </c>
      <c r="BD108" s="12">
        <f t="shared" ca="1" si="94"/>
        <v>0</v>
      </c>
      <c r="BE108" s="2">
        <f t="shared" ca="1" si="72"/>
        <v>0</v>
      </c>
      <c r="BF108" s="2">
        <f t="shared" ca="1" si="73"/>
        <v>0</v>
      </c>
      <c r="BG108" s="2">
        <f t="shared" ca="1" si="74"/>
        <v>0</v>
      </c>
      <c r="BH108" s="13">
        <f t="shared" ca="1" si="75"/>
        <v>0</v>
      </c>
      <c r="BI108" s="2">
        <f t="shared" ca="1" si="76"/>
        <v>0</v>
      </c>
      <c r="BJ108" s="2">
        <f t="shared" ca="1" si="77"/>
        <v>0</v>
      </c>
      <c r="BK108" s="2">
        <f t="shared" ca="1" si="78"/>
        <v>0</v>
      </c>
      <c r="BL108" s="40">
        <f t="shared" ca="1" si="79"/>
        <v>0</v>
      </c>
      <c r="BN108" s="6">
        <f t="shared" ca="1" si="95"/>
        <v>0</v>
      </c>
      <c r="BO108" s="6">
        <f t="shared" ca="1" si="96"/>
        <v>0</v>
      </c>
      <c r="BP108" s="6">
        <f t="shared" ca="1" si="97"/>
        <v>0</v>
      </c>
      <c r="BQ108" s="12">
        <f t="shared" ca="1" si="98"/>
        <v>0</v>
      </c>
      <c r="BR108" s="2">
        <f t="shared" ca="1" si="80"/>
        <v>0</v>
      </c>
      <c r="BS108" s="2">
        <f t="shared" ca="1" si="81"/>
        <v>0</v>
      </c>
      <c r="BT108" s="2">
        <f t="shared" ca="1" si="82"/>
        <v>0</v>
      </c>
      <c r="BU108" s="13">
        <f t="shared" ca="1" si="83"/>
        <v>0</v>
      </c>
      <c r="BV108" s="2">
        <f t="shared" ca="1" si="84"/>
        <v>0</v>
      </c>
      <c r="BW108" s="2">
        <f t="shared" ca="1" si="85"/>
        <v>0</v>
      </c>
      <c r="BX108" s="2">
        <f t="shared" ca="1" si="86"/>
        <v>0</v>
      </c>
      <c r="BY108" s="13">
        <f t="shared" ca="1" si="87"/>
        <v>0</v>
      </c>
      <c r="CF108" s="39" t="str">
        <f t="shared" si="88"/>
        <v>C2020-12-3300000.CFE</v>
      </c>
      <c r="CG108" s="39" t="str">
        <f t="shared" si="89"/>
        <v>P2020-12-3300000.CFE</v>
      </c>
      <c r="CH108" s="95" t="s">
        <v>146</v>
      </c>
      <c r="CI108" s="100" t="str">
        <f>IF([1]!w_info_callput(CH108)="认购","C","P")</f>
        <v>C</v>
      </c>
      <c r="CJ108" s="104">
        <f>[1]!w_info_strikeprice(CH108,"")</f>
        <v>3300</v>
      </c>
      <c r="CK108" s="102" t="str">
        <f>[1]!w_info_lasttradingdate(CH108)</f>
        <v>2020-12-18</v>
      </c>
      <c r="CL108" s="39" t="str">
        <f t="shared" si="99"/>
        <v>IO2012-P-3300.CFE</v>
      </c>
    </row>
    <row r="109" spans="2:90">
      <c r="B109" s="112" t="s">
        <v>147</v>
      </c>
      <c r="C109" s="29" t="str">
        <f>IF([1]!w_info_callput(B109)="认购","C","P")</f>
        <v>C</v>
      </c>
      <c r="D109" s="96">
        <f>[1]!w_info_strikeprice(B109,"")</f>
        <v>3400</v>
      </c>
      <c r="E109" s="18" t="str">
        <f>[1]!w_info_lasttradingdate(B109)</f>
        <v>2020-12-18</v>
      </c>
      <c r="F109" s="4">
        <f>IF(G109&gt;0,RTD("wdf.rtq",,$B109,F$5),0)</f>
        <v>466.2</v>
      </c>
      <c r="G109" s="53">
        <f>RTD("wdf.rtq",,$B109,G$5)</f>
        <v>2</v>
      </c>
      <c r="H109" s="4">
        <f>RTD("wdf.rtq",,$B109,H$5)</f>
        <v>0</v>
      </c>
      <c r="I109" s="53">
        <f>RTD("wdf.rtq",,$B109,I$5)</f>
        <v>0</v>
      </c>
      <c r="J109" s="4">
        <f>RTD("wdf.rtq",,$B109,J$5)</f>
        <v>0</v>
      </c>
      <c r="K109" s="54">
        <f>RTD("wdf.rtq",,$B109,K$5)</f>
        <v>0</v>
      </c>
      <c r="L109" s="4">
        <f>[1]!s_dq_presettle(B109,"")</f>
        <v>443.2</v>
      </c>
      <c r="M109" s="6">
        <f t="shared" si="62"/>
        <v>0</v>
      </c>
      <c r="N109" s="3">
        <f t="shared" si="63"/>
        <v>23300</v>
      </c>
      <c r="O109" s="4">
        <f t="shared" si="64"/>
        <v>37571</v>
      </c>
      <c r="P109" s="4">
        <f t="shared" si="65"/>
        <v>17000</v>
      </c>
      <c r="Q109" s="8">
        <f t="shared" si="66"/>
        <v>60871.01</v>
      </c>
      <c r="R109" s="55">
        <f ca="1">IF(NOW()-TODAY()&gt;15/24, G109, [1]!s_dq_volume(B109,R$2,1))/$AI$2</f>
        <v>1</v>
      </c>
      <c r="AB109" s="39" t="s">
        <v>162</v>
      </c>
      <c r="AC109" s="29" t="str">
        <f>IF([1]!w_info_callput(AB109)="认购","C","P")</f>
        <v>P</v>
      </c>
      <c r="AD109" s="31">
        <f>[1]!w_info_strikeprice(AB109,"")</f>
        <v>3400</v>
      </c>
      <c r="AE109" s="18" t="str">
        <f>[1]!w_info_lasttradingdate(AB109)</f>
        <v>2020-12-18</v>
      </c>
      <c r="AF109" s="4">
        <f>RTD("wdf.rtq",,$AB109,F$5)</f>
        <v>233</v>
      </c>
      <c r="AG109" s="53">
        <f>RTD("wdf.rtq",,$AB109,G$5)</f>
        <v>2</v>
      </c>
      <c r="AH109" s="4">
        <f>RTD("wdf.rtq",,$AB109,H$5)</f>
        <v>66</v>
      </c>
      <c r="AI109" s="53">
        <f>RTD("wdf.rtq",,$AB109,I$5)</f>
        <v>2</v>
      </c>
      <c r="AJ109" s="4">
        <f>RTD("wdf.rtq",,$AB109,J$5)</f>
        <v>0</v>
      </c>
      <c r="AK109" s="54">
        <f>RTD("wdf.rtq",,$AB109,K$5)</f>
        <v>0</v>
      </c>
      <c r="AL109" s="4">
        <f>[1]!s_dq_presettle(AB109,"")</f>
        <v>245.2</v>
      </c>
      <c r="AM109" s="6">
        <f t="shared" si="67"/>
        <v>357.09999999999991</v>
      </c>
      <c r="AN109" s="6">
        <f t="shared" si="68"/>
        <v>23300</v>
      </c>
      <c r="AO109" s="6">
        <f t="shared" si="69"/>
        <v>1861.0000000000127</v>
      </c>
      <c r="AP109" s="4">
        <f t="shared" si="70"/>
        <v>17000</v>
      </c>
      <c r="AQ109" s="8">
        <f t="shared" si="71"/>
        <v>40300.01</v>
      </c>
      <c r="AR109" s="55">
        <f ca="1">IF(NOW()-TODAY()&gt;15/24, AG109, [1]!s_dq_volume(AB109,AR$2,1))/AI$2</f>
        <v>5</v>
      </c>
      <c r="AS109" s="110"/>
      <c r="AT109" s="110"/>
      <c r="AU109" s="110"/>
      <c r="AV109" s="110"/>
      <c r="AY109" s="10"/>
      <c r="AZ109" s="10"/>
      <c r="BA109" s="6">
        <f t="shared" ca="1" si="91"/>
        <v>20982.19000000001</v>
      </c>
      <c r="BB109" s="6">
        <f t="shared" ca="1" si="92"/>
        <v>0</v>
      </c>
      <c r="BC109" s="6">
        <f t="shared" ca="1" si="93"/>
        <v>0</v>
      </c>
      <c r="BD109" s="12">
        <f t="shared" ca="1" si="94"/>
        <v>0</v>
      </c>
      <c r="BE109" s="2">
        <f t="shared" ca="1" si="72"/>
        <v>4.5625258585911189E-2</v>
      </c>
      <c r="BF109" s="2">
        <f t="shared" ca="1" si="73"/>
        <v>0</v>
      </c>
      <c r="BG109" s="2">
        <f t="shared" ca="1" si="74"/>
        <v>0</v>
      </c>
      <c r="BH109" s="13">
        <f t="shared" ca="1" si="75"/>
        <v>0</v>
      </c>
      <c r="BI109" s="2">
        <f t="shared" ca="1" si="76"/>
        <v>6.2371608179241894E-2</v>
      </c>
      <c r="BJ109" s="2">
        <f t="shared" ca="1" si="77"/>
        <v>0</v>
      </c>
      <c r="BK109" s="2">
        <f t="shared" ca="1" si="78"/>
        <v>0</v>
      </c>
      <c r="BL109" s="40">
        <f t="shared" ca="1" si="79"/>
        <v>0</v>
      </c>
      <c r="BN109" s="6">
        <f t="shared" ca="1" si="95"/>
        <v>-7738.9140000000089</v>
      </c>
      <c r="BO109" s="6">
        <f t="shared" ca="1" si="96"/>
        <v>0</v>
      </c>
      <c r="BP109" s="6">
        <f t="shared" ca="1" si="97"/>
        <v>0</v>
      </c>
      <c r="BQ109" s="12">
        <f t="shared" ca="1" si="98"/>
        <v>0</v>
      </c>
      <c r="BR109" s="2">
        <f t="shared" ca="1" si="80"/>
        <v>-5.8625822420190911E-2</v>
      </c>
      <c r="BS109" s="2">
        <f t="shared" ca="1" si="81"/>
        <v>0</v>
      </c>
      <c r="BT109" s="2">
        <f t="shared" ca="1" si="82"/>
        <v>0</v>
      </c>
      <c r="BU109" s="13">
        <f t="shared" ca="1" si="83"/>
        <v>0</v>
      </c>
      <c r="BV109" s="2">
        <f t="shared" ca="1" si="84"/>
        <v>-8.0143914544455741E-2</v>
      </c>
      <c r="BW109" s="2">
        <f t="shared" ca="1" si="85"/>
        <v>0</v>
      </c>
      <c r="BX109" s="2">
        <f t="shared" ca="1" si="86"/>
        <v>0</v>
      </c>
      <c r="BY109" s="13">
        <f t="shared" ca="1" si="87"/>
        <v>0</v>
      </c>
      <c r="CF109" s="39" t="str">
        <f t="shared" si="88"/>
        <v>C2020-12-3400000.CFE</v>
      </c>
      <c r="CG109" s="39" t="str">
        <f t="shared" si="89"/>
        <v>P2020-12-3400000.CFE</v>
      </c>
      <c r="CH109" s="95" t="s">
        <v>147</v>
      </c>
      <c r="CI109" s="100" t="str">
        <f>IF([1]!w_info_callput(CH109)="认购","C","P")</f>
        <v>C</v>
      </c>
      <c r="CJ109" s="104">
        <f>[1]!w_info_strikeprice(CH109,"")</f>
        <v>3400</v>
      </c>
      <c r="CK109" s="102" t="str">
        <f>[1]!w_info_lasttradingdate(CH109)</f>
        <v>2020-12-18</v>
      </c>
      <c r="CL109" s="39" t="str">
        <f t="shared" si="99"/>
        <v>IO2012-P-3400.CFE</v>
      </c>
    </row>
    <row r="110" spans="2:90">
      <c r="B110" s="112" t="s">
        <v>148</v>
      </c>
      <c r="C110" s="29" t="str">
        <f>IF([1]!w_info_callput(B110)="认购","C","P")</f>
        <v>C</v>
      </c>
      <c r="D110" s="96">
        <f>[1]!w_info_strikeprice(B110,"")</f>
        <v>3500</v>
      </c>
      <c r="E110" s="18" t="str">
        <f>[1]!w_info_lasttradingdate(B110)</f>
        <v>2020-12-18</v>
      </c>
      <c r="F110" s="4">
        <f>IF(G110&gt;0,RTD("wdf.rtq",,$B110,F$5),0)</f>
        <v>427.8</v>
      </c>
      <c r="G110" s="53">
        <f>RTD("wdf.rtq",,$B110,G$5)</f>
        <v>7</v>
      </c>
      <c r="H110" s="4">
        <f>RTD("wdf.rtq",,$B110,H$5)</f>
        <v>0</v>
      </c>
      <c r="I110" s="53">
        <f>RTD("wdf.rtq",,$B110,I$5)</f>
        <v>0</v>
      </c>
      <c r="J110" s="4">
        <f>RTD("wdf.rtq",,$B110,J$5)</f>
        <v>0</v>
      </c>
      <c r="K110" s="54">
        <f>RTD("wdf.rtq",,$B110,K$5)</f>
        <v>0</v>
      </c>
      <c r="L110" s="4">
        <f>[1]!s_dq_presettle(B110,"")</f>
        <v>390.6</v>
      </c>
      <c r="M110" s="6">
        <f t="shared" si="62"/>
        <v>0</v>
      </c>
      <c r="N110" s="3">
        <f t="shared" si="63"/>
        <v>27200</v>
      </c>
      <c r="O110" s="4">
        <f t="shared" si="64"/>
        <v>37571</v>
      </c>
      <c r="P110" s="4">
        <f t="shared" si="65"/>
        <v>17500</v>
      </c>
      <c r="Q110" s="8">
        <f t="shared" si="66"/>
        <v>64771.01</v>
      </c>
      <c r="R110" s="55">
        <f ca="1">IF(NOW()-TODAY()&gt;15/24, G110, [1]!s_dq_volume(B110,R$2,1))/$AI$2</f>
        <v>4</v>
      </c>
      <c r="AB110" s="39" t="s">
        <v>163</v>
      </c>
      <c r="AC110" s="29" t="str">
        <f>IF([1]!w_info_callput(AB110)="认购","C","P")</f>
        <v>P</v>
      </c>
      <c r="AD110" s="31">
        <f>[1]!w_info_strikeprice(AB110,"")</f>
        <v>3500</v>
      </c>
      <c r="AE110" s="18" t="str">
        <f>[1]!w_info_lasttradingdate(AB110)</f>
        <v>2020-12-18</v>
      </c>
      <c r="AF110" s="4">
        <f>RTD("wdf.rtq",,$AB110,F$5)</f>
        <v>272</v>
      </c>
      <c r="AG110" s="53">
        <f>RTD("wdf.rtq",,$AB110,G$5)</f>
        <v>6</v>
      </c>
      <c r="AH110" s="4">
        <f>RTD("wdf.rtq",,$AB110,H$5)</f>
        <v>156</v>
      </c>
      <c r="AI110" s="53">
        <f>RTD("wdf.rtq",,$AB110,I$5)</f>
        <v>1</v>
      </c>
      <c r="AJ110" s="4">
        <f>RTD("wdf.rtq",,$AB110,J$5)</f>
        <v>0</v>
      </c>
      <c r="AK110" s="54">
        <f>RTD("wdf.rtq",,$AB110,K$5)</f>
        <v>0</v>
      </c>
      <c r="AL110" s="4">
        <f>[1]!s_dq_presettle(AB110,"")</f>
        <v>290.8</v>
      </c>
      <c r="AM110" s="6">
        <f t="shared" si="67"/>
        <v>257.09999999999991</v>
      </c>
      <c r="AN110" s="6">
        <f t="shared" si="68"/>
        <v>27200</v>
      </c>
      <c r="AO110" s="6">
        <f t="shared" si="69"/>
        <v>11861.000000000013</v>
      </c>
      <c r="AP110" s="4">
        <f t="shared" si="70"/>
        <v>17500</v>
      </c>
      <c r="AQ110" s="8">
        <f t="shared" si="71"/>
        <v>44700.01</v>
      </c>
      <c r="AR110" s="55">
        <f ca="1">IF(NOW()-TODAY()&gt;15/24, AG110, [1]!s_dq_volume(AB110,AR$2,1))/AI$2</f>
        <v>18</v>
      </c>
      <c r="AS110" s="110"/>
      <c r="AT110" s="110"/>
      <c r="AU110" s="110"/>
      <c r="AV110" s="110"/>
      <c r="AY110" s="10"/>
      <c r="AZ110" s="10"/>
      <c r="BA110" s="6">
        <f t="shared" ca="1" si="91"/>
        <v>23242.190000000013</v>
      </c>
      <c r="BB110" s="6">
        <f t="shared" ca="1" si="92"/>
        <v>0</v>
      </c>
      <c r="BC110" s="6">
        <f t="shared" ca="1" si="93"/>
        <v>0</v>
      </c>
      <c r="BD110" s="12">
        <f t="shared" ca="1" si="94"/>
        <v>0</v>
      </c>
      <c r="BE110" s="2">
        <f t="shared" ca="1" si="72"/>
        <v>4.969667252471939E-2</v>
      </c>
      <c r="BF110" s="2">
        <f t="shared" ca="1" si="73"/>
        <v>0</v>
      </c>
      <c r="BG110" s="2">
        <f t="shared" ca="1" si="74"/>
        <v>0</v>
      </c>
      <c r="BH110" s="13">
        <f t="shared" ca="1" si="75"/>
        <v>0</v>
      </c>
      <c r="BI110" s="2">
        <f t="shared" ca="1" si="76"/>
        <v>6.7937398769747484E-2</v>
      </c>
      <c r="BJ110" s="2">
        <f t="shared" ca="1" si="77"/>
        <v>0</v>
      </c>
      <c r="BK110" s="2">
        <f t="shared" ca="1" si="78"/>
        <v>0</v>
      </c>
      <c r="BL110" s="40">
        <f t="shared" ca="1" si="79"/>
        <v>0</v>
      </c>
      <c r="BN110" s="6">
        <f t="shared" ca="1" si="95"/>
        <v>-9998.9140000000116</v>
      </c>
      <c r="BO110" s="6">
        <f t="shared" ca="1" si="96"/>
        <v>0</v>
      </c>
      <c r="BP110" s="6">
        <f t="shared" ca="1" si="97"/>
        <v>0</v>
      </c>
      <c r="BQ110" s="12">
        <f t="shared" ca="1" si="98"/>
        <v>0</v>
      </c>
      <c r="BR110" s="2">
        <f t="shared" ca="1" si="80"/>
        <v>-7.5426380722363059E-2</v>
      </c>
      <c r="BS110" s="2">
        <f t="shared" ca="1" si="81"/>
        <v>0</v>
      </c>
      <c r="BT110" s="2">
        <f t="shared" ca="1" si="82"/>
        <v>0</v>
      </c>
      <c r="BU110" s="13">
        <f t="shared" ca="1" si="83"/>
        <v>0</v>
      </c>
      <c r="BV110" s="2">
        <f t="shared" ca="1" si="84"/>
        <v>-0.10311096990135774</v>
      </c>
      <c r="BW110" s="2">
        <f t="shared" ca="1" si="85"/>
        <v>0</v>
      </c>
      <c r="BX110" s="2">
        <f t="shared" ca="1" si="86"/>
        <v>0</v>
      </c>
      <c r="BY110" s="13">
        <f t="shared" ca="1" si="87"/>
        <v>0</v>
      </c>
      <c r="CF110" s="39" t="str">
        <f t="shared" si="88"/>
        <v>C2020-12-3500000.CFE</v>
      </c>
      <c r="CG110" s="39" t="str">
        <f t="shared" si="89"/>
        <v>P2020-12-3500000.CFE</v>
      </c>
      <c r="CH110" s="95" t="s">
        <v>148</v>
      </c>
      <c r="CI110" s="100" t="str">
        <f>IF([1]!w_info_callput(CH110)="认购","C","P")</f>
        <v>C</v>
      </c>
      <c r="CJ110" s="104">
        <f>[1]!w_info_strikeprice(CH110,"")</f>
        <v>3500</v>
      </c>
      <c r="CK110" s="102" t="str">
        <f>[1]!w_info_lasttradingdate(CH110)</f>
        <v>2020-12-18</v>
      </c>
      <c r="CL110" s="39" t="str">
        <f t="shared" si="99"/>
        <v>IO2012-P-3500.CFE</v>
      </c>
    </row>
    <row r="111" spans="2:90">
      <c r="B111" s="112" t="s">
        <v>149</v>
      </c>
      <c r="C111" s="29" t="str">
        <f>IF([1]!w_info_callput(B111)="认购","C","P")</f>
        <v>C</v>
      </c>
      <c r="D111" s="96">
        <f>[1]!w_info_strikeprice(B111,"")</f>
        <v>3600</v>
      </c>
      <c r="E111" s="18" t="str">
        <f>[1]!w_info_lasttradingdate(B111)</f>
        <v>2020-12-18</v>
      </c>
      <c r="F111" s="4">
        <f>IF(G111&gt;0,RTD("wdf.rtq",,$B111,F$5),0)</f>
        <v>361.2</v>
      </c>
      <c r="G111" s="53">
        <f>RTD("wdf.rtq",,$B111,G$5)</f>
        <v>2</v>
      </c>
      <c r="H111" s="4">
        <f>RTD("wdf.rtq",,$B111,H$5)</f>
        <v>2</v>
      </c>
      <c r="I111" s="53">
        <f>RTD("wdf.rtq",,$B111,I$5)</f>
        <v>1</v>
      </c>
      <c r="J111" s="4">
        <f>RTD("wdf.rtq",,$B111,J$5)</f>
        <v>0</v>
      </c>
      <c r="K111" s="54">
        <f>RTD("wdf.rtq",,$B111,K$5)</f>
        <v>0</v>
      </c>
      <c r="L111" s="4">
        <f>[1]!s_dq_presettle(B111,"")</f>
        <v>340.2</v>
      </c>
      <c r="M111" s="6">
        <f t="shared" si="62"/>
        <v>0</v>
      </c>
      <c r="N111" s="3">
        <f t="shared" si="63"/>
        <v>32220</v>
      </c>
      <c r="O111" s="4">
        <f t="shared" si="64"/>
        <v>37571</v>
      </c>
      <c r="P111" s="4">
        <f t="shared" si="65"/>
        <v>18000</v>
      </c>
      <c r="Q111" s="8">
        <f t="shared" si="66"/>
        <v>69791.009999999995</v>
      </c>
      <c r="R111" s="55">
        <f ca="1">IF(NOW()-TODAY()&gt;15/24, G111, [1]!s_dq_volume(B111,R$2,1))/$AI$2</f>
        <v>4</v>
      </c>
      <c r="AB111" s="39" t="s">
        <v>164</v>
      </c>
      <c r="AC111" s="29" t="str">
        <f>IF([1]!w_info_callput(AB111)="认购","C","P")</f>
        <v>P</v>
      </c>
      <c r="AD111" s="31">
        <f>[1]!w_info_strikeprice(AB111,"")</f>
        <v>3600</v>
      </c>
      <c r="AE111" s="18" t="str">
        <f>[1]!w_info_lasttradingdate(AB111)</f>
        <v>2020-12-18</v>
      </c>
      <c r="AF111" s="4">
        <f>RTD("wdf.rtq",,$AB111,F$5)</f>
        <v>322.2</v>
      </c>
      <c r="AG111" s="53">
        <f>RTD("wdf.rtq",,$AB111,G$5)</f>
        <v>6</v>
      </c>
      <c r="AH111" s="4">
        <f>RTD("wdf.rtq",,$AB111,H$5)</f>
        <v>99</v>
      </c>
      <c r="AI111" s="53">
        <f>RTD("wdf.rtq",,$AB111,I$5)</f>
        <v>3</v>
      </c>
      <c r="AJ111" s="4">
        <f>RTD("wdf.rtq",,$AB111,J$5)</f>
        <v>0</v>
      </c>
      <c r="AK111" s="54">
        <f>RTD("wdf.rtq",,$AB111,K$5)</f>
        <v>0</v>
      </c>
      <c r="AL111" s="4">
        <f>[1]!s_dq_presettle(AB111,"")</f>
        <v>341.8</v>
      </c>
      <c r="AM111" s="6">
        <f t="shared" si="67"/>
        <v>157.09999999999991</v>
      </c>
      <c r="AN111" s="6">
        <f t="shared" si="68"/>
        <v>32220</v>
      </c>
      <c r="AO111" s="6">
        <f t="shared" si="69"/>
        <v>21861.000000000015</v>
      </c>
      <c r="AP111" s="4">
        <f t="shared" si="70"/>
        <v>18000</v>
      </c>
      <c r="AQ111" s="8">
        <f t="shared" si="71"/>
        <v>54081.010000000017</v>
      </c>
      <c r="AR111" s="55">
        <f ca="1">IF(NOW()-TODAY()&gt;15/24, AG111, [1]!s_dq_volume(AB111,AR$2,1))/AI$2</f>
        <v>28</v>
      </c>
      <c r="AS111" s="110"/>
      <c r="AT111" s="110"/>
      <c r="AU111" s="110"/>
      <c r="AV111" s="110"/>
      <c r="AY111" s="10"/>
      <c r="AZ111" s="10"/>
      <c r="BA111" s="6">
        <f t="shared" ca="1" si="91"/>
        <v>21562.190000000013</v>
      </c>
      <c r="BB111" s="6">
        <f t="shared" ca="1" si="92"/>
        <v>0</v>
      </c>
      <c r="BC111" s="6">
        <f t="shared" ca="1" si="93"/>
        <v>0</v>
      </c>
      <c r="BD111" s="12">
        <f t="shared" ca="1" si="94"/>
        <v>0</v>
      </c>
      <c r="BE111" s="2">
        <f t="shared" ca="1" si="72"/>
        <v>4.5135527951764176E-2</v>
      </c>
      <c r="BF111" s="2">
        <f t="shared" ca="1" si="73"/>
        <v>0</v>
      </c>
      <c r="BG111" s="2">
        <f t="shared" ca="1" si="74"/>
        <v>0</v>
      </c>
      <c r="BH111" s="13">
        <f t="shared" ca="1" si="75"/>
        <v>0</v>
      </c>
      <c r="BI111" s="2">
        <f t="shared" ca="1" si="76"/>
        <v>6.1702126226194469E-2</v>
      </c>
      <c r="BJ111" s="2">
        <f t="shared" ca="1" si="77"/>
        <v>0</v>
      </c>
      <c r="BK111" s="2">
        <f t="shared" ca="1" si="78"/>
        <v>0</v>
      </c>
      <c r="BL111" s="40">
        <f t="shared" ca="1" si="79"/>
        <v>0</v>
      </c>
      <c r="BN111" s="6">
        <f t="shared" ca="1" si="95"/>
        <v>-8318.9140000000098</v>
      </c>
      <c r="BO111" s="6">
        <f t="shared" ca="1" si="96"/>
        <v>0</v>
      </c>
      <c r="BP111" s="6">
        <f t="shared" ca="1" si="97"/>
        <v>0</v>
      </c>
      <c r="BQ111" s="12">
        <f t="shared" ca="1" si="98"/>
        <v>0</v>
      </c>
      <c r="BR111" s="2">
        <f t="shared" ca="1" si="80"/>
        <v>-6.1491219245479699E-2</v>
      </c>
      <c r="BS111" s="2">
        <f t="shared" ca="1" si="81"/>
        <v>0</v>
      </c>
      <c r="BT111" s="2">
        <f t="shared" ca="1" si="82"/>
        <v>0</v>
      </c>
      <c r="BU111" s="13">
        <f t="shared" ca="1" si="83"/>
        <v>0</v>
      </c>
      <c r="BV111" s="2">
        <f t="shared" ca="1" si="84"/>
        <v>-8.406103005468199E-2</v>
      </c>
      <c r="BW111" s="2">
        <f t="shared" ca="1" si="85"/>
        <v>0</v>
      </c>
      <c r="BX111" s="2">
        <f t="shared" ca="1" si="86"/>
        <v>0</v>
      </c>
      <c r="BY111" s="13">
        <f t="shared" ca="1" si="87"/>
        <v>0</v>
      </c>
      <c r="CF111" s="39" t="str">
        <f t="shared" si="88"/>
        <v>C2020-12-3600000.CFE</v>
      </c>
      <c r="CG111" s="39" t="str">
        <f t="shared" si="89"/>
        <v>P2020-12-3600000.CFE</v>
      </c>
      <c r="CH111" s="95" t="s">
        <v>149</v>
      </c>
      <c r="CI111" s="100" t="str">
        <f>IF([1]!w_info_callput(CH111)="认购","C","P")</f>
        <v>C</v>
      </c>
      <c r="CJ111" s="104">
        <f>[1]!w_info_strikeprice(CH111,"")</f>
        <v>3600</v>
      </c>
      <c r="CK111" s="102" t="str">
        <f>[1]!w_info_lasttradingdate(CH111)</f>
        <v>2020-12-18</v>
      </c>
      <c r="CL111" s="39" t="str">
        <f t="shared" si="99"/>
        <v>IO2012-P-3600.CFE</v>
      </c>
    </row>
    <row r="112" spans="2:90">
      <c r="B112" s="112" t="s">
        <v>150</v>
      </c>
      <c r="C112" s="29" t="str">
        <f>IF([1]!w_info_callput(B112)="认购","C","P")</f>
        <v>C</v>
      </c>
      <c r="D112" s="96">
        <f>[1]!w_info_strikeprice(B112,"")</f>
        <v>3700</v>
      </c>
      <c r="E112" s="18" t="str">
        <f>[1]!w_info_lasttradingdate(B112)</f>
        <v>2020-12-18</v>
      </c>
      <c r="F112" s="4">
        <f>IF(G112&gt;0,RTD("wdf.rtq",,$B112,F$5),0)</f>
        <v>326.2</v>
      </c>
      <c r="G112" s="53">
        <f>RTD("wdf.rtq",,$B112,G$5)</f>
        <v>1</v>
      </c>
      <c r="H112" s="4">
        <f>RTD("wdf.rtq",,$B112,H$5)</f>
        <v>2</v>
      </c>
      <c r="I112" s="53">
        <f>RTD("wdf.rtq",,$B112,I$5)</f>
        <v>1</v>
      </c>
      <c r="J112" s="4">
        <f>RTD("wdf.rtq",,$B112,J$5)</f>
        <v>355</v>
      </c>
      <c r="K112" s="54">
        <f>RTD("wdf.rtq",,$B112,K$5)</f>
        <v>1</v>
      </c>
      <c r="L112" s="4">
        <f>[1]!s_dq_presettle(B112,"")</f>
        <v>301.39999999999998</v>
      </c>
      <c r="M112" s="6">
        <f t="shared" si="62"/>
        <v>0</v>
      </c>
      <c r="N112" s="3">
        <f t="shared" si="63"/>
        <v>36440</v>
      </c>
      <c r="O112" s="4">
        <f t="shared" si="64"/>
        <v>37571</v>
      </c>
      <c r="P112" s="4">
        <f t="shared" si="65"/>
        <v>18500</v>
      </c>
      <c r="Q112" s="8">
        <f t="shared" si="66"/>
        <v>74011.009999999995</v>
      </c>
      <c r="R112" s="55">
        <f ca="1">IF(NOW()-TODAY()&gt;15/24, G112, [1]!s_dq_volume(B112,R$2,1))/$AI$2</f>
        <v>2</v>
      </c>
      <c r="AB112" s="39" t="s">
        <v>165</v>
      </c>
      <c r="AC112" s="29" t="str">
        <f>IF([1]!w_info_callput(AB112)="认购","C","P")</f>
        <v>P</v>
      </c>
      <c r="AD112" s="31">
        <f>[1]!w_info_strikeprice(AB112,"")</f>
        <v>3700</v>
      </c>
      <c r="AE112" s="18" t="str">
        <f>[1]!w_info_lasttradingdate(AB112)</f>
        <v>2020-12-18</v>
      </c>
      <c r="AF112" s="4">
        <f>RTD("wdf.rtq",,$AB112,F$5)</f>
        <v>364.40000000000003</v>
      </c>
      <c r="AG112" s="53">
        <f>RTD("wdf.rtq",,$AB112,G$5)</f>
        <v>7</v>
      </c>
      <c r="AH112" s="4">
        <f>RTD("wdf.rtq",,$AB112,H$5)</f>
        <v>0</v>
      </c>
      <c r="AI112" s="53">
        <f>RTD("wdf.rtq",,$AB112,I$5)</f>
        <v>0</v>
      </c>
      <c r="AJ112" s="4">
        <f>RTD("wdf.rtq",,$AB112,J$5)</f>
        <v>0</v>
      </c>
      <c r="AK112" s="54">
        <f>RTD("wdf.rtq",,$AB112,K$5)</f>
        <v>0</v>
      </c>
      <c r="AL112" s="4">
        <f>[1]!s_dq_presettle(AB112,"")</f>
        <v>397</v>
      </c>
      <c r="AM112" s="6">
        <f t="shared" si="67"/>
        <v>57.099999999999909</v>
      </c>
      <c r="AN112" s="6">
        <f t="shared" si="68"/>
        <v>36440</v>
      </c>
      <c r="AO112" s="6">
        <f t="shared" si="69"/>
        <v>31861.000000000015</v>
      </c>
      <c r="AP112" s="4">
        <f t="shared" si="70"/>
        <v>18500</v>
      </c>
      <c r="AQ112" s="8">
        <f t="shared" si="71"/>
        <v>68301.010000000009</v>
      </c>
      <c r="AR112" s="55">
        <f ca="1">IF(NOW()-TODAY()&gt;15/24, AG112, [1]!s_dq_volume(AB112,AR$2,1))/AI$2</f>
        <v>17</v>
      </c>
      <c r="AS112" s="110"/>
      <c r="AT112" s="110"/>
      <c r="AU112" s="110"/>
      <c r="AV112" s="110"/>
      <c r="AY112" s="10"/>
      <c r="AZ112" s="10"/>
      <c r="BA112" s="6">
        <f t="shared" ca="1" si="91"/>
        <v>23842.190000000006</v>
      </c>
      <c r="BB112" s="6">
        <f t="shared" ca="1" si="92"/>
        <v>0</v>
      </c>
      <c r="BC112" s="6">
        <f t="shared" ca="1" si="93"/>
        <v>0</v>
      </c>
      <c r="BD112" s="12">
        <f t="shared" ca="1" si="94"/>
        <v>0</v>
      </c>
      <c r="BE112" s="2">
        <f t="shared" ca="1" si="72"/>
        <v>4.9041756762846951E-2</v>
      </c>
      <c r="BF112" s="2">
        <f t="shared" ca="1" si="73"/>
        <v>0</v>
      </c>
      <c r="BG112" s="2">
        <f t="shared" ca="1" si="74"/>
        <v>0</v>
      </c>
      <c r="BH112" s="13">
        <f t="shared" ca="1" si="75"/>
        <v>0</v>
      </c>
      <c r="BI112" s="2">
        <f t="shared" ca="1" si="76"/>
        <v>6.7042101941719612E-2</v>
      </c>
      <c r="BJ112" s="2">
        <f t="shared" ca="1" si="77"/>
        <v>0</v>
      </c>
      <c r="BK112" s="2">
        <f t="shared" ca="1" si="78"/>
        <v>0</v>
      </c>
      <c r="BL112" s="40">
        <f t="shared" ca="1" si="79"/>
        <v>0</v>
      </c>
      <c r="BN112" s="6">
        <f t="shared" ca="1" si="95"/>
        <v>-10598.914000000004</v>
      </c>
      <c r="BO112" s="6">
        <f t="shared" ca="1" si="96"/>
        <v>0</v>
      </c>
      <c r="BP112" s="6">
        <f t="shared" ca="1" si="97"/>
        <v>0</v>
      </c>
      <c r="BQ112" s="12">
        <f t="shared" ca="1" si="98"/>
        <v>0</v>
      </c>
      <c r="BR112" s="2">
        <f t="shared" ca="1" si="80"/>
        <v>-7.2592213714745446E-2</v>
      </c>
      <c r="BS112" s="2">
        <f t="shared" ca="1" si="81"/>
        <v>0</v>
      </c>
      <c r="BT112" s="2">
        <f t="shared" ca="1" si="82"/>
        <v>0</v>
      </c>
      <c r="BU112" s="13">
        <f t="shared" ca="1" si="83"/>
        <v>0</v>
      </c>
      <c r="BV112" s="2">
        <f t="shared" ca="1" si="84"/>
        <v>-9.9236546838509687E-2</v>
      </c>
      <c r="BW112" s="2">
        <f t="shared" ca="1" si="85"/>
        <v>0</v>
      </c>
      <c r="BX112" s="2">
        <f t="shared" ca="1" si="86"/>
        <v>0</v>
      </c>
      <c r="BY112" s="13">
        <f t="shared" ca="1" si="87"/>
        <v>0</v>
      </c>
      <c r="CF112" s="39" t="str">
        <f t="shared" si="88"/>
        <v>C2020-12-3700000.CFE</v>
      </c>
      <c r="CG112" s="39" t="str">
        <f t="shared" si="89"/>
        <v>P2020-12-3700000.CFE</v>
      </c>
      <c r="CH112" s="95" t="s">
        <v>150</v>
      </c>
      <c r="CI112" s="100" t="str">
        <f>IF([1]!w_info_callput(CH112)="认购","C","P")</f>
        <v>C</v>
      </c>
      <c r="CJ112" s="104">
        <f>[1]!w_info_strikeprice(CH112,"")</f>
        <v>3700</v>
      </c>
      <c r="CK112" s="102" t="str">
        <f>[1]!w_info_lasttradingdate(CH112)</f>
        <v>2020-12-18</v>
      </c>
      <c r="CL112" s="39" t="str">
        <f t="shared" si="99"/>
        <v>IO2012-P-3700.CFE</v>
      </c>
    </row>
    <row r="113" spans="2:90">
      <c r="B113" s="112" t="s">
        <v>151</v>
      </c>
      <c r="C113" s="29" t="str">
        <f>IF([1]!w_info_callput(B113)="认购","C","P")</f>
        <v>C</v>
      </c>
      <c r="D113" s="96">
        <f>[1]!w_info_strikeprice(B113,"")</f>
        <v>3800</v>
      </c>
      <c r="E113" s="18" t="str">
        <f>[1]!w_info_lasttradingdate(B113)</f>
        <v>2020-12-18</v>
      </c>
      <c r="F113" s="4">
        <f>IF(G113&gt;0,RTD("wdf.rtq",,$B113,F$5),0)</f>
        <v>274.8</v>
      </c>
      <c r="G113" s="53">
        <f>RTD("wdf.rtq",,$B113,G$5)</f>
        <v>4</v>
      </c>
      <c r="H113" s="4">
        <f>RTD("wdf.rtq",,$B113,H$5)</f>
        <v>5</v>
      </c>
      <c r="I113" s="53">
        <f>RTD("wdf.rtq",,$B113,I$5)</f>
        <v>1</v>
      </c>
      <c r="J113" s="4">
        <f>RTD("wdf.rtq",,$B113,J$5)</f>
        <v>0</v>
      </c>
      <c r="K113" s="54">
        <f>RTD("wdf.rtq",,$B113,K$5)</f>
        <v>0</v>
      </c>
      <c r="L113" s="4">
        <f>[1]!s_dq_presettle(B113,"")</f>
        <v>261.2</v>
      </c>
      <c r="M113" s="6">
        <f t="shared" si="62"/>
        <v>42.900000000000091</v>
      </c>
      <c r="N113" s="3">
        <f t="shared" si="63"/>
        <v>43320</v>
      </c>
      <c r="O113" s="4">
        <f t="shared" si="64"/>
        <v>33280.999999999993</v>
      </c>
      <c r="P113" s="4">
        <f t="shared" si="65"/>
        <v>19000</v>
      </c>
      <c r="Q113" s="8">
        <f t="shared" si="66"/>
        <v>76601.009999999995</v>
      </c>
      <c r="R113" s="55">
        <f ca="1">IF(NOW()-TODAY()&gt;15/24, G113, [1]!s_dq_volume(B113,R$2,1))/$AI$2</f>
        <v>0</v>
      </c>
      <c r="AB113" s="39" t="s">
        <v>166</v>
      </c>
      <c r="AC113" s="29" t="str">
        <f>IF([1]!w_info_callput(AB113)="认购","C","P")</f>
        <v>P</v>
      </c>
      <c r="AD113" s="31">
        <f>[1]!w_info_strikeprice(AB113,"")</f>
        <v>3800</v>
      </c>
      <c r="AE113" s="18" t="str">
        <f>[1]!w_info_lasttradingdate(AB113)</f>
        <v>2020-12-18</v>
      </c>
      <c r="AF113" s="4">
        <f>RTD("wdf.rtq",,$AB113,F$5)</f>
        <v>433.2</v>
      </c>
      <c r="AG113" s="53">
        <f>RTD("wdf.rtq",,$AB113,G$5)</f>
        <v>2</v>
      </c>
      <c r="AH113" s="4">
        <f>RTD("wdf.rtq",,$AB113,H$5)</f>
        <v>0</v>
      </c>
      <c r="AI113" s="53">
        <f>RTD("wdf.rtq",,$AB113,I$5)</f>
        <v>0</v>
      </c>
      <c r="AJ113" s="4">
        <f>RTD("wdf.rtq",,$AB113,J$5)</f>
        <v>0</v>
      </c>
      <c r="AK113" s="54">
        <f>RTD("wdf.rtq",,$AB113,K$5)</f>
        <v>0</v>
      </c>
      <c r="AL113" s="4">
        <f>[1]!s_dq_presettle(AB113,"")</f>
        <v>456.8</v>
      </c>
      <c r="AM113" s="6">
        <f t="shared" si="67"/>
        <v>0</v>
      </c>
      <c r="AN113" s="6">
        <f t="shared" si="68"/>
        <v>43320</v>
      </c>
      <c r="AO113" s="6">
        <f t="shared" si="69"/>
        <v>37571</v>
      </c>
      <c r="AP113" s="4">
        <f t="shared" si="70"/>
        <v>19000</v>
      </c>
      <c r="AQ113" s="8">
        <f t="shared" si="71"/>
        <v>80891.009999999995</v>
      </c>
      <c r="AR113" s="55">
        <f ca="1">IF(NOW()-TODAY()&gt;15/24, AG113, [1]!s_dq_volume(AB113,AR$2,1))/AI$2</f>
        <v>17</v>
      </c>
      <c r="AS113" s="110"/>
      <c r="AT113" s="110"/>
      <c r="AU113" s="110"/>
      <c r="AV113" s="110"/>
      <c r="AY113" s="10"/>
      <c r="AZ113" s="10"/>
      <c r="BA113" s="6">
        <f t="shared" ca="1" si="91"/>
        <v>21822.190000000013</v>
      </c>
      <c r="BB113" s="6">
        <f t="shared" ca="1" si="92"/>
        <v>0</v>
      </c>
      <c r="BC113" s="6">
        <f t="shared" ca="1" si="93"/>
        <v>0</v>
      </c>
      <c r="BD113" s="12">
        <f t="shared" ca="1" si="94"/>
        <v>0</v>
      </c>
      <c r="BE113" s="2">
        <f t="shared" ca="1" si="72"/>
        <v>4.4029105442776904E-2</v>
      </c>
      <c r="BF113" s="2">
        <f t="shared" ca="1" si="73"/>
        <v>0</v>
      </c>
      <c r="BG113" s="2">
        <f t="shared" ca="1" si="74"/>
        <v>0</v>
      </c>
      <c r="BH113" s="13">
        <f t="shared" ca="1" si="75"/>
        <v>0</v>
      </c>
      <c r="BI113" s="2">
        <f t="shared" ca="1" si="76"/>
        <v>6.0189601073459068E-2</v>
      </c>
      <c r="BJ113" s="2">
        <f t="shared" ca="1" si="77"/>
        <v>0</v>
      </c>
      <c r="BK113" s="2">
        <f t="shared" ca="1" si="78"/>
        <v>0</v>
      </c>
      <c r="BL113" s="40">
        <f t="shared" ca="1" si="79"/>
        <v>0</v>
      </c>
      <c r="BN113" s="6">
        <f t="shared" ca="1" si="95"/>
        <v>-8578.9140000000116</v>
      </c>
      <c r="BO113" s="6">
        <f t="shared" ca="1" si="96"/>
        <v>0</v>
      </c>
      <c r="BP113" s="6">
        <f t="shared" ca="1" si="97"/>
        <v>0</v>
      </c>
      <c r="BQ113" s="12">
        <f t="shared" ca="1" si="98"/>
        <v>0</v>
      </c>
      <c r="BR113" s="2">
        <f t="shared" ca="1" si="80"/>
        <v>-5.5904638854302545E-2</v>
      </c>
      <c r="BS113" s="2">
        <f t="shared" ca="1" si="81"/>
        <v>0</v>
      </c>
      <c r="BT113" s="2">
        <f t="shared" ca="1" si="82"/>
        <v>0</v>
      </c>
      <c r="BU113" s="13">
        <f t="shared" ca="1" si="83"/>
        <v>0</v>
      </c>
      <c r="BV113" s="2">
        <f t="shared" ca="1" si="84"/>
        <v>-7.6423944501200117E-2</v>
      </c>
      <c r="BW113" s="2">
        <f t="shared" ca="1" si="85"/>
        <v>0</v>
      </c>
      <c r="BX113" s="2">
        <f t="shared" ca="1" si="86"/>
        <v>0</v>
      </c>
      <c r="BY113" s="13">
        <f t="shared" ca="1" si="87"/>
        <v>0</v>
      </c>
      <c r="CF113" s="39" t="str">
        <f t="shared" si="88"/>
        <v>C2020-12-3800000.CFE</v>
      </c>
      <c r="CG113" s="39" t="str">
        <f t="shared" si="89"/>
        <v>P2020-12-3800000.CFE</v>
      </c>
      <c r="CH113" s="95" t="s">
        <v>151</v>
      </c>
      <c r="CI113" s="100" t="str">
        <f>IF([1]!w_info_callput(CH113)="认购","C","P")</f>
        <v>C</v>
      </c>
      <c r="CJ113" s="104">
        <f>[1]!w_info_strikeprice(CH113,"")</f>
        <v>3800</v>
      </c>
      <c r="CK113" s="102" t="str">
        <f>[1]!w_info_lasttradingdate(CH113)</f>
        <v>2020-12-18</v>
      </c>
      <c r="CL113" s="39" t="str">
        <f t="shared" si="99"/>
        <v>IO2012-P-3800.CFE</v>
      </c>
    </row>
    <row r="114" spans="2:90">
      <c r="B114" s="112" t="s">
        <v>152</v>
      </c>
      <c r="C114" s="29" t="str">
        <f>IF([1]!w_info_callput(B114)="认购","C","P")</f>
        <v>C</v>
      </c>
      <c r="D114" s="96">
        <f>[1]!w_info_strikeprice(B114,"")</f>
        <v>3900</v>
      </c>
      <c r="E114" s="18" t="str">
        <f>[1]!w_info_lasttradingdate(B114)</f>
        <v>2020-12-18</v>
      </c>
      <c r="F114" s="4">
        <f>IF(G114&gt;0,RTD("wdf.rtq",,$B114,F$5),0)</f>
        <v>242.6</v>
      </c>
      <c r="G114" s="53">
        <f>RTD("wdf.rtq",,$B114,G$5)</f>
        <v>9</v>
      </c>
      <c r="H114" s="4">
        <f>RTD("wdf.rtq",,$B114,H$5)</f>
        <v>5</v>
      </c>
      <c r="I114" s="53">
        <f>RTD("wdf.rtq",,$B114,I$5)</f>
        <v>1</v>
      </c>
      <c r="J114" s="4">
        <f>RTD("wdf.rtq",,$B114,J$5)</f>
        <v>308</v>
      </c>
      <c r="K114" s="54">
        <f>RTD("wdf.rtq",,$B114,K$5)</f>
        <v>1</v>
      </c>
      <c r="L114" s="4">
        <f>[1]!s_dq_presettle(B114,"")</f>
        <v>229</v>
      </c>
      <c r="M114" s="6">
        <f t="shared" si="62"/>
        <v>142.90000000000009</v>
      </c>
      <c r="N114" s="3">
        <f t="shared" si="63"/>
        <v>49460</v>
      </c>
      <c r="O114" s="4">
        <f t="shared" si="64"/>
        <v>23280.999999999993</v>
      </c>
      <c r="P114" s="4">
        <f t="shared" si="65"/>
        <v>19500</v>
      </c>
      <c r="Q114" s="8">
        <f t="shared" si="66"/>
        <v>72741.009999999995</v>
      </c>
      <c r="R114" s="55">
        <f ca="1">IF(NOW()-TODAY()&gt;15/24, G114, [1]!s_dq_volume(B114,R$2,1))/$AI$2</f>
        <v>6</v>
      </c>
      <c r="AB114" s="39" t="s">
        <v>167</v>
      </c>
      <c r="AC114" s="29" t="str">
        <f>IF([1]!w_info_callput(AB114)="认购","C","P")</f>
        <v>P</v>
      </c>
      <c r="AD114" s="31">
        <f>[1]!w_info_strikeprice(AB114,"")</f>
        <v>3900</v>
      </c>
      <c r="AE114" s="18" t="str">
        <f>[1]!w_info_lasttradingdate(AB114)</f>
        <v>2020-12-18</v>
      </c>
      <c r="AF114" s="4">
        <f>RTD("wdf.rtq",,$AB114,F$5)</f>
        <v>494.6</v>
      </c>
      <c r="AG114" s="53">
        <f>RTD("wdf.rtq",,$AB114,G$5)</f>
        <v>5</v>
      </c>
      <c r="AH114" s="4">
        <f>RTD("wdf.rtq",,$AB114,H$5)</f>
        <v>200.20000000000002</v>
      </c>
      <c r="AI114" s="53">
        <f>RTD("wdf.rtq",,$AB114,I$5)</f>
        <v>1</v>
      </c>
      <c r="AJ114" s="4">
        <f>RTD("wdf.rtq",,$AB114,J$5)</f>
        <v>0</v>
      </c>
      <c r="AK114" s="54">
        <f>RTD("wdf.rtq",,$AB114,K$5)</f>
        <v>0</v>
      </c>
      <c r="AL114" s="4">
        <f>[1]!s_dq_presettle(AB114,"")</f>
        <v>518.20000000000005</v>
      </c>
      <c r="AM114" s="6">
        <f t="shared" si="67"/>
        <v>0</v>
      </c>
      <c r="AN114" s="6">
        <f t="shared" si="68"/>
        <v>49460</v>
      </c>
      <c r="AO114" s="6">
        <f t="shared" si="69"/>
        <v>37571</v>
      </c>
      <c r="AP114" s="4">
        <f t="shared" si="70"/>
        <v>19500</v>
      </c>
      <c r="AQ114" s="8">
        <f t="shared" si="71"/>
        <v>87031.01</v>
      </c>
      <c r="AR114" s="55">
        <f ca="1">IF(NOW()-TODAY()&gt;15/24, AG114, [1]!s_dq_volume(AB114,AR$2,1))/AI$2</f>
        <v>2</v>
      </c>
      <c r="AS114" s="110"/>
      <c r="AT114" s="110"/>
      <c r="AU114" s="110"/>
      <c r="AV114" s="110"/>
      <c r="AY114" s="10"/>
      <c r="AZ114" s="10"/>
      <c r="BA114" s="6">
        <f t="shared" ca="1" si="91"/>
        <v>22462.19000000001</v>
      </c>
      <c r="BB114" s="6">
        <f t="shared" ca="1" si="92"/>
        <v>0</v>
      </c>
      <c r="BC114" s="6">
        <f t="shared" ca="1" si="93"/>
        <v>58442.150000000023</v>
      </c>
      <c r="BD114" s="12">
        <f t="shared" ca="1" si="94"/>
        <v>58442.190000000017</v>
      </c>
      <c r="BE114" s="2">
        <f t="shared" ca="1" si="72"/>
        <v>4.5112860629452661E-2</v>
      </c>
      <c r="BF114" s="2">
        <f t="shared" ca="1" si="73"/>
        <v>0</v>
      </c>
      <c r="BG114" s="2">
        <f t="shared" ca="1" si="74"/>
        <v>0.12475083037685389</v>
      </c>
      <c r="BH114" s="13">
        <f t="shared" ca="1" si="75"/>
        <v>0.12475092108687796</v>
      </c>
      <c r="BI114" s="2">
        <f t="shared" ca="1" si="76"/>
        <v>6.1671139062734907E-2</v>
      </c>
      <c r="BJ114" s="2">
        <f t="shared" ca="1" si="77"/>
        <v>0</v>
      </c>
      <c r="BK114" s="2">
        <f t="shared" ca="1" si="78"/>
        <v>0.17053952467247815</v>
      </c>
      <c r="BL114" s="40">
        <f t="shared" ca="1" si="79"/>
        <v>0.17053964867681817</v>
      </c>
      <c r="BN114" s="6">
        <f t="shared" ca="1" si="95"/>
        <v>-9218.9140000000061</v>
      </c>
      <c r="BO114" s="6">
        <f t="shared" ca="1" si="96"/>
        <v>-45198.914000000004</v>
      </c>
      <c r="BP114" s="6">
        <f t="shared" ca="1" si="97"/>
        <v>0</v>
      </c>
      <c r="BQ114" s="12">
        <f t="shared" ca="1" si="98"/>
        <v>0</v>
      </c>
      <c r="BR114" s="2">
        <f t="shared" ca="1" si="80"/>
        <v>-5.8953430320379335E-2</v>
      </c>
      <c r="BS114" s="2">
        <f t="shared" ca="1" si="81"/>
        <v>-0.27743656693216717</v>
      </c>
      <c r="BT114" s="2">
        <f t="shared" ca="1" si="82"/>
        <v>0</v>
      </c>
      <c r="BU114" s="13">
        <f t="shared" ca="1" si="83"/>
        <v>0</v>
      </c>
      <c r="BV114" s="2">
        <f t="shared" ca="1" si="84"/>
        <v>-8.0591768040968001E-2</v>
      </c>
      <c r="BW114" s="2">
        <f t="shared" ca="1" si="85"/>
        <v>-0.37926721696719484</v>
      </c>
      <c r="BX114" s="2">
        <f t="shared" ca="1" si="86"/>
        <v>0</v>
      </c>
      <c r="BY114" s="13">
        <f t="shared" ca="1" si="87"/>
        <v>0</v>
      </c>
      <c r="CF114" s="39" t="str">
        <f t="shared" si="88"/>
        <v>C2020-12-3900000.CFE</v>
      </c>
      <c r="CG114" s="39" t="str">
        <f t="shared" si="89"/>
        <v>P2020-12-3900000.CFE</v>
      </c>
      <c r="CH114" s="95" t="s">
        <v>152</v>
      </c>
      <c r="CI114" s="100" t="str">
        <f>IF([1]!w_info_callput(CH114)="认购","C","P")</f>
        <v>C</v>
      </c>
      <c r="CJ114" s="104">
        <f>[1]!w_info_strikeprice(CH114,"")</f>
        <v>3900</v>
      </c>
      <c r="CK114" s="102" t="str">
        <f>[1]!w_info_lasttradingdate(CH114)</f>
        <v>2020-12-18</v>
      </c>
      <c r="CL114" s="39" t="str">
        <f t="shared" si="99"/>
        <v>IO2012-P-3900.CFE</v>
      </c>
    </row>
    <row r="115" spans="2:90">
      <c r="B115" s="112" t="s">
        <v>153</v>
      </c>
      <c r="C115" s="29" t="str">
        <f>IF([1]!w_info_callput(B115)="认购","C","P")</f>
        <v>C</v>
      </c>
      <c r="D115" s="96">
        <f>[1]!w_info_strikeprice(B115,"")</f>
        <v>4000</v>
      </c>
      <c r="E115" s="18" t="str">
        <f>[1]!w_info_lasttradingdate(B115)</f>
        <v>2020-12-18</v>
      </c>
      <c r="F115" s="4">
        <f>IF(G115&gt;0,RTD("wdf.rtq",,$B115,F$5),0)</f>
        <v>0</v>
      </c>
      <c r="G115" s="53">
        <f>RTD("wdf.rtq",,$B115,G$5)</f>
        <v>0</v>
      </c>
      <c r="H115" s="4">
        <f>RTD("wdf.rtq",,$B115,H$5)</f>
        <v>22</v>
      </c>
      <c r="I115" s="53">
        <f>RTD("wdf.rtq",,$B115,I$5)</f>
        <v>25</v>
      </c>
      <c r="J115" s="4">
        <f>RTD("wdf.rtq",,$B115,J$5)</f>
        <v>568.80000000000007</v>
      </c>
      <c r="K115" s="54">
        <f>RTD("wdf.rtq",,$B115,K$5)</f>
        <v>2</v>
      </c>
      <c r="L115" s="4">
        <f>[1]!s_dq_presettle(B115,"")</f>
        <v>199</v>
      </c>
      <c r="M115" s="6">
        <f t="shared" si="62"/>
        <v>242.90000000000009</v>
      </c>
      <c r="N115" s="3">
        <f t="shared" si="63"/>
        <v>56560</v>
      </c>
      <c r="O115" s="4">
        <f t="shared" si="64"/>
        <v>13280.999999999995</v>
      </c>
      <c r="P115" s="4">
        <f t="shared" si="65"/>
        <v>20000</v>
      </c>
      <c r="Q115" s="8">
        <f t="shared" si="66"/>
        <v>76560.009999999995</v>
      </c>
      <c r="R115" s="55">
        <f ca="1">IF(NOW()-TODAY()&gt;15/24, G115, [1]!s_dq_volume(B115,R$2,1))/$AI$2</f>
        <v>5</v>
      </c>
      <c r="AB115" s="39" t="s">
        <v>168</v>
      </c>
      <c r="AC115" s="29" t="str">
        <f>IF([1]!w_info_callput(AB115)="认购","C","P")</f>
        <v>P</v>
      </c>
      <c r="AD115" s="31">
        <f>[1]!w_info_strikeprice(AB115,"")</f>
        <v>4000</v>
      </c>
      <c r="AE115" s="18" t="str">
        <f>[1]!w_info_lasttradingdate(AB115)</f>
        <v>2020-12-18</v>
      </c>
      <c r="AF115" s="4">
        <f>RTD("wdf.rtq",,$AB115,F$5)</f>
        <v>565.6</v>
      </c>
      <c r="AG115" s="53">
        <f>RTD("wdf.rtq",,$AB115,G$5)</f>
        <v>1</v>
      </c>
      <c r="AH115" s="4">
        <f>RTD("wdf.rtq",,$AB115,H$5)</f>
        <v>220.20000000000002</v>
      </c>
      <c r="AI115" s="53">
        <f>RTD("wdf.rtq",,$AB115,I$5)</f>
        <v>1</v>
      </c>
      <c r="AJ115" s="4">
        <f>RTD("wdf.rtq",,$AB115,J$5)</f>
        <v>0</v>
      </c>
      <c r="AK115" s="54">
        <f>RTD("wdf.rtq",,$AB115,K$5)</f>
        <v>0</v>
      </c>
      <c r="AL115" s="4">
        <f>[1]!s_dq_presettle(AB115,"")</f>
        <v>586.79999999999995</v>
      </c>
      <c r="AM115" s="6">
        <f t="shared" si="67"/>
        <v>0</v>
      </c>
      <c r="AN115" s="6">
        <f t="shared" si="68"/>
        <v>56560</v>
      </c>
      <c r="AO115" s="6">
        <f t="shared" si="69"/>
        <v>37571</v>
      </c>
      <c r="AP115" s="4">
        <f t="shared" si="70"/>
        <v>20000</v>
      </c>
      <c r="AQ115" s="8">
        <f t="shared" si="71"/>
        <v>94131.01</v>
      </c>
      <c r="AR115" s="55">
        <f ca="1">IF(NOW()-TODAY()&gt;15/24, AG115, [1]!s_dq_volume(AB115,AR$2,1))/AI$2</f>
        <v>40</v>
      </c>
      <c r="AS115" s="110"/>
      <c r="AT115" s="110"/>
      <c r="AU115" s="110"/>
      <c r="AV115" s="110"/>
      <c r="AY115" s="10"/>
      <c r="AZ115" s="10"/>
      <c r="BA115" s="6">
        <f t="shared" ca="1" si="91"/>
        <v>0</v>
      </c>
      <c r="BB115" s="6">
        <f t="shared" ca="1" si="92"/>
        <v>0</v>
      </c>
      <c r="BC115" s="6">
        <f t="shared" ca="1" si="93"/>
        <v>92522.15</v>
      </c>
      <c r="BD115" s="12">
        <f t="shared" ca="1" si="94"/>
        <v>92522.19</v>
      </c>
      <c r="BE115" s="2">
        <f t="shared" ca="1" si="72"/>
        <v>0</v>
      </c>
      <c r="BF115" s="2">
        <f t="shared" ca="1" si="73"/>
        <v>0</v>
      </c>
      <c r="BG115" s="2">
        <f t="shared" ca="1" si="74"/>
        <v>0.19507504722374197</v>
      </c>
      <c r="BH115" s="13">
        <f t="shared" ca="1" si="75"/>
        <v>0.19507513978630922</v>
      </c>
      <c r="BI115" s="2">
        <f t="shared" ca="1" si="76"/>
        <v>0</v>
      </c>
      <c r="BJ115" s="2">
        <f t="shared" ca="1" si="77"/>
        <v>0</v>
      </c>
      <c r="BK115" s="2">
        <f t="shared" ca="1" si="78"/>
        <v>0.26667562635455361</v>
      </c>
      <c r="BL115" s="40">
        <f t="shared" ca="1" si="79"/>
        <v>0.2666757528913965</v>
      </c>
      <c r="BN115" s="6">
        <f t="shared" ca="1" si="95"/>
        <v>0</v>
      </c>
      <c r="BO115" s="6">
        <f t="shared" ca="1" si="96"/>
        <v>-79278.914000000019</v>
      </c>
      <c r="BP115" s="6">
        <f t="shared" ca="1" si="97"/>
        <v>0</v>
      </c>
      <c r="BQ115" s="12">
        <f t="shared" ca="1" si="98"/>
        <v>0</v>
      </c>
      <c r="BR115" s="2">
        <f t="shared" ca="1" si="80"/>
        <v>0</v>
      </c>
      <c r="BS115" s="2">
        <f t="shared" ca="1" si="81"/>
        <v>-0.40428580440182915</v>
      </c>
      <c r="BT115" s="2">
        <f t="shared" ca="1" si="82"/>
        <v>0</v>
      </c>
      <c r="BU115" s="13">
        <f t="shared" ca="1" si="83"/>
        <v>0</v>
      </c>
      <c r="BV115" s="2">
        <f t="shared" ca="1" si="84"/>
        <v>0</v>
      </c>
      <c r="BW115" s="2">
        <f t="shared" ca="1" si="85"/>
        <v>-0.55267535058677009</v>
      </c>
      <c r="BX115" s="2">
        <f t="shared" ca="1" si="86"/>
        <v>0</v>
      </c>
      <c r="BY115" s="13">
        <f t="shared" ca="1" si="87"/>
        <v>0</v>
      </c>
      <c r="CF115" s="39" t="str">
        <f t="shared" si="88"/>
        <v>C2020-12-4000000.CFE</v>
      </c>
      <c r="CG115" s="39" t="str">
        <f t="shared" si="89"/>
        <v>P2020-12-4000000.CFE</v>
      </c>
      <c r="CH115" s="95" t="s">
        <v>153</v>
      </c>
      <c r="CI115" s="100" t="str">
        <f>IF([1]!w_info_callput(CH115)="认购","C","P")</f>
        <v>C</v>
      </c>
      <c r="CJ115" s="104">
        <f>[1]!w_info_strikeprice(CH115,"")</f>
        <v>4000</v>
      </c>
      <c r="CK115" s="102" t="str">
        <f>[1]!w_info_lasttradingdate(CH115)</f>
        <v>2020-12-18</v>
      </c>
      <c r="CL115" s="39" t="str">
        <f t="shared" si="99"/>
        <v>IO2012-P-4000.CFE</v>
      </c>
    </row>
    <row r="116" spans="2:90">
      <c r="B116" s="112" t="s">
        <v>154</v>
      </c>
      <c r="C116" s="29" t="str">
        <f>IF([1]!w_info_callput(B116)="认购","C","P")</f>
        <v>C</v>
      </c>
      <c r="D116" s="96">
        <f>[1]!w_info_strikeprice(B116,"")</f>
        <v>4100</v>
      </c>
      <c r="E116" s="18" t="str">
        <f>[1]!w_info_lasttradingdate(B116)</f>
        <v>2020-12-18</v>
      </c>
      <c r="F116" s="4">
        <f>IF(G116&gt;0,RTD("wdf.rtq",,$B116,F$5),0)</f>
        <v>180.6</v>
      </c>
      <c r="G116" s="53">
        <f>RTD("wdf.rtq",,$B116,G$5)</f>
        <v>4</v>
      </c>
      <c r="H116" s="4">
        <f>RTD("wdf.rtq",,$B116,H$5)</f>
        <v>5</v>
      </c>
      <c r="I116" s="53">
        <f>RTD("wdf.rtq",,$B116,I$5)</f>
        <v>1</v>
      </c>
      <c r="J116" s="4">
        <f>RTD("wdf.rtq",,$B116,J$5)</f>
        <v>0</v>
      </c>
      <c r="K116" s="54">
        <f>RTD("wdf.rtq",,$B116,K$5)</f>
        <v>0</v>
      </c>
      <c r="L116" s="4">
        <f>[1]!s_dq_presettle(B116,"")</f>
        <v>175.6</v>
      </c>
      <c r="M116" s="6">
        <f t="shared" si="62"/>
        <v>342.90000000000009</v>
      </c>
      <c r="N116" s="3">
        <f t="shared" si="63"/>
        <v>64880.000000000007</v>
      </c>
      <c r="O116" s="4">
        <f t="shared" si="64"/>
        <v>3280.9999999999945</v>
      </c>
      <c r="P116" s="4">
        <f t="shared" si="65"/>
        <v>20500</v>
      </c>
      <c r="Q116" s="8">
        <f t="shared" si="66"/>
        <v>85380.01</v>
      </c>
      <c r="R116" s="55">
        <f ca="1">IF(NOW()-TODAY()&gt;15/24, G116, [1]!s_dq_volume(B116,R$2,1))/$AI$2</f>
        <v>11</v>
      </c>
      <c r="AB116" s="39" t="s">
        <v>169</v>
      </c>
      <c r="AC116" s="29" t="str">
        <f>IF([1]!w_info_callput(AB116)="认购","C","P")</f>
        <v>P</v>
      </c>
      <c r="AD116" s="31">
        <f>[1]!w_info_strikeprice(AB116,"")</f>
        <v>4100</v>
      </c>
      <c r="AE116" s="18" t="str">
        <f>[1]!w_info_lasttradingdate(AB116)</f>
        <v>2020-12-18</v>
      </c>
      <c r="AF116" s="4">
        <f>RTD("wdf.rtq",,$AB116,F$5)</f>
        <v>648.80000000000007</v>
      </c>
      <c r="AG116" s="53">
        <f>RTD("wdf.rtq",,$AB116,G$5)</f>
        <v>0</v>
      </c>
      <c r="AH116" s="4">
        <f>RTD("wdf.rtq",,$AB116,H$5)</f>
        <v>0</v>
      </c>
      <c r="AI116" s="53">
        <f>RTD("wdf.rtq",,$AB116,I$5)</f>
        <v>0</v>
      </c>
      <c r="AJ116" s="4">
        <f>RTD("wdf.rtq",,$AB116,J$5)</f>
        <v>0</v>
      </c>
      <c r="AK116" s="54">
        <f>RTD("wdf.rtq",,$AB116,K$5)</f>
        <v>0</v>
      </c>
      <c r="AL116" s="4">
        <f>[1]!s_dq_presettle(AB116,"")</f>
        <v>658.6</v>
      </c>
      <c r="AM116" s="6">
        <f t="shared" si="67"/>
        <v>0</v>
      </c>
      <c r="AN116" s="6">
        <f t="shared" si="68"/>
        <v>64880.000000000007</v>
      </c>
      <c r="AO116" s="6">
        <f t="shared" si="69"/>
        <v>37571</v>
      </c>
      <c r="AP116" s="4">
        <f t="shared" si="70"/>
        <v>20500</v>
      </c>
      <c r="AQ116" s="8">
        <f t="shared" si="71"/>
        <v>102451.01</v>
      </c>
      <c r="AR116" s="55">
        <f ca="1">IF(NOW()-TODAY()&gt;15/24, AG116, [1]!s_dq_volume(AB116,AR$2,1))/AI$2</f>
        <v>2</v>
      </c>
      <c r="AS116" s="110"/>
      <c r="AT116" s="110"/>
      <c r="AU116" s="110"/>
      <c r="AV116" s="110"/>
      <c r="AY116" s="10"/>
      <c r="AZ116" s="10"/>
      <c r="BA116" s="6">
        <f t="shared" ca="1" si="91"/>
        <v>20842.190000000006</v>
      </c>
      <c r="BB116" s="6">
        <f t="shared" ca="1" si="92"/>
        <v>0</v>
      </c>
      <c r="BC116" s="6">
        <f t="shared" ca="1" si="93"/>
        <v>0</v>
      </c>
      <c r="BD116" s="12">
        <f t="shared" ca="1" si="94"/>
        <v>0</v>
      </c>
      <c r="BE116" s="2">
        <f t="shared" ca="1" si="72"/>
        <v>3.9626194656991964E-2</v>
      </c>
      <c r="BF116" s="2">
        <f t="shared" ca="1" si="73"/>
        <v>0</v>
      </c>
      <c r="BG116" s="2">
        <f t="shared" ca="1" si="74"/>
        <v>0</v>
      </c>
      <c r="BH116" s="13">
        <f t="shared" ca="1" si="75"/>
        <v>0</v>
      </c>
      <c r="BI116" s="2">
        <f t="shared" ca="1" si="76"/>
        <v>5.4170640635962795E-2</v>
      </c>
      <c r="BJ116" s="2">
        <f t="shared" ca="1" si="77"/>
        <v>0</v>
      </c>
      <c r="BK116" s="2">
        <f t="shared" ca="1" si="78"/>
        <v>0</v>
      </c>
      <c r="BL116" s="40">
        <f t="shared" ca="1" si="79"/>
        <v>0</v>
      </c>
      <c r="BN116" s="6">
        <f t="shared" ca="1" si="95"/>
        <v>-7598.9140000000052</v>
      </c>
      <c r="BO116" s="6">
        <f t="shared" ca="1" si="96"/>
        <v>0</v>
      </c>
      <c r="BP116" s="6">
        <f t="shared" ca="1" si="97"/>
        <v>0</v>
      </c>
      <c r="BQ116" s="12">
        <f t="shared" ca="1" si="98"/>
        <v>0</v>
      </c>
      <c r="BR116" s="2">
        <f t="shared" ca="1" si="80"/>
        <v>-4.5888212055094774E-2</v>
      </c>
      <c r="BS116" s="2">
        <f t="shared" ca="1" si="81"/>
        <v>0</v>
      </c>
      <c r="BT116" s="2">
        <f t="shared" ca="1" si="82"/>
        <v>0</v>
      </c>
      <c r="BU116" s="13">
        <f t="shared" ca="1" si="83"/>
        <v>0</v>
      </c>
      <c r="BV116" s="2">
        <f t="shared" ca="1" si="84"/>
        <v>-6.2731076404904842E-2</v>
      </c>
      <c r="BW116" s="2">
        <f t="shared" ca="1" si="85"/>
        <v>0</v>
      </c>
      <c r="BX116" s="2">
        <f t="shared" ca="1" si="86"/>
        <v>0</v>
      </c>
      <c r="BY116" s="13">
        <f t="shared" ca="1" si="87"/>
        <v>0</v>
      </c>
      <c r="CF116" s="39" t="str">
        <f t="shared" si="88"/>
        <v>C2020-12-4100000.CFE</v>
      </c>
      <c r="CG116" s="39" t="str">
        <f t="shared" si="89"/>
        <v>P2020-12-4100000.CFE</v>
      </c>
      <c r="CH116" s="95" t="s">
        <v>154</v>
      </c>
      <c r="CI116" s="100" t="str">
        <f>IF([1]!w_info_callput(CH116)="认购","C","P")</f>
        <v>C</v>
      </c>
      <c r="CJ116" s="104">
        <f>[1]!w_info_strikeprice(CH116,"")</f>
        <v>4100</v>
      </c>
      <c r="CK116" s="102" t="str">
        <f>[1]!w_info_lasttradingdate(CH116)</f>
        <v>2020-12-18</v>
      </c>
      <c r="CL116" s="39" t="str">
        <f t="shared" si="99"/>
        <v>IO2012-P-4100.CFE</v>
      </c>
    </row>
    <row r="117" spans="2:90">
      <c r="B117" s="112" t="s">
        <v>155</v>
      </c>
      <c r="C117" s="29" t="str">
        <f>IF([1]!w_info_callput(B117)="认购","C","P")</f>
        <v>C</v>
      </c>
      <c r="D117" s="96">
        <f>[1]!w_info_strikeprice(B117,"")</f>
        <v>4200</v>
      </c>
      <c r="E117" s="18" t="str">
        <f>[1]!w_info_lasttradingdate(B117)</f>
        <v>2020-12-18</v>
      </c>
      <c r="F117" s="4">
        <f>IF(G117&gt;0,RTD("wdf.rtq",,$B117,F$5),0)</f>
        <v>157.80000000000001</v>
      </c>
      <c r="G117" s="53">
        <f>RTD("wdf.rtq",,$B117,G$5)</f>
        <v>5</v>
      </c>
      <c r="H117" s="4">
        <f>RTD("wdf.rtq",,$B117,H$5)</f>
        <v>5</v>
      </c>
      <c r="I117" s="53">
        <f>RTD("wdf.rtq",,$B117,I$5)</f>
        <v>1</v>
      </c>
      <c r="J117" s="4">
        <f>RTD("wdf.rtq",,$B117,J$5)</f>
        <v>0</v>
      </c>
      <c r="K117" s="54">
        <f>RTD("wdf.rtq",,$B117,K$5)</f>
        <v>0</v>
      </c>
      <c r="L117" s="4">
        <f>[1]!s_dq_presettle(B117,"")</f>
        <v>150.6</v>
      </c>
      <c r="M117" s="6">
        <f t="shared" si="62"/>
        <v>442.90000000000009</v>
      </c>
      <c r="N117" s="3">
        <f t="shared" si="63"/>
        <v>71580</v>
      </c>
      <c r="O117" s="4">
        <f t="shared" si="64"/>
        <v>-6719.0000000000055</v>
      </c>
      <c r="P117" s="4">
        <f t="shared" si="65"/>
        <v>21000</v>
      </c>
      <c r="Q117" s="8">
        <f t="shared" si="66"/>
        <v>92580.01</v>
      </c>
      <c r="R117" s="55">
        <f ca="1">IF(NOW()-TODAY()&gt;15/24, G117, [1]!s_dq_volume(B117,R$2,1))/$AI$2</f>
        <v>3</v>
      </c>
      <c r="AB117" s="39" t="s">
        <v>170</v>
      </c>
      <c r="AC117" s="29" t="str">
        <f>IF([1]!w_info_callput(AB117)="认购","C","P")</f>
        <v>P</v>
      </c>
      <c r="AD117" s="31">
        <f>[1]!w_info_strikeprice(AB117,"")</f>
        <v>4200</v>
      </c>
      <c r="AE117" s="18" t="str">
        <f>[1]!w_info_lasttradingdate(AB117)</f>
        <v>2020-12-18</v>
      </c>
      <c r="AF117" s="4">
        <f>RTD("wdf.rtq",,$AB117,F$5)</f>
        <v>715.80000000000007</v>
      </c>
      <c r="AG117" s="53">
        <f>RTD("wdf.rtq",,$AB117,G$5)</f>
        <v>0</v>
      </c>
      <c r="AH117" s="4">
        <f>RTD("wdf.rtq",,$AB117,H$5)</f>
        <v>0</v>
      </c>
      <c r="AI117" s="53">
        <f>RTD("wdf.rtq",,$AB117,I$5)</f>
        <v>0</v>
      </c>
      <c r="AJ117" s="4">
        <f>RTD("wdf.rtq",,$AB117,J$5)</f>
        <v>0</v>
      </c>
      <c r="AK117" s="54">
        <f>RTD("wdf.rtq",,$AB117,K$5)</f>
        <v>0</v>
      </c>
      <c r="AL117" s="4">
        <f>[1]!s_dq_presettle(AB117,"")</f>
        <v>733.4</v>
      </c>
      <c r="AM117" s="6">
        <f t="shared" si="67"/>
        <v>0</v>
      </c>
      <c r="AN117" s="6">
        <f t="shared" si="68"/>
        <v>71580</v>
      </c>
      <c r="AO117" s="6">
        <f t="shared" si="69"/>
        <v>37571</v>
      </c>
      <c r="AP117" s="4">
        <f t="shared" si="70"/>
        <v>21000</v>
      </c>
      <c r="AQ117" s="8">
        <f t="shared" si="71"/>
        <v>109151.01</v>
      </c>
      <c r="AR117" s="55">
        <f ca="1">IF(NOW()-TODAY()&gt;15/24, AG117, [1]!s_dq_volume(AB117,AR$2,1))/AI$2</f>
        <v>3</v>
      </c>
      <c r="AS117" s="110"/>
      <c r="AT117" s="110"/>
      <c r="AU117" s="110"/>
      <c r="AV117" s="110"/>
      <c r="AY117" s="10"/>
      <c r="AZ117" s="10"/>
      <c r="BA117" s="6">
        <f t="shared" ca="1" si="91"/>
        <v>21862.190000000013</v>
      </c>
      <c r="BB117" s="6">
        <f t="shared" ca="1" si="92"/>
        <v>0</v>
      </c>
      <c r="BC117" s="6">
        <f t="shared" ca="1" si="93"/>
        <v>0</v>
      </c>
      <c r="BD117" s="12">
        <f t="shared" ca="1" si="94"/>
        <v>0</v>
      </c>
      <c r="BE117" s="2">
        <f t="shared" ca="1" si="72"/>
        <v>4.0495285152068398E-2</v>
      </c>
      <c r="BF117" s="2">
        <f t="shared" ca="1" si="73"/>
        <v>0</v>
      </c>
      <c r="BG117" s="2">
        <f t="shared" ca="1" si="74"/>
        <v>0</v>
      </c>
      <c r="BH117" s="13">
        <f t="shared" ca="1" si="75"/>
        <v>0</v>
      </c>
      <c r="BI117" s="2">
        <f t="shared" ca="1" si="76"/>
        <v>5.5358723147958672E-2</v>
      </c>
      <c r="BJ117" s="2">
        <f t="shared" ca="1" si="77"/>
        <v>0</v>
      </c>
      <c r="BK117" s="2">
        <f t="shared" ca="1" si="78"/>
        <v>0</v>
      </c>
      <c r="BL117" s="40">
        <f t="shared" ca="1" si="79"/>
        <v>0</v>
      </c>
      <c r="BN117" s="6">
        <f t="shared" ca="1" si="95"/>
        <v>-8618.9140000000098</v>
      </c>
      <c r="BO117" s="6">
        <f t="shared" ca="1" si="96"/>
        <v>0</v>
      </c>
      <c r="BP117" s="6">
        <f t="shared" ca="1" si="97"/>
        <v>0</v>
      </c>
      <c r="BQ117" s="12">
        <f t="shared" ca="1" si="98"/>
        <v>0</v>
      </c>
      <c r="BR117" s="2">
        <f t="shared" ca="1" si="80"/>
        <v>-5.0694660232691986E-2</v>
      </c>
      <c r="BS117" s="2">
        <f t="shared" ca="1" si="81"/>
        <v>0</v>
      </c>
      <c r="BT117" s="2">
        <f t="shared" ca="1" si="82"/>
        <v>0</v>
      </c>
      <c r="BU117" s="13">
        <f t="shared" ca="1" si="83"/>
        <v>0</v>
      </c>
      <c r="BV117" s="2">
        <f t="shared" ca="1" si="84"/>
        <v>-6.9301689082144471E-2</v>
      </c>
      <c r="BW117" s="2">
        <f t="shared" ca="1" si="85"/>
        <v>0</v>
      </c>
      <c r="BX117" s="2">
        <f t="shared" ca="1" si="86"/>
        <v>0</v>
      </c>
      <c r="BY117" s="13">
        <f t="shared" ca="1" si="87"/>
        <v>0</v>
      </c>
      <c r="CF117" s="39" t="str">
        <f t="shared" si="88"/>
        <v>C2020-12-4200000.CFE</v>
      </c>
      <c r="CG117" s="39" t="str">
        <f t="shared" si="89"/>
        <v>P2020-12-4200000.CFE</v>
      </c>
      <c r="CH117" s="95" t="s">
        <v>155</v>
      </c>
      <c r="CI117" s="100" t="str">
        <f>IF([1]!w_info_callput(CH117)="认购","C","P")</f>
        <v>C</v>
      </c>
      <c r="CJ117" s="104">
        <f>[1]!w_info_strikeprice(CH117,"")</f>
        <v>4200</v>
      </c>
      <c r="CK117" s="102" t="str">
        <f>[1]!w_info_lasttradingdate(CH117)</f>
        <v>2020-12-18</v>
      </c>
      <c r="CL117" s="39" t="str">
        <f t="shared" si="99"/>
        <v>IO2012-P-4200.CFE</v>
      </c>
    </row>
    <row r="118" spans="2:90">
      <c r="B118" s="112" t="s">
        <v>156</v>
      </c>
      <c r="C118" s="29" t="str">
        <f>IF([1]!w_info_callput(B118)="认购","C","P")</f>
        <v>C</v>
      </c>
      <c r="D118" s="96">
        <f>[1]!w_info_strikeprice(B118,"")</f>
        <v>4300</v>
      </c>
      <c r="E118" s="18" t="str">
        <f>[1]!w_info_lasttradingdate(B118)</f>
        <v>2020-12-18</v>
      </c>
      <c r="F118" s="4">
        <f>IF(G118&gt;0,RTD("wdf.rtq",,$B118,F$5),0)</f>
        <v>0</v>
      </c>
      <c r="G118" s="53">
        <f>RTD("wdf.rtq",,$B118,G$5)</f>
        <v>0</v>
      </c>
      <c r="H118" s="4">
        <f>RTD("wdf.rtq",,$B118,H$5)</f>
        <v>5</v>
      </c>
      <c r="I118" s="53">
        <f>RTD("wdf.rtq",,$B118,I$5)</f>
        <v>1</v>
      </c>
      <c r="J118" s="4">
        <f>RTD("wdf.rtq",,$B118,J$5)</f>
        <v>0</v>
      </c>
      <c r="K118" s="54">
        <f>RTD("wdf.rtq",,$B118,K$5)</f>
        <v>0</v>
      </c>
      <c r="L118" s="4">
        <f>[1]!s_dq_presettle(B118,"")</f>
        <v>131.19999999999999</v>
      </c>
      <c r="M118" s="6">
        <f t="shared" si="62"/>
        <v>542.90000000000009</v>
      </c>
      <c r="N118" s="3">
        <f t="shared" si="63"/>
        <v>80280</v>
      </c>
      <c r="O118" s="4">
        <f t="shared" si="64"/>
        <v>-16719.000000000007</v>
      </c>
      <c r="P118" s="4">
        <f t="shared" si="65"/>
        <v>21500</v>
      </c>
      <c r="Q118" s="8">
        <f t="shared" si="66"/>
        <v>101780.01</v>
      </c>
      <c r="R118" s="55">
        <f ca="1">IF(NOW()-TODAY()&gt;15/24, G118, [1]!s_dq_volume(B118,R$2,1))/$AI$2</f>
        <v>1</v>
      </c>
      <c r="AB118" s="39" t="s">
        <v>171</v>
      </c>
      <c r="AC118" s="29" t="str">
        <f>IF([1]!w_info_callput(AB118)="认购","C","P")</f>
        <v>P</v>
      </c>
      <c r="AD118" s="31">
        <f>[1]!w_info_strikeprice(AB118,"")</f>
        <v>4300</v>
      </c>
      <c r="AE118" s="18" t="str">
        <f>[1]!w_info_lasttradingdate(AB118)</f>
        <v>2020-12-18</v>
      </c>
      <c r="AF118" s="4">
        <f>RTD("wdf.rtq",,$AB118,F$5)</f>
        <v>802.80000000000007</v>
      </c>
      <c r="AG118" s="53">
        <f>RTD("wdf.rtq",,$AB118,G$5)</f>
        <v>0</v>
      </c>
      <c r="AH118" s="4">
        <f>RTD("wdf.rtq",,$AB118,H$5)</f>
        <v>0</v>
      </c>
      <c r="AI118" s="53">
        <f>RTD("wdf.rtq",,$AB118,I$5)</f>
        <v>0</v>
      </c>
      <c r="AJ118" s="4">
        <f>RTD("wdf.rtq",,$AB118,J$5)</f>
        <v>0</v>
      </c>
      <c r="AK118" s="54">
        <f>RTD("wdf.rtq",,$AB118,K$5)</f>
        <v>0</v>
      </c>
      <c r="AL118" s="4">
        <f>[1]!s_dq_presettle(AB118,"")</f>
        <v>811.2</v>
      </c>
      <c r="AM118" s="6">
        <f t="shared" si="67"/>
        <v>0</v>
      </c>
      <c r="AN118" s="6">
        <f t="shared" si="68"/>
        <v>80280</v>
      </c>
      <c r="AO118" s="6">
        <f t="shared" si="69"/>
        <v>37571</v>
      </c>
      <c r="AP118" s="4">
        <f t="shared" si="70"/>
        <v>21500</v>
      </c>
      <c r="AQ118" s="8">
        <f t="shared" si="71"/>
        <v>117851.01</v>
      </c>
      <c r="AR118" s="55">
        <f ca="1">IF(NOW()-TODAY()&gt;15/24, AG118, [1]!s_dq_volume(AB118,AR$2,1))/AI$2</f>
        <v>0</v>
      </c>
      <c r="AS118" s="110"/>
      <c r="AT118" s="110"/>
      <c r="AU118" s="110"/>
      <c r="AV118" s="110"/>
      <c r="AY118" s="10"/>
      <c r="AZ118" s="10"/>
      <c r="BA118" s="6">
        <f t="shared" ca="1" si="91"/>
        <v>0</v>
      </c>
      <c r="BB118" s="6">
        <f t="shared" ca="1" si="92"/>
        <v>0</v>
      </c>
      <c r="BC118" s="6">
        <f t="shared" ca="1" si="93"/>
        <v>0</v>
      </c>
      <c r="BD118" s="12">
        <f t="shared" ca="1" si="94"/>
        <v>0</v>
      </c>
      <c r="BE118" s="2">
        <f t="shared" ca="1" si="72"/>
        <v>0</v>
      </c>
      <c r="BF118" s="2">
        <f t="shared" ca="1" si="73"/>
        <v>0</v>
      </c>
      <c r="BG118" s="2">
        <f t="shared" ca="1" si="74"/>
        <v>0</v>
      </c>
      <c r="BH118" s="13">
        <f t="shared" ca="1" si="75"/>
        <v>0</v>
      </c>
      <c r="BI118" s="2">
        <f t="shared" ca="1" si="76"/>
        <v>0</v>
      </c>
      <c r="BJ118" s="2">
        <f t="shared" ca="1" si="77"/>
        <v>0</v>
      </c>
      <c r="BK118" s="2">
        <f t="shared" ca="1" si="78"/>
        <v>0</v>
      </c>
      <c r="BL118" s="40">
        <f t="shared" ca="1" si="79"/>
        <v>0</v>
      </c>
      <c r="BN118" s="6">
        <f t="shared" ca="1" si="95"/>
        <v>0</v>
      </c>
      <c r="BO118" s="6">
        <f t="shared" ca="1" si="96"/>
        <v>0</v>
      </c>
      <c r="BP118" s="6">
        <f t="shared" ca="1" si="97"/>
        <v>0</v>
      </c>
      <c r="BQ118" s="12">
        <f t="shared" ca="1" si="98"/>
        <v>0</v>
      </c>
      <c r="BR118" s="2">
        <f t="shared" ca="1" si="80"/>
        <v>0</v>
      </c>
      <c r="BS118" s="2">
        <f t="shared" ca="1" si="81"/>
        <v>0</v>
      </c>
      <c r="BT118" s="2">
        <f t="shared" ca="1" si="82"/>
        <v>0</v>
      </c>
      <c r="BU118" s="13">
        <f t="shared" ca="1" si="83"/>
        <v>0</v>
      </c>
      <c r="BV118" s="2">
        <f t="shared" ca="1" si="84"/>
        <v>0</v>
      </c>
      <c r="BW118" s="2">
        <f t="shared" ca="1" si="85"/>
        <v>0</v>
      </c>
      <c r="BX118" s="2">
        <f t="shared" ca="1" si="86"/>
        <v>0</v>
      </c>
      <c r="BY118" s="13">
        <f t="shared" ca="1" si="87"/>
        <v>0</v>
      </c>
      <c r="CF118" s="39" t="str">
        <f t="shared" si="88"/>
        <v>C2020-12-4300000.CFE</v>
      </c>
      <c r="CG118" s="39" t="str">
        <f t="shared" si="89"/>
        <v>P2020-12-4300000.CFE</v>
      </c>
      <c r="CH118" s="95" t="s">
        <v>156</v>
      </c>
      <c r="CI118" s="100" t="str">
        <f>IF([1]!w_info_callput(CH118)="认购","C","P")</f>
        <v>C</v>
      </c>
      <c r="CJ118" s="104">
        <f>[1]!w_info_strikeprice(CH118,"")</f>
        <v>4300</v>
      </c>
      <c r="CK118" s="102" t="str">
        <f>[1]!w_info_lasttradingdate(CH118)</f>
        <v>2020-12-18</v>
      </c>
      <c r="CL118" s="39" t="str">
        <f t="shared" si="99"/>
        <v>IO2012-P-4300.CFE</v>
      </c>
    </row>
    <row r="119" spans="2:90">
      <c r="B119" s="112" t="s">
        <v>157</v>
      </c>
      <c r="C119" s="29" t="str">
        <f>IF([1]!w_info_callput(B119)="认购","C","P")</f>
        <v>C</v>
      </c>
      <c r="D119" s="96">
        <f>[1]!w_info_strikeprice(B119,"")</f>
        <v>4400</v>
      </c>
      <c r="E119" s="18" t="str">
        <f>[1]!w_info_lasttradingdate(B119)</f>
        <v>2020-12-18</v>
      </c>
      <c r="F119" s="4">
        <f>IF(G119&gt;0,RTD("wdf.rtq",,$B119,F$5),0)</f>
        <v>0</v>
      </c>
      <c r="G119" s="53">
        <f>RTD("wdf.rtq",,$B119,G$5)</f>
        <v>0</v>
      </c>
      <c r="H119" s="4">
        <f>RTD("wdf.rtq",,$B119,H$5)</f>
        <v>5</v>
      </c>
      <c r="I119" s="53">
        <f>RTD("wdf.rtq",,$B119,I$5)</f>
        <v>1</v>
      </c>
      <c r="J119" s="4">
        <f>RTD("wdf.rtq",,$B119,J$5)</f>
        <v>0</v>
      </c>
      <c r="K119" s="54">
        <f>RTD("wdf.rtq",,$B119,K$5)</f>
        <v>0</v>
      </c>
      <c r="L119" s="4">
        <f>[1]!s_dq_presettle(B119,"")</f>
        <v>114</v>
      </c>
      <c r="M119" s="6">
        <f t="shared" si="62"/>
        <v>642.90000000000009</v>
      </c>
      <c r="N119" s="3">
        <f t="shared" si="63"/>
        <v>88300</v>
      </c>
      <c r="O119" s="4">
        <f t="shared" si="64"/>
        <v>-26719.000000000007</v>
      </c>
      <c r="P119" s="4">
        <f t="shared" si="65"/>
        <v>22000</v>
      </c>
      <c r="Q119" s="8">
        <f t="shared" si="66"/>
        <v>110300.01</v>
      </c>
      <c r="R119" s="55">
        <f ca="1">IF(NOW()-TODAY()&gt;15/24, G119, [1]!s_dq_volume(B119,R$2,1))/$AI$2</f>
        <v>1</v>
      </c>
      <c r="AB119" s="39" t="s">
        <v>172</v>
      </c>
      <c r="AC119" s="29" t="str">
        <f>IF([1]!w_info_callput(AB119)="认购","C","P")</f>
        <v>P</v>
      </c>
      <c r="AD119" s="31">
        <f>[1]!w_info_strikeprice(AB119,"")</f>
        <v>4400</v>
      </c>
      <c r="AE119" s="18" t="str">
        <f>[1]!w_info_lasttradingdate(AB119)</f>
        <v>2020-12-18</v>
      </c>
      <c r="AF119" s="4">
        <f>RTD("wdf.rtq",,$AB119,F$5)</f>
        <v>883</v>
      </c>
      <c r="AG119" s="53">
        <f>RTD("wdf.rtq",,$AB119,G$5)</f>
        <v>0</v>
      </c>
      <c r="AH119" s="4">
        <f>RTD("wdf.rtq",,$AB119,H$5)</f>
        <v>0</v>
      </c>
      <c r="AI119" s="53">
        <f>RTD("wdf.rtq",,$AB119,I$5)</f>
        <v>0</v>
      </c>
      <c r="AJ119" s="4">
        <f>RTD("wdf.rtq",,$AB119,J$5)</f>
        <v>0</v>
      </c>
      <c r="AK119" s="54">
        <f>RTD("wdf.rtq",,$AB119,K$5)</f>
        <v>0</v>
      </c>
      <c r="AL119" s="4">
        <f>[1]!s_dq_presettle(AB119,"")</f>
        <v>899.6</v>
      </c>
      <c r="AM119" s="6">
        <f t="shared" si="67"/>
        <v>0</v>
      </c>
      <c r="AN119" s="6">
        <f t="shared" si="68"/>
        <v>88300</v>
      </c>
      <c r="AO119" s="6">
        <f t="shared" si="69"/>
        <v>37571</v>
      </c>
      <c r="AP119" s="4">
        <f t="shared" si="70"/>
        <v>22000</v>
      </c>
      <c r="AQ119" s="8">
        <f t="shared" si="71"/>
        <v>125871.01</v>
      </c>
      <c r="AR119" s="55">
        <f ca="1">IF(NOW()-TODAY()&gt;15/24, AG119, [1]!s_dq_volume(AB119,AR$2,1))/AI$2</f>
        <v>0</v>
      </c>
      <c r="AS119" s="110"/>
      <c r="AT119" s="110"/>
      <c r="AU119" s="110"/>
      <c r="AV119" s="110"/>
      <c r="AY119" s="10"/>
      <c r="AZ119" s="10"/>
      <c r="BA119" s="6">
        <f t="shared" ca="1" si="91"/>
        <v>0</v>
      </c>
      <c r="BB119" s="6">
        <f t="shared" ca="1" si="92"/>
        <v>0</v>
      </c>
      <c r="BC119" s="6">
        <f t="shared" ca="1" si="93"/>
        <v>0</v>
      </c>
      <c r="BD119" s="12">
        <f t="shared" ca="1" si="94"/>
        <v>0</v>
      </c>
      <c r="BE119" s="2">
        <f t="shared" ca="1" si="72"/>
        <v>0</v>
      </c>
      <c r="BF119" s="2">
        <f t="shared" ca="1" si="73"/>
        <v>0</v>
      </c>
      <c r="BG119" s="2">
        <f t="shared" ca="1" si="74"/>
        <v>0</v>
      </c>
      <c r="BH119" s="13">
        <f t="shared" ca="1" si="75"/>
        <v>0</v>
      </c>
      <c r="BI119" s="2">
        <f t="shared" ca="1" si="76"/>
        <v>0</v>
      </c>
      <c r="BJ119" s="2">
        <f t="shared" ca="1" si="77"/>
        <v>0</v>
      </c>
      <c r="BK119" s="2">
        <f t="shared" ca="1" si="78"/>
        <v>0</v>
      </c>
      <c r="BL119" s="40">
        <f t="shared" ca="1" si="79"/>
        <v>0</v>
      </c>
      <c r="BN119" s="6">
        <f t="shared" ca="1" si="95"/>
        <v>0</v>
      </c>
      <c r="BO119" s="6">
        <f t="shared" ca="1" si="96"/>
        <v>0</v>
      </c>
      <c r="BP119" s="6">
        <f t="shared" ca="1" si="97"/>
        <v>0</v>
      </c>
      <c r="BQ119" s="12">
        <f t="shared" ca="1" si="98"/>
        <v>0</v>
      </c>
      <c r="BR119" s="2">
        <f t="shared" ca="1" si="80"/>
        <v>0</v>
      </c>
      <c r="BS119" s="2">
        <f t="shared" ca="1" si="81"/>
        <v>0</v>
      </c>
      <c r="BT119" s="2">
        <f t="shared" ca="1" si="82"/>
        <v>0</v>
      </c>
      <c r="BU119" s="13">
        <f t="shared" ca="1" si="83"/>
        <v>0</v>
      </c>
      <c r="BV119" s="2">
        <f t="shared" ca="1" si="84"/>
        <v>0</v>
      </c>
      <c r="BW119" s="2">
        <f t="shared" ca="1" si="85"/>
        <v>0</v>
      </c>
      <c r="BX119" s="2">
        <f t="shared" ca="1" si="86"/>
        <v>0</v>
      </c>
      <c r="BY119" s="13">
        <f t="shared" ca="1" si="87"/>
        <v>0</v>
      </c>
      <c r="CF119" s="39" t="str">
        <f t="shared" si="88"/>
        <v>C2020-12-4400000.CFE</v>
      </c>
      <c r="CG119" s="39" t="str">
        <f t="shared" si="89"/>
        <v>P2020-12-4400000.CFE</v>
      </c>
      <c r="CH119" s="95" t="s">
        <v>157</v>
      </c>
      <c r="CI119" s="100" t="str">
        <f>IF([1]!w_info_callput(CH119)="认购","C","P")</f>
        <v>C</v>
      </c>
      <c r="CJ119" s="104">
        <f>[1]!w_info_strikeprice(CH119,"")</f>
        <v>4400</v>
      </c>
      <c r="CK119" s="102" t="str">
        <f>[1]!w_info_lasttradingdate(CH119)</f>
        <v>2020-12-18</v>
      </c>
      <c r="CL119" s="39" t="str">
        <f t="shared" si="99"/>
        <v>IO2012-P-4400.CFE</v>
      </c>
    </row>
    <row r="120" spans="2:90">
      <c r="B120" s="112" t="s">
        <v>158</v>
      </c>
      <c r="C120" s="29" t="str">
        <f>IF([1]!w_info_callput(B120)="认购","C","P")</f>
        <v>C</v>
      </c>
      <c r="D120" s="96">
        <f>[1]!w_info_strikeprice(B120,"")</f>
        <v>4500</v>
      </c>
      <c r="E120" s="18" t="str">
        <f>[1]!w_info_lasttradingdate(B120)</f>
        <v>2020-12-18</v>
      </c>
      <c r="F120" s="4">
        <f>IF(G120&gt;0,RTD("wdf.rtq",,$B120,F$5),0)</f>
        <v>106.8</v>
      </c>
      <c r="G120" s="53">
        <f>RTD("wdf.rtq",,$B120,G$5)</f>
        <v>1</v>
      </c>
      <c r="H120" s="4">
        <f>RTD("wdf.rtq",,$B120,H$5)</f>
        <v>108</v>
      </c>
      <c r="I120" s="53">
        <f>RTD("wdf.rtq",,$B120,I$5)</f>
        <v>1</v>
      </c>
      <c r="J120" s="4">
        <f>RTD("wdf.rtq",,$B120,J$5)</f>
        <v>0</v>
      </c>
      <c r="K120" s="54">
        <f>RTD("wdf.rtq",,$B120,K$5)</f>
        <v>0</v>
      </c>
      <c r="L120" s="4">
        <f>[1]!s_dq_presettle(B120,"")</f>
        <v>100.4</v>
      </c>
      <c r="M120" s="6">
        <f t="shared" si="62"/>
        <v>742.90000000000009</v>
      </c>
      <c r="N120" s="3">
        <f t="shared" si="63"/>
        <v>97280</v>
      </c>
      <c r="O120" s="4">
        <f t="shared" si="64"/>
        <v>-36719.000000000007</v>
      </c>
      <c r="P120" s="4">
        <f t="shared" si="65"/>
        <v>22500</v>
      </c>
      <c r="Q120" s="8">
        <f t="shared" si="66"/>
        <v>119780.01</v>
      </c>
      <c r="R120" s="55">
        <f ca="1">IF(NOW()-TODAY()&gt;15/24, G120, [1]!s_dq_volume(B120,R$2,1))/$AI$2</f>
        <v>7</v>
      </c>
      <c r="AB120" s="39" t="s">
        <v>173</v>
      </c>
      <c r="AC120" s="29" t="str">
        <f>IF([1]!w_info_callput(AB120)="认购","C","P")</f>
        <v>P</v>
      </c>
      <c r="AD120" s="31">
        <f>[1]!w_info_strikeprice(AB120,"")</f>
        <v>4500</v>
      </c>
      <c r="AE120" s="18" t="str">
        <f>[1]!w_info_lasttradingdate(AB120)</f>
        <v>2020-12-18</v>
      </c>
      <c r="AF120" s="4">
        <f>RTD("wdf.rtq",,$AB120,F$5)</f>
        <v>972.80000000000007</v>
      </c>
      <c r="AG120" s="53">
        <f>RTD("wdf.rtq",,$AB120,G$5)</f>
        <v>0</v>
      </c>
      <c r="AH120" s="4">
        <f>RTD("wdf.rtq",,$AB120,H$5)</f>
        <v>0</v>
      </c>
      <c r="AI120" s="53">
        <f>RTD("wdf.rtq",,$AB120,I$5)</f>
        <v>0</v>
      </c>
      <c r="AJ120" s="4">
        <f>RTD("wdf.rtq",,$AB120,J$5)</f>
        <v>0</v>
      </c>
      <c r="AK120" s="54">
        <f>RTD("wdf.rtq",,$AB120,K$5)</f>
        <v>0</v>
      </c>
      <c r="AL120" s="4">
        <f>[1]!s_dq_presettle(AB120,"")</f>
        <v>1081</v>
      </c>
      <c r="AM120" s="6">
        <f t="shared" si="67"/>
        <v>0</v>
      </c>
      <c r="AN120" s="6">
        <f t="shared" si="68"/>
        <v>97280</v>
      </c>
      <c r="AO120" s="6">
        <f t="shared" si="69"/>
        <v>37571</v>
      </c>
      <c r="AP120" s="4">
        <f t="shared" si="70"/>
        <v>22500</v>
      </c>
      <c r="AQ120" s="8">
        <f t="shared" si="71"/>
        <v>134851.01</v>
      </c>
      <c r="AR120" s="55">
        <f ca="1">IF(NOW()-TODAY()&gt;15/24, AG120, [1]!s_dq_volume(AB120,AR$2,1))/AI$2</f>
        <v>1</v>
      </c>
      <c r="AS120" s="110"/>
      <c r="AT120" s="110"/>
      <c r="AU120" s="110"/>
      <c r="AV120" s="110"/>
      <c r="AY120" s="10"/>
      <c r="AZ120" s="10"/>
      <c r="BA120" s="6">
        <f t="shared" ca="1" si="91"/>
        <v>21062.190000000002</v>
      </c>
      <c r="BB120" s="6">
        <f t="shared" ca="1" si="92"/>
        <v>0</v>
      </c>
      <c r="BC120" s="6">
        <f t="shared" ca="1" si="93"/>
        <v>0</v>
      </c>
      <c r="BD120" s="12">
        <f t="shared" ca="1" si="94"/>
        <v>0</v>
      </c>
      <c r="BE120" s="2">
        <f t="shared" ca="1" si="72"/>
        <v>3.553180769047342E-2</v>
      </c>
      <c r="BF120" s="2">
        <f t="shared" ca="1" si="73"/>
        <v>0</v>
      </c>
      <c r="BG120" s="2">
        <f t="shared" ca="1" si="74"/>
        <v>0</v>
      </c>
      <c r="BH120" s="13">
        <f t="shared" ca="1" si="75"/>
        <v>0</v>
      </c>
      <c r="BI120" s="2">
        <f t="shared" ca="1" si="76"/>
        <v>4.8573444970122844E-2</v>
      </c>
      <c r="BJ120" s="2">
        <f t="shared" ca="1" si="77"/>
        <v>0</v>
      </c>
      <c r="BK120" s="2">
        <f t="shared" ca="1" si="78"/>
        <v>0</v>
      </c>
      <c r="BL120" s="40">
        <f t="shared" ca="1" si="79"/>
        <v>0</v>
      </c>
      <c r="BN120" s="6">
        <f t="shared" ca="1" si="95"/>
        <v>-7818.9139999999989</v>
      </c>
      <c r="BO120" s="6">
        <f t="shared" ca="1" si="96"/>
        <v>0</v>
      </c>
      <c r="BP120" s="6">
        <f t="shared" ca="1" si="97"/>
        <v>0</v>
      </c>
      <c r="BQ120" s="12">
        <f t="shared" ca="1" si="98"/>
        <v>0</v>
      </c>
      <c r="BR120" s="2">
        <f t="shared" ca="1" si="80"/>
        <v>-4.1019145223798119E-2</v>
      </c>
      <c r="BS120" s="2">
        <f t="shared" ca="1" si="81"/>
        <v>0</v>
      </c>
      <c r="BT120" s="2">
        <f t="shared" ca="1" si="82"/>
        <v>0</v>
      </c>
      <c r="BU120" s="13">
        <f t="shared" ca="1" si="83"/>
        <v>0</v>
      </c>
      <c r="BV120" s="2">
        <f t="shared" ca="1" si="84"/>
        <v>-5.6074861448263347E-2</v>
      </c>
      <c r="BW120" s="2">
        <f t="shared" ca="1" si="85"/>
        <v>0</v>
      </c>
      <c r="BX120" s="2">
        <f t="shared" ca="1" si="86"/>
        <v>0</v>
      </c>
      <c r="BY120" s="13">
        <f t="shared" ca="1" si="87"/>
        <v>0</v>
      </c>
      <c r="CF120" s="39" t="str">
        <f t="shared" si="88"/>
        <v>C2020-12-4500000.CFE</v>
      </c>
      <c r="CG120" s="39" t="str">
        <f t="shared" si="89"/>
        <v>P2020-12-4500000.CFE</v>
      </c>
      <c r="CH120" s="95" t="s">
        <v>158</v>
      </c>
      <c r="CI120" s="100" t="str">
        <f>IF([1]!w_info_callput(CH120)="认购","C","P")</f>
        <v>C</v>
      </c>
      <c r="CJ120" s="104">
        <f>[1]!w_info_strikeprice(CH120,"")</f>
        <v>4500</v>
      </c>
      <c r="CK120" s="102" t="str">
        <f>[1]!w_info_lasttradingdate(CH120)</f>
        <v>2020-12-18</v>
      </c>
      <c r="CL120" s="39" t="str">
        <f t="shared" si="99"/>
        <v>IO2012-P-4500.CFE</v>
      </c>
    </row>
    <row r="121" spans="2:90">
      <c r="B121" s="112" t="s">
        <v>159</v>
      </c>
      <c r="C121" s="29" t="str">
        <f>IF([1]!w_info_callput(B121)="认购","C","P")</f>
        <v>C</v>
      </c>
      <c r="D121" s="96">
        <f>[1]!w_info_strikeprice(B121,"")</f>
        <v>4600</v>
      </c>
      <c r="E121" s="18" t="str">
        <f>[1]!w_info_lasttradingdate(B121)</f>
        <v>2020-12-18</v>
      </c>
      <c r="F121" s="4">
        <f>IF(G121&gt;0,RTD("wdf.rtq",,$B121,F$5),0)</f>
        <v>0</v>
      </c>
      <c r="G121" s="53">
        <f>RTD("wdf.rtq",,$B121,G$5)</f>
        <v>0</v>
      </c>
      <c r="H121" s="4">
        <f>RTD("wdf.rtq",,$B121,H$5)</f>
        <v>55</v>
      </c>
      <c r="I121" s="53">
        <f>RTD("wdf.rtq",,$B121,I$5)</f>
        <v>2</v>
      </c>
      <c r="J121" s="4">
        <f>RTD("wdf.rtq",,$B121,J$5)</f>
        <v>454.40000000000003</v>
      </c>
      <c r="K121" s="54">
        <f>RTD("wdf.rtq",,$B121,K$5)</f>
        <v>1</v>
      </c>
      <c r="L121" s="4">
        <f>[1]!s_dq_presettle(B121,"")</f>
        <v>86</v>
      </c>
      <c r="M121" s="6">
        <f t="shared" si="62"/>
        <v>842.90000000000009</v>
      </c>
      <c r="N121" s="3">
        <f t="shared" si="63"/>
        <v>101720</v>
      </c>
      <c r="O121" s="4">
        <f t="shared" si="64"/>
        <v>-46719.000000000007</v>
      </c>
      <c r="P121" s="4">
        <f t="shared" si="65"/>
        <v>23000</v>
      </c>
      <c r="Q121" s="8">
        <f t="shared" si="66"/>
        <v>124720.01</v>
      </c>
      <c r="R121" s="55">
        <f ca="1">IF(NOW()-TODAY()&gt;15/24, G121, [1]!s_dq_volume(B121,R$2,1))/$AI$2</f>
        <v>8</v>
      </c>
      <c r="AB121" s="39" t="s">
        <v>174</v>
      </c>
      <c r="AC121" s="29" t="str">
        <f>IF([1]!w_info_callput(AB121)="认购","C","P")</f>
        <v>P</v>
      </c>
      <c r="AD121" s="31">
        <f>[1]!w_info_strikeprice(AB121,"")</f>
        <v>4600</v>
      </c>
      <c r="AE121" s="18" t="str">
        <f>[1]!w_info_lasttradingdate(AB121)</f>
        <v>2020-12-18</v>
      </c>
      <c r="AF121" s="4">
        <f>RTD("wdf.rtq",,$AB121,F$5)</f>
        <v>1017.2</v>
      </c>
      <c r="AG121" s="53">
        <f>RTD("wdf.rtq",,$AB121,G$5)</f>
        <v>3</v>
      </c>
      <c r="AH121" s="4">
        <f>RTD("wdf.rtq",,$AB121,H$5)</f>
        <v>0</v>
      </c>
      <c r="AI121" s="53">
        <f>RTD("wdf.rtq",,$AB121,I$5)</f>
        <v>0</v>
      </c>
      <c r="AJ121" s="4">
        <f>RTD("wdf.rtq",,$AB121,J$5)</f>
        <v>0</v>
      </c>
      <c r="AK121" s="54">
        <f>RTD("wdf.rtq",,$AB121,K$5)</f>
        <v>0</v>
      </c>
      <c r="AL121" s="4">
        <f>[1]!s_dq_presettle(AB121,"")</f>
        <v>1166.4000000000001</v>
      </c>
      <c r="AM121" s="6">
        <f t="shared" si="67"/>
        <v>0</v>
      </c>
      <c r="AN121" s="6">
        <f t="shared" si="68"/>
        <v>101720</v>
      </c>
      <c r="AO121" s="6">
        <f t="shared" si="69"/>
        <v>37571</v>
      </c>
      <c r="AP121" s="4">
        <f t="shared" si="70"/>
        <v>23000</v>
      </c>
      <c r="AQ121" s="8">
        <f t="shared" si="71"/>
        <v>139291.01</v>
      </c>
      <c r="AR121" s="55">
        <f ca="1">IF(NOW()-TODAY()&gt;15/24, AG121, [1]!s_dq_volume(AB121,AR$2,1))/AI$2</f>
        <v>0</v>
      </c>
      <c r="AS121" s="110"/>
      <c r="AT121" s="110"/>
      <c r="AU121" s="110"/>
      <c r="AV121" s="110"/>
      <c r="AY121" s="10"/>
      <c r="AZ121" s="10"/>
      <c r="BA121" s="6">
        <f t="shared" ca="1" si="91"/>
        <v>0</v>
      </c>
      <c r="BB121" s="6">
        <f t="shared" ca="1" si="92"/>
        <v>0</v>
      </c>
      <c r="BC121" s="6">
        <f t="shared" ca="1" si="93"/>
        <v>0</v>
      </c>
      <c r="BD121" s="12">
        <f t="shared" ca="1" si="94"/>
        <v>0</v>
      </c>
      <c r="BE121" s="2">
        <f t="shared" ca="1" si="72"/>
        <v>0</v>
      </c>
      <c r="BF121" s="2">
        <f t="shared" ca="1" si="73"/>
        <v>0</v>
      </c>
      <c r="BG121" s="2">
        <f t="shared" ca="1" si="74"/>
        <v>0</v>
      </c>
      <c r="BH121" s="13">
        <f t="shared" ca="1" si="75"/>
        <v>0</v>
      </c>
      <c r="BI121" s="2">
        <f t="shared" ca="1" si="76"/>
        <v>0</v>
      </c>
      <c r="BJ121" s="2">
        <f t="shared" ca="1" si="77"/>
        <v>0</v>
      </c>
      <c r="BK121" s="2">
        <f t="shared" ca="1" si="78"/>
        <v>0</v>
      </c>
      <c r="BL121" s="40">
        <f t="shared" ca="1" si="79"/>
        <v>0</v>
      </c>
      <c r="BN121" s="6">
        <f t="shared" ca="1" si="95"/>
        <v>0</v>
      </c>
      <c r="BO121" s="6">
        <f t="shared" ca="1" si="96"/>
        <v>0</v>
      </c>
      <c r="BP121" s="6">
        <f t="shared" ca="1" si="97"/>
        <v>0</v>
      </c>
      <c r="BQ121" s="12">
        <f t="shared" ca="1" si="98"/>
        <v>0</v>
      </c>
      <c r="BR121" s="2">
        <f t="shared" ca="1" si="80"/>
        <v>0</v>
      </c>
      <c r="BS121" s="2">
        <f t="shared" ca="1" si="81"/>
        <v>0</v>
      </c>
      <c r="BT121" s="2">
        <f t="shared" ca="1" si="82"/>
        <v>0</v>
      </c>
      <c r="BU121" s="13">
        <f t="shared" ca="1" si="83"/>
        <v>0</v>
      </c>
      <c r="BV121" s="2">
        <f t="shared" ca="1" si="84"/>
        <v>0</v>
      </c>
      <c r="BW121" s="2">
        <f t="shared" ca="1" si="85"/>
        <v>0</v>
      </c>
      <c r="BX121" s="2">
        <f t="shared" ca="1" si="86"/>
        <v>0</v>
      </c>
      <c r="BY121" s="13">
        <f t="shared" ca="1" si="87"/>
        <v>0</v>
      </c>
      <c r="CF121" s="39" t="str">
        <f t="shared" si="88"/>
        <v>C2020-12-4600000.CFE</v>
      </c>
      <c r="CG121" s="39" t="str">
        <f t="shared" si="89"/>
        <v>P2020-12-4600000.CFE</v>
      </c>
      <c r="CH121" s="95" t="s">
        <v>159</v>
      </c>
      <c r="CI121" s="100" t="str">
        <f>IF([1]!w_info_callput(CH121)="认购","C","P")</f>
        <v>C</v>
      </c>
      <c r="CJ121" s="104">
        <f>[1]!w_info_strikeprice(CH121,"")</f>
        <v>4600</v>
      </c>
      <c r="CK121" s="102" t="str">
        <f>[1]!w_info_lasttradingdate(CH121)</f>
        <v>2020-12-18</v>
      </c>
      <c r="CL121" s="39" t="str">
        <f t="shared" si="99"/>
        <v>IO2012-P-4600.CFE</v>
      </c>
    </row>
    <row r="122" spans="2:90">
      <c r="B122" s="112" t="s">
        <v>160</v>
      </c>
      <c r="C122" s="29" t="str">
        <f>IF([1]!w_info_callput(B122)="认购","C","P")</f>
        <v>C</v>
      </c>
      <c r="D122" s="96">
        <f>[1]!w_info_strikeprice(B122,"")</f>
        <v>4700</v>
      </c>
      <c r="E122" s="18" t="str">
        <f>[1]!w_info_lasttradingdate(B122)</f>
        <v>2020-12-18</v>
      </c>
      <c r="F122" s="4">
        <f>IF(G122&gt;0,RTD("wdf.rtq",,$B122,F$5),0)</f>
        <v>82.4</v>
      </c>
      <c r="G122" s="53">
        <f>RTD("wdf.rtq",,$B122,G$5)</f>
        <v>32</v>
      </c>
      <c r="H122" s="4">
        <f>RTD("wdf.rtq",,$B122,H$5)</f>
        <v>74</v>
      </c>
      <c r="I122" s="53">
        <f>RTD("wdf.rtq",,$B122,I$5)</f>
        <v>1</v>
      </c>
      <c r="J122" s="4">
        <f>RTD("wdf.rtq",,$B122,J$5)</f>
        <v>89</v>
      </c>
      <c r="K122" s="54">
        <f>RTD("wdf.rtq",,$B122,K$5)</f>
        <v>1</v>
      </c>
      <c r="L122" s="4">
        <f>[1]!s_dq_presettle(B122,"")</f>
        <v>75.599999999999994</v>
      </c>
      <c r="M122" s="6">
        <f t="shared" si="62"/>
        <v>942.90000000000009</v>
      </c>
      <c r="N122" s="3">
        <f t="shared" si="63"/>
        <v>109200</v>
      </c>
      <c r="O122" s="4">
        <f t="shared" si="64"/>
        <v>-56719.000000000007</v>
      </c>
      <c r="P122" s="4">
        <f t="shared" si="65"/>
        <v>23500</v>
      </c>
      <c r="Q122" s="8">
        <f t="shared" si="66"/>
        <v>132700.01</v>
      </c>
      <c r="R122" s="55">
        <f ca="1">IF(NOW()-TODAY()&gt;15/24, G122, [1]!s_dq_volume(B122,R$2,1))/$AI$2</f>
        <v>102</v>
      </c>
      <c r="AB122" s="39" t="s">
        <v>175</v>
      </c>
      <c r="AC122" s="29" t="str">
        <f>IF([1]!w_info_callput(AB122)="认购","C","P")</f>
        <v>P</v>
      </c>
      <c r="AD122" s="31">
        <f>[1]!w_info_strikeprice(AB122,"")</f>
        <v>4700</v>
      </c>
      <c r="AE122" s="18" t="str">
        <f>[1]!w_info_lasttradingdate(AB122)</f>
        <v>2020-12-18</v>
      </c>
      <c r="AF122" s="4">
        <f>RTD("wdf.rtq",,$AB122,F$5)</f>
        <v>1092</v>
      </c>
      <c r="AG122" s="53">
        <f>RTD("wdf.rtq",,$AB122,G$5)</f>
        <v>5</v>
      </c>
      <c r="AH122" s="4">
        <f>RTD("wdf.rtq",,$AB122,H$5)</f>
        <v>0</v>
      </c>
      <c r="AI122" s="53">
        <f>RTD("wdf.rtq",,$AB122,I$5)</f>
        <v>0</v>
      </c>
      <c r="AJ122" s="4">
        <f>RTD("wdf.rtq",,$AB122,J$5)</f>
        <v>0</v>
      </c>
      <c r="AK122" s="54">
        <f>RTD("wdf.rtq",,$AB122,K$5)</f>
        <v>0</v>
      </c>
      <c r="AL122" s="4">
        <f>[1]!s_dq_presettle(AB122,"")</f>
        <v>1252.8</v>
      </c>
      <c r="AM122" s="6">
        <f t="shared" si="67"/>
        <v>0</v>
      </c>
      <c r="AN122" s="6">
        <f t="shared" si="68"/>
        <v>109200</v>
      </c>
      <c r="AO122" s="6">
        <f t="shared" si="69"/>
        <v>37571</v>
      </c>
      <c r="AP122" s="4">
        <f t="shared" si="70"/>
        <v>23500</v>
      </c>
      <c r="AQ122" s="8">
        <f t="shared" si="71"/>
        <v>146771.01</v>
      </c>
      <c r="AR122" s="55">
        <f ca="1">IF(NOW()-TODAY()&gt;15/24, AG122, [1]!s_dq_volume(AB122,AR$2,1))/AI$2</f>
        <v>6</v>
      </c>
      <c r="AS122" s="110"/>
      <c r="AT122" s="110"/>
      <c r="AU122" s="110"/>
      <c r="AV122" s="110"/>
      <c r="AY122" s="10"/>
      <c r="AZ122" s="10"/>
      <c r="BA122" s="6">
        <f t="shared" ca="1" si="91"/>
        <v>26702.19000000001</v>
      </c>
      <c r="BB122" s="6">
        <f t="shared" ca="1" si="92"/>
        <v>0</v>
      </c>
      <c r="BC122" s="6">
        <f t="shared" ca="1" si="93"/>
        <v>0</v>
      </c>
      <c r="BD122" s="12">
        <f t="shared" ca="1" si="94"/>
        <v>0</v>
      </c>
      <c r="BE122" s="2">
        <f t="shared" ca="1" si="72"/>
        <v>4.3234710525498134E-2</v>
      </c>
      <c r="BF122" s="2">
        <f t="shared" ca="1" si="73"/>
        <v>0</v>
      </c>
      <c r="BG122" s="2">
        <f t="shared" ca="1" si="74"/>
        <v>0</v>
      </c>
      <c r="BH122" s="13">
        <f t="shared" ca="1" si="75"/>
        <v>0</v>
      </c>
      <c r="BI122" s="2">
        <f t="shared" ca="1" si="76"/>
        <v>5.91036304936585E-2</v>
      </c>
      <c r="BJ122" s="2">
        <f t="shared" ca="1" si="77"/>
        <v>0</v>
      </c>
      <c r="BK122" s="2">
        <f t="shared" ca="1" si="78"/>
        <v>0</v>
      </c>
      <c r="BL122" s="40">
        <f t="shared" ca="1" si="79"/>
        <v>0</v>
      </c>
      <c r="BN122" s="6">
        <f t="shared" ca="1" si="95"/>
        <v>-13458.914000000008</v>
      </c>
      <c r="BO122" s="6">
        <f t="shared" ca="1" si="96"/>
        <v>0</v>
      </c>
      <c r="BP122" s="6">
        <f t="shared" ca="1" si="97"/>
        <v>0</v>
      </c>
      <c r="BQ122" s="12">
        <f t="shared" ca="1" si="98"/>
        <v>0</v>
      </c>
      <c r="BR122" s="2">
        <f t="shared" ca="1" si="80"/>
        <v>-6.726221351219E-2</v>
      </c>
      <c r="BS122" s="2">
        <f t="shared" ca="1" si="81"/>
        <v>0</v>
      </c>
      <c r="BT122" s="2">
        <f t="shared" ca="1" si="82"/>
        <v>0</v>
      </c>
      <c r="BU122" s="13">
        <f t="shared" ca="1" si="83"/>
        <v>0</v>
      </c>
      <c r="BV122" s="2">
        <f t="shared" ca="1" si="84"/>
        <v>-9.1950216973593069E-2</v>
      </c>
      <c r="BW122" s="2">
        <f t="shared" ca="1" si="85"/>
        <v>0</v>
      </c>
      <c r="BX122" s="2">
        <f t="shared" ca="1" si="86"/>
        <v>0</v>
      </c>
      <c r="BY122" s="13">
        <f t="shared" ca="1" si="87"/>
        <v>0</v>
      </c>
      <c r="CF122" s="39" t="str">
        <f t="shared" si="88"/>
        <v>C2020-12-4700000.CFE</v>
      </c>
      <c r="CG122" s="39" t="str">
        <f t="shared" si="89"/>
        <v>P2020-12-4700000.CFE</v>
      </c>
      <c r="CH122" s="95" t="s">
        <v>160</v>
      </c>
      <c r="CI122" s="100" t="str">
        <f>IF([1]!w_info_callput(CH122)="认购","C","P")</f>
        <v>C</v>
      </c>
      <c r="CJ122" s="104">
        <f>[1]!w_info_strikeprice(CH122,"")</f>
        <v>4700</v>
      </c>
      <c r="CK122" s="102" t="str">
        <f>[1]!w_info_lasttradingdate(CH122)</f>
        <v>2020-12-18</v>
      </c>
      <c r="CL122" s="39" t="str">
        <f t="shared" si="99"/>
        <v>IO2012-P-4700.CFE</v>
      </c>
    </row>
    <row r="123" spans="2:90">
      <c r="B123" s="112" t="s">
        <v>355</v>
      </c>
      <c r="C123" s="29" t="str">
        <f>IF([1]!w_info_callput(B123)="认购","C","P")</f>
        <v>C</v>
      </c>
      <c r="D123" s="96">
        <f>[1]!w_info_strikeprice(B123,"")</f>
        <v>3200</v>
      </c>
      <c r="E123" s="18" t="str">
        <f>[1]!w_info_lasttradingdate(B123)</f>
        <v>2021-03-19</v>
      </c>
      <c r="F123" s="4">
        <f>IF(G123&gt;0,RTD("wdf.rtq",,$B123,F$5),0)</f>
        <v>0</v>
      </c>
      <c r="G123" s="53">
        <f>RTD("wdf.rtq",,$B123,G$5)</f>
        <v>0</v>
      </c>
      <c r="H123" s="4">
        <f>RTD("wdf.rtq",,$B123,H$5)</f>
        <v>0</v>
      </c>
      <c r="I123" s="53">
        <f>RTD("wdf.rtq",,$B123,I$5)</f>
        <v>0</v>
      </c>
      <c r="J123" s="4">
        <f>RTD("wdf.rtq",,$B123,J$5)</f>
        <v>0</v>
      </c>
      <c r="K123" s="54">
        <f>RTD("wdf.rtq",,$B123,K$5)</f>
        <v>0</v>
      </c>
      <c r="L123" s="4">
        <f>[1]!s_dq_presettle(B123,"")</f>
        <v>620.20000000000005</v>
      </c>
      <c r="M123" s="6">
        <f t="shared" si="62"/>
        <v>0</v>
      </c>
      <c r="N123" s="3">
        <f t="shared" si="63"/>
        <v>19340</v>
      </c>
      <c r="O123" s="4">
        <f t="shared" si="64"/>
        <v>37571</v>
      </c>
      <c r="P123" s="4">
        <f t="shared" si="65"/>
        <v>16000</v>
      </c>
      <c r="Q123" s="8">
        <f t="shared" si="66"/>
        <v>56911.01</v>
      </c>
      <c r="R123" s="55">
        <f ca="1">IF(NOW()-TODAY()&gt;15/24, G123, [1]!s_dq_volume(B123,R$2,1))/$AI$2</f>
        <v>0</v>
      </c>
      <c r="AB123" s="39" t="s">
        <v>365</v>
      </c>
      <c r="AC123" s="29" t="str">
        <f>IF([1]!w_info_callput(AB123)="认购","C","P")</f>
        <v>P</v>
      </c>
      <c r="AD123" s="31">
        <f>[1]!w_info_strikeprice(AB123,"")</f>
        <v>3200</v>
      </c>
      <c r="AE123" s="18" t="str">
        <f>[1]!w_info_lasttradingdate(AB123)</f>
        <v>2021-03-19</v>
      </c>
      <c r="AF123" s="4">
        <f>RTD("wdf.rtq",,$AB123,F$5)</f>
        <v>193.4</v>
      </c>
      <c r="AG123" s="53">
        <f>RTD("wdf.rtq",,$AB123,G$5)</f>
        <v>5</v>
      </c>
      <c r="AH123" s="4">
        <f>RTD("wdf.rtq",,$AB123,H$5)</f>
        <v>0</v>
      </c>
      <c r="AI123" s="53">
        <f>RTD("wdf.rtq",,$AB123,I$5)</f>
        <v>0</v>
      </c>
      <c r="AJ123" s="4">
        <f>RTD("wdf.rtq",,$AB123,J$5)</f>
        <v>0</v>
      </c>
      <c r="AK123" s="54">
        <f>RTD("wdf.rtq",,$AB123,K$5)</f>
        <v>0</v>
      </c>
      <c r="AL123" s="4">
        <f>[1]!s_dq_presettle(AB123,"")</f>
        <v>216.2</v>
      </c>
      <c r="AM123" s="6">
        <f t="shared" si="67"/>
        <v>557.09999999999991</v>
      </c>
      <c r="AN123" s="6">
        <f t="shared" si="68"/>
        <v>19340</v>
      </c>
      <c r="AO123" s="6">
        <f t="shared" si="69"/>
        <v>-18138.999999999985</v>
      </c>
      <c r="AP123" s="4">
        <f t="shared" si="70"/>
        <v>16000</v>
      </c>
      <c r="AQ123" s="8">
        <f t="shared" si="71"/>
        <v>35340.01</v>
      </c>
      <c r="AR123" s="55">
        <f ca="1">IF(NOW()-TODAY()&gt;15/24, AG123, [1]!s_dq_volume(AB123,AR$2,1))/AI$2</f>
        <v>11</v>
      </c>
      <c r="AS123" s="110"/>
      <c r="AT123" s="110"/>
      <c r="AU123" s="110"/>
      <c r="AV123" s="110"/>
      <c r="AY123" s="10"/>
      <c r="AZ123" s="10"/>
      <c r="BA123" s="6">
        <f t="shared" ca="1" si="91"/>
        <v>0</v>
      </c>
      <c r="BB123" s="6">
        <f t="shared" ca="1" si="92"/>
        <v>0</v>
      </c>
      <c r="BC123" s="6">
        <f t="shared" ca="1" si="93"/>
        <v>0</v>
      </c>
      <c r="BD123" s="12">
        <f t="shared" ca="1" si="94"/>
        <v>0</v>
      </c>
      <c r="BE123" s="2">
        <f t="shared" ca="1" si="72"/>
        <v>0</v>
      </c>
      <c r="BF123" s="2">
        <f t="shared" ca="1" si="73"/>
        <v>0</v>
      </c>
      <c r="BG123" s="2">
        <f t="shared" ca="1" si="74"/>
        <v>0</v>
      </c>
      <c r="BH123" s="13">
        <f t="shared" ca="1" si="75"/>
        <v>0</v>
      </c>
      <c r="BI123" s="2">
        <f t="shared" ca="1" si="76"/>
        <v>0</v>
      </c>
      <c r="BJ123" s="2">
        <f t="shared" ca="1" si="77"/>
        <v>0</v>
      </c>
      <c r="BK123" s="2">
        <f t="shared" ca="1" si="78"/>
        <v>0</v>
      </c>
      <c r="BL123" s="40">
        <f t="shared" ca="1" si="79"/>
        <v>0</v>
      </c>
      <c r="BN123" s="6">
        <f t="shared" ca="1" si="95"/>
        <v>0</v>
      </c>
      <c r="BO123" s="6">
        <f t="shared" ca="1" si="96"/>
        <v>0</v>
      </c>
      <c r="BP123" s="6">
        <f t="shared" ca="1" si="97"/>
        <v>0</v>
      </c>
      <c r="BQ123" s="12">
        <f t="shared" ca="1" si="98"/>
        <v>0</v>
      </c>
      <c r="BR123" s="2">
        <f t="shared" ca="1" si="80"/>
        <v>0</v>
      </c>
      <c r="BS123" s="2">
        <f t="shared" ca="1" si="81"/>
        <v>0</v>
      </c>
      <c r="BT123" s="2">
        <f t="shared" ca="1" si="82"/>
        <v>0</v>
      </c>
      <c r="BU123" s="13">
        <f t="shared" ca="1" si="83"/>
        <v>0</v>
      </c>
      <c r="BV123" s="2">
        <f t="shared" ca="1" si="84"/>
        <v>0</v>
      </c>
      <c r="BW123" s="2">
        <f t="shared" ca="1" si="85"/>
        <v>0</v>
      </c>
      <c r="BX123" s="2">
        <f t="shared" ca="1" si="86"/>
        <v>0</v>
      </c>
      <c r="BY123" s="13">
        <f t="shared" ca="1" si="87"/>
        <v>0</v>
      </c>
      <c r="CF123" s="39" t="str">
        <f t="shared" si="88"/>
        <v>C2021-03-3200000.CFE</v>
      </c>
      <c r="CG123" s="39" t="str">
        <f t="shared" si="89"/>
        <v>P2021-03-3200000.CFE</v>
      </c>
      <c r="CH123" s="95" t="s">
        <v>355</v>
      </c>
      <c r="CI123" s="100" t="str">
        <f>IF([1]!w_info_callput(CH123)="认购","C","P")</f>
        <v>C</v>
      </c>
      <c r="CJ123" s="104">
        <f>[1]!w_info_strikeprice(CH123,"")</f>
        <v>3200</v>
      </c>
      <c r="CK123" s="102" t="str">
        <f>[1]!w_info_lasttradingdate(CH123)</f>
        <v>2021-03-19</v>
      </c>
      <c r="CL123" s="39" t="str">
        <f t="shared" si="99"/>
        <v>IO2103-P-3200.CFE</v>
      </c>
    </row>
    <row r="124" spans="2:90">
      <c r="B124" s="112" t="s">
        <v>356</v>
      </c>
      <c r="C124" s="29" t="str">
        <f>IF([1]!w_info_callput(B124)="认购","C","P")</f>
        <v>C</v>
      </c>
      <c r="D124" s="96">
        <f>[1]!w_info_strikeprice(B124,"")</f>
        <v>3300</v>
      </c>
      <c r="E124" s="18" t="str">
        <f>[1]!w_info_lasttradingdate(B124)</f>
        <v>2021-03-19</v>
      </c>
      <c r="F124" s="4">
        <f>IF(G124&gt;0,RTD("wdf.rtq",,$B124,F$5),0)</f>
        <v>600</v>
      </c>
      <c r="G124" s="53">
        <f>RTD("wdf.rtq",,$B124,G$5)</f>
        <v>1</v>
      </c>
      <c r="H124" s="4">
        <f>RTD("wdf.rtq",,$B124,H$5)</f>
        <v>0</v>
      </c>
      <c r="I124" s="53">
        <f>RTD("wdf.rtq",,$B124,I$5)</f>
        <v>0</v>
      </c>
      <c r="J124" s="4">
        <f>RTD("wdf.rtq",,$B124,J$5)</f>
        <v>0</v>
      </c>
      <c r="K124" s="54">
        <f>RTD("wdf.rtq",,$B124,K$5)</f>
        <v>0</v>
      </c>
      <c r="L124" s="4">
        <f>[1]!s_dq_presettle(B124,"")</f>
        <v>566.20000000000005</v>
      </c>
      <c r="M124" s="6">
        <f t="shared" si="62"/>
        <v>0</v>
      </c>
      <c r="N124" s="3">
        <f t="shared" si="63"/>
        <v>23320</v>
      </c>
      <c r="O124" s="4">
        <f t="shared" si="64"/>
        <v>37571</v>
      </c>
      <c r="P124" s="4">
        <f t="shared" si="65"/>
        <v>16500</v>
      </c>
      <c r="Q124" s="8">
        <f t="shared" si="66"/>
        <v>60891.01</v>
      </c>
      <c r="R124" s="55">
        <f ca="1">IF(NOW()-TODAY()&gt;15/24, G124, [1]!s_dq_volume(B124,R$2,1))/$AI$2</f>
        <v>0</v>
      </c>
      <c r="AB124" s="39" t="s">
        <v>366</v>
      </c>
      <c r="AC124" s="29" t="str">
        <f>IF([1]!w_info_callput(AB124)="认购","C","P")</f>
        <v>P</v>
      </c>
      <c r="AD124" s="31">
        <f>[1]!w_info_strikeprice(AB124,"")</f>
        <v>3300</v>
      </c>
      <c r="AE124" s="18" t="str">
        <f>[1]!w_info_lasttradingdate(AB124)</f>
        <v>2021-03-19</v>
      </c>
      <c r="AF124" s="4">
        <f>RTD("wdf.rtq",,$AB124,F$5)</f>
        <v>233.20000000000002</v>
      </c>
      <c r="AG124" s="53">
        <f>RTD("wdf.rtq",,$AB124,G$5)</f>
        <v>2</v>
      </c>
      <c r="AH124" s="4">
        <f>RTD("wdf.rtq",,$AB124,H$5)</f>
        <v>0</v>
      </c>
      <c r="AI124" s="53">
        <f>RTD("wdf.rtq",,$AB124,I$5)</f>
        <v>0</v>
      </c>
      <c r="AJ124" s="4">
        <f>RTD("wdf.rtq",,$AB124,J$5)</f>
        <v>0</v>
      </c>
      <c r="AK124" s="54">
        <f>RTD("wdf.rtq",,$AB124,K$5)</f>
        <v>0</v>
      </c>
      <c r="AL124" s="4">
        <f>[1]!s_dq_presettle(AB124,"")</f>
        <v>255.2</v>
      </c>
      <c r="AM124" s="6">
        <f t="shared" si="67"/>
        <v>457.09999999999991</v>
      </c>
      <c r="AN124" s="6">
        <f t="shared" si="68"/>
        <v>23320</v>
      </c>
      <c r="AO124" s="6">
        <f t="shared" si="69"/>
        <v>-8138.9999999999873</v>
      </c>
      <c r="AP124" s="4">
        <f t="shared" si="70"/>
        <v>16500</v>
      </c>
      <c r="AQ124" s="8">
        <f t="shared" si="71"/>
        <v>39820.01</v>
      </c>
      <c r="AR124" s="55">
        <f ca="1">IF(NOW()-TODAY()&gt;15/24, AG124, [1]!s_dq_volume(AB124,AR$2,1))/AI$2</f>
        <v>4</v>
      </c>
      <c r="AS124" s="110"/>
      <c r="AT124" s="110"/>
      <c r="AU124" s="110"/>
      <c r="AV124" s="110"/>
      <c r="AY124" s="10"/>
      <c r="AZ124" s="10"/>
      <c r="BA124" s="6">
        <f t="shared" ca="1" si="91"/>
        <v>35738.726666666669</v>
      </c>
      <c r="BB124" s="6">
        <f t="shared" ca="1" si="92"/>
        <v>0</v>
      </c>
      <c r="BC124" s="6">
        <f t="shared" ca="1" si="93"/>
        <v>0</v>
      </c>
      <c r="BD124" s="12">
        <f t="shared" ca="1" si="94"/>
        <v>0</v>
      </c>
      <c r="BE124" s="2">
        <f t="shared" ca="1" si="72"/>
        <v>7.7706227568657207E-2</v>
      </c>
      <c r="BF124" s="2">
        <f t="shared" ca="1" si="73"/>
        <v>0</v>
      </c>
      <c r="BG124" s="2">
        <f t="shared" ca="1" si="74"/>
        <v>0</v>
      </c>
      <c r="BH124" s="13">
        <f t="shared" ca="1" si="75"/>
        <v>0</v>
      </c>
      <c r="BI124" s="2">
        <f t="shared" ca="1" si="76"/>
        <v>7.9225623079776208E-2</v>
      </c>
      <c r="BJ124" s="2">
        <f t="shared" ca="1" si="77"/>
        <v>0</v>
      </c>
      <c r="BK124" s="2">
        <f t="shared" ca="1" si="78"/>
        <v>0</v>
      </c>
      <c r="BL124" s="40">
        <f t="shared" ca="1" si="79"/>
        <v>0</v>
      </c>
      <c r="BN124" s="6">
        <f t="shared" ca="1" si="95"/>
        <v>-17936.836000000003</v>
      </c>
      <c r="BO124" s="6">
        <f t="shared" ca="1" si="96"/>
        <v>0</v>
      </c>
      <c r="BP124" s="6">
        <f t="shared" ca="1" si="97"/>
        <v>0</v>
      </c>
      <c r="BQ124" s="12">
        <f t="shared" ca="1" si="98"/>
        <v>0</v>
      </c>
      <c r="BR124" s="2">
        <f t="shared" ca="1" si="80"/>
        <v>-0.12378323733149418</v>
      </c>
      <c r="BS124" s="2">
        <f t="shared" ca="1" si="81"/>
        <v>0</v>
      </c>
      <c r="BT124" s="2">
        <f t="shared" ca="1" si="82"/>
        <v>0</v>
      </c>
      <c r="BU124" s="13">
        <f t="shared" ca="1" si="83"/>
        <v>0</v>
      </c>
      <c r="BV124" s="2">
        <f t="shared" ca="1" si="84"/>
        <v>-0.12620357996088094</v>
      </c>
      <c r="BW124" s="2">
        <f t="shared" ca="1" si="85"/>
        <v>0</v>
      </c>
      <c r="BX124" s="2">
        <f t="shared" ca="1" si="86"/>
        <v>0</v>
      </c>
      <c r="BY124" s="13">
        <f t="shared" ca="1" si="87"/>
        <v>0</v>
      </c>
      <c r="CF124" s="39" t="str">
        <f t="shared" si="88"/>
        <v>C2021-03-3300000.CFE</v>
      </c>
      <c r="CG124" s="39" t="str">
        <f t="shared" si="89"/>
        <v>P2021-03-3300000.CFE</v>
      </c>
      <c r="CH124" s="95" t="s">
        <v>356</v>
      </c>
      <c r="CI124" s="100" t="str">
        <f>IF([1]!w_info_callput(CH124)="认购","C","P")</f>
        <v>C</v>
      </c>
      <c r="CJ124" s="104">
        <f>[1]!w_info_strikeprice(CH124,"")</f>
        <v>3300</v>
      </c>
      <c r="CK124" s="102" t="str">
        <f>[1]!w_info_lasttradingdate(CH124)</f>
        <v>2021-03-19</v>
      </c>
      <c r="CL124" s="39" t="str">
        <f t="shared" si="99"/>
        <v>IO2103-P-3300.CFE</v>
      </c>
    </row>
    <row r="125" spans="2:90">
      <c r="B125" s="112" t="s">
        <v>357</v>
      </c>
      <c r="C125" s="29" t="str">
        <f>IF([1]!w_info_callput(B125)="认购","C","P")</f>
        <v>C</v>
      </c>
      <c r="D125" s="96">
        <f>[1]!w_info_strikeprice(B125,"")</f>
        <v>3400</v>
      </c>
      <c r="E125" s="18" t="str">
        <f>[1]!w_info_lasttradingdate(B125)</f>
        <v>2021-03-19</v>
      </c>
      <c r="F125" s="4">
        <f>IF(G125&gt;0,RTD("wdf.rtq",,$B125,F$5),0)</f>
        <v>538.6</v>
      </c>
      <c r="G125" s="53">
        <f>RTD("wdf.rtq",,$B125,G$5)</f>
        <v>3</v>
      </c>
      <c r="H125" s="4">
        <f>RTD("wdf.rtq",,$B125,H$5)</f>
        <v>466</v>
      </c>
      <c r="I125" s="53">
        <f>RTD("wdf.rtq",,$B125,I$5)</f>
        <v>1</v>
      </c>
      <c r="J125" s="4">
        <f>RTD("wdf.rtq",,$B125,J$5)</f>
        <v>0</v>
      </c>
      <c r="K125" s="54">
        <f>RTD("wdf.rtq",,$B125,K$5)</f>
        <v>0</v>
      </c>
      <c r="L125" s="4">
        <f>[1]!s_dq_presettle(B125,"")</f>
        <v>505.6</v>
      </c>
      <c r="M125" s="6">
        <f t="shared" si="62"/>
        <v>0</v>
      </c>
      <c r="N125" s="3">
        <f t="shared" si="63"/>
        <v>26460.000000000004</v>
      </c>
      <c r="O125" s="4">
        <f t="shared" si="64"/>
        <v>37571</v>
      </c>
      <c r="P125" s="4">
        <f t="shared" si="65"/>
        <v>17000</v>
      </c>
      <c r="Q125" s="8">
        <f t="shared" si="66"/>
        <v>64031.01</v>
      </c>
      <c r="R125" s="55">
        <f ca="1">IF(NOW()-TODAY()&gt;15/24, G125, [1]!s_dq_volume(B125,R$2,1))/$AI$2</f>
        <v>7</v>
      </c>
      <c r="AB125" s="39" t="s">
        <v>367</v>
      </c>
      <c r="AC125" s="29" t="str">
        <f>IF([1]!w_info_callput(AB125)="认购","C","P")</f>
        <v>P</v>
      </c>
      <c r="AD125" s="31">
        <f>[1]!w_info_strikeprice(AB125,"")</f>
        <v>3400</v>
      </c>
      <c r="AE125" s="18" t="str">
        <f>[1]!w_info_lasttradingdate(AB125)</f>
        <v>2021-03-19</v>
      </c>
      <c r="AF125" s="4">
        <f>RTD("wdf.rtq",,$AB125,F$5)</f>
        <v>264.60000000000002</v>
      </c>
      <c r="AG125" s="53">
        <f>RTD("wdf.rtq",,$AB125,G$5)</f>
        <v>2</v>
      </c>
      <c r="AH125" s="4">
        <f>RTD("wdf.rtq",,$AB125,H$5)</f>
        <v>0</v>
      </c>
      <c r="AI125" s="53">
        <f>RTD("wdf.rtq",,$AB125,I$5)</f>
        <v>0</v>
      </c>
      <c r="AJ125" s="4">
        <f>RTD("wdf.rtq",,$AB125,J$5)</f>
        <v>0</v>
      </c>
      <c r="AK125" s="54">
        <f>RTD("wdf.rtq",,$AB125,K$5)</f>
        <v>0</v>
      </c>
      <c r="AL125" s="4">
        <f>[1]!s_dq_presettle(AB125,"")</f>
        <v>293.39999999999998</v>
      </c>
      <c r="AM125" s="6">
        <f t="shared" si="67"/>
        <v>357.09999999999991</v>
      </c>
      <c r="AN125" s="6">
        <f t="shared" si="68"/>
        <v>26460.000000000004</v>
      </c>
      <c r="AO125" s="6">
        <f t="shared" si="69"/>
        <v>1861.0000000000127</v>
      </c>
      <c r="AP125" s="4">
        <f t="shared" si="70"/>
        <v>17000</v>
      </c>
      <c r="AQ125" s="8">
        <f t="shared" si="71"/>
        <v>43460.01</v>
      </c>
      <c r="AR125" s="55">
        <f ca="1">IF(NOW()-TODAY()&gt;15/24, AG125, [1]!s_dq_volume(AB125,AR$2,1))/AI$2</f>
        <v>6</v>
      </c>
      <c r="AS125" s="110"/>
      <c r="AT125" s="110"/>
      <c r="AU125" s="110"/>
      <c r="AV125" s="110"/>
      <c r="AY125" s="10"/>
      <c r="AZ125" s="10"/>
      <c r="BA125" s="6">
        <f t="shared" ca="1" si="91"/>
        <v>36458.726666666676</v>
      </c>
      <c r="BB125" s="6">
        <f t="shared" ca="1" si="92"/>
        <v>0</v>
      </c>
      <c r="BC125" s="6">
        <f t="shared" ca="1" si="93"/>
        <v>0</v>
      </c>
      <c r="BD125" s="12">
        <f t="shared" ca="1" si="94"/>
        <v>0</v>
      </c>
      <c r="BE125" s="2">
        <f t="shared" ca="1" si="72"/>
        <v>7.8203877479087136E-2</v>
      </c>
      <c r="BF125" s="2">
        <f t="shared" ca="1" si="73"/>
        <v>0</v>
      </c>
      <c r="BG125" s="2">
        <f t="shared" ca="1" si="74"/>
        <v>0</v>
      </c>
      <c r="BH125" s="13">
        <f t="shared" ca="1" si="75"/>
        <v>0</v>
      </c>
      <c r="BI125" s="2">
        <f t="shared" ca="1" si="76"/>
        <v>7.9733003575046937E-2</v>
      </c>
      <c r="BJ125" s="2">
        <f t="shared" ca="1" si="77"/>
        <v>0</v>
      </c>
      <c r="BK125" s="2">
        <f t="shared" ca="1" si="78"/>
        <v>0</v>
      </c>
      <c r="BL125" s="40">
        <f t="shared" ca="1" si="79"/>
        <v>0</v>
      </c>
      <c r="BN125" s="6">
        <f t="shared" ca="1" si="95"/>
        <v>-18656.836000000007</v>
      </c>
      <c r="BO125" s="6">
        <f t="shared" ca="1" si="96"/>
        <v>0</v>
      </c>
      <c r="BP125" s="6">
        <f t="shared" ca="1" si="97"/>
        <v>0</v>
      </c>
      <c r="BQ125" s="12">
        <f t="shared" ca="1" si="98"/>
        <v>0</v>
      </c>
      <c r="BR125" s="2">
        <f t="shared" ca="1" si="80"/>
        <v>-0.13101231338375899</v>
      </c>
      <c r="BS125" s="2">
        <f t="shared" ca="1" si="81"/>
        <v>0</v>
      </c>
      <c r="BT125" s="2">
        <f t="shared" ca="1" si="82"/>
        <v>0</v>
      </c>
      <c r="BU125" s="13">
        <f t="shared" ca="1" si="83"/>
        <v>0</v>
      </c>
      <c r="BV125" s="2">
        <f t="shared" ca="1" si="84"/>
        <v>-0.13357400666221239</v>
      </c>
      <c r="BW125" s="2">
        <f t="shared" ca="1" si="85"/>
        <v>0</v>
      </c>
      <c r="BX125" s="2">
        <f t="shared" ca="1" si="86"/>
        <v>0</v>
      </c>
      <c r="BY125" s="13">
        <f t="shared" ca="1" si="87"/>
        <v>0</v>
      </c>
      <c r="CF125" s="39" t="str">
        <f t="shared" si="88"/>
        <v>C2021-03-3400000.CFE</v>
      </c>
      <c r="CG125" s="39" t="str">
        <f t="shared" si="89"/>
        <v>P2021-03-3400000.CFE</v>
      </c>
      <c r="CH125" s="95" t="s">
        <v>357</v>
      </c>
      <c r="CI125" s="100" t="str">
        <f>IF([1]!w_info_callput(CH125)="认购","C","P")</f>
        <v>C</v>
      </c>
      <c r="CJ125" s="104">
        <f>[1]!w_info_strikeprice(CH125,"")</f>
        <v>3400</v>
      </c>
      <c r="CK125" s="102" t="str">
        <f>[1]!w_info_lasttradingdate(CH125)</f>
        <v>2021-03-19</v>
      </c>
      <c r="CL125" s="39" t="str">
        <f t="shared" si="99"/>
        <v>IO2103-P-3400.CFE</v>
      </c>
    </row>
    <row r="126" spans="2:90">
      <c r="B126" s="112" t="s">
        <v>358</v>
      </c>
      <c r="C126" s="29" t="str">
        <f>IF([1]!w_info_callput(B126)="认购","C","P")</f>
        <v>C</v>
      </c>
      <c r="D126" s="96">
        <f>[1]!w_info_strikeprice(B126,"")</f>
        <v>3500</v>
      </c>
      <c r="E126" s="18" t="str">
        <f>[1]!w_info_lasttradingdate(B126)</f>
        <v>2021-03-19</v>
      </c>
      <c r="F126" s="4">
        <f>IF(G126&gt;0,RTD("wdf.rtq",,$B126,F$5),0)</f>
        <v>485.8</v>
      </c>
      <c r="G126" s="53">
        <f>RTD("wdf.rtq",,$B126,G$5)</f>
        <v>2</v>
      </c>
      <c r="H126" s="4">
        <f>RTD("wdf.rtq",,$B126,H$5)</f>
        <v>0</v>
      </c>
      <c r="I126" s="53">
        <f>RTD("wdf.rtq",,$B126,I$5)</f>
        <v>0</v>
      </c>
      <c r="J126" s="4">
        <f>RTD("wdf.rtq",,$B126,J$5)</f>
        <v>0</v>
      </c>
      <c r="K126" s="54">
        <f>RTD("wdf.rtq",,$B126,K$5)</f>
        <v>0</v>
      </c>
      <c r="L126" s="4">
        <f>[1]!s_dq_presettle(B126,"")</f>
        <v>457.8</v>
      </c>
      <c r="M126" s="6">
        <f t="shared" si="62"/>
        <v>0</v>
      </c>
      <c r="N126" s="3">
        <f t="shared" si="63"/>
        <v>32400</v>
      </c>
      <c r="O126" s="4">
        <f t="shared" si="64"/>
        <v>37571</v>
      </c>
      <c r="P126" s="4">
        <f t="shared" si="65"/>
        <v>17500</v>
      </c>
      <c r="Q126" s="8">
        <f t="shared" si="66"/>
        <v>69971.009999999995</v>
      </c>
      <c r="R126" s="55">
        <f ca="1">IF(NOW()-TODAY()&gt;15/24, G126, [1]!s_dq_volume(B126,R$2,1))/$AI$2</f>
        <v>6</v>
      </c>
      <c r="AB126" s="39" t="s">
        <v>368</v>
      </c>
      <c r="AC126" s="29" t="str">
        <f>IF([1]!w_info_callput(AB126)="认购","C","P")</f>
        <v>P</v>
      </c>
      <c r="AD126" s="31">
        <f>[1]!w_info_strikeprice(AB126,"")</f>
        <v>3500</v>
      </c>
      <c r="AE126" s="18" t="str">
        <f>[1]!w_info_lasttradingdate(AB126)</f>
        <v>2021-03-19</v>
      </c>
      <c r="AF126" s="4">
        <f>RTD("wdf.rtq",,$AB126,F$5)</f>
        <v>324</v>
      </c>
      <c r="AG126" s="53">
        <f>RTD("wdf.rtq",,$AB126,G$5)</f>
        <v>1</v>
      </c>
      <c r="AH126" s="4">
        <f>RTD("wdf.rtq",,$AB126,H$5)</f>
        <v>0</v>
      </c>
      <c r="AI126" s="53">
        <f>RTD("wdf.rtq",,$AB126,I$5)</f>
        <v>0</v>
      </c>
      <c r="AJ126" s="4">
        <f>RTD("wdf.rtq",,$AB126,J$5)</f>
        <v>0</v>
      </c>
      <c r="AK126" s="54">
        <f>RTD("wdf.rtq",,$AB126,K$5)</f>
        <v>0</v>
      </c>
      <c r="AL126" s="4">
        <f>[1]!s_dq_presettle(AB126,"")</f>
        <v>337.8</v>
      </c>
      <c r="AM126" s="6">
        <f t="shared" si="67"/>
        <v>257.09999999999991</v>
      </c>
      <c r="AN126" s="6">
        <f t="shared" si="68"/>
        <v>32400</v>
      </c>
      <c r="AO126" s="6">
        <f t="shared" si="69"/>
        <v>11861.000000000013</v>
      </c>
      <c r="AP126" s="4">
        <f t="shared" si="70"/>
        <v>17500</v>
      </c>
      <c r="AQ126" s="8">
        <f t="shared" si="71"/>
        <v>49900.01</v>
      </c>
      <c r="AR126" s="55">
        <f ca="1">IF(NOW()-TODAY()&gt;15/24, AG126, [1]!s_dq_volume(AB126,AR$2,1))/AI$2</f>
        <v>18</v>
      </c>
      <c r="AS126" s="110"/>
      <c r="AT126" s="110"/>
      <c r="AU126" s="110"/>
      <c r="AV126" s="110"/>
      <c r="AY126" s="10"/>
      <c r="AZ126" s="10"/>
      <c r="BA126" s="6">
        <f t="shared" ca="1" si="91"/>
        <v>35238.726666666676</v>
      </c>
      <c r="BB126" s="6">
        <f t="shared" ca="1" si="92"/>
        <v>0</v>
      </c>
      <c r="BC126" s="6">
        <f t="shared" ca="1" si="93"/>
        <v>0</v>
      </c>
      <c r="BD126" s="12">
        <f t="shared" ca="1" si="94"/>
        <v>0</v>
      </c>
      <c r="BE126" s="2">
        <f t="shared" ca="1" si="72"/>
        <v>7.3708693567783992E-2</v>
      </c>
      <c r="BF126" s="2">
        <f t="shared" ca="1" si="73"/>
        <v>0</v>
      </c>
      <c r="BG126" s="2">
        <f t="shared" ca="1" si="74"/>
        <v>0</v>
      </c>
      <c r="BH126" s="13">
        <f t="shared" ca="1" si="75"/>
        <v>0</v>
      </c>
      <c r="BI126" s="2">
        <f t="shared" ca="1" si="76"/>
        <v>7.5149925006260221E-2</v>
      </c>
      <c r="BJ126" s="2">
        <f t="shared" ca="1" si="77"/>
        <v>0</v>
      </c>
      <c r="BK126" s="2">
        <f t="shared" ca="1" si="78"/>
        <v>0</v>
      </c>
      <c r="BL126" s="40">
        <f t="shared" ca="1" si="79"/>
        <v>0</v>
      </c>
      <c r="BN126" s="6">
        <f t="shared" ca="1" si="95"/>
        <v>-17436.83600000001</v>
      </c>
      <c r="BO126" s="6">
        <f t="shared" ca="1" si="96"/>
        <v>0</v>
      </c>
      <c r="BP126" s="6">
        <f t="shared" ca="1" si="97"/>
        <v>0</v>
      </c>
      <c r="BQ126" s="12">
        <f t="shared" ca="1" si="98"/>
        <v>0</v>
      </c>
      <c r="BR126" s="2">
        <f t="shared" ca="1" si="80"/>
        <v>-0.12145585967519573</v>
      </c>
      <c r="BS126" s="2">
        <f t="shared" ca="1" si="81"/>
        <v>0</v>
      </c>
      <c r="BT126" s="2">
        <f t="shared" ca="1" si="82"/>
        <v>0</v>
      </c>
      <c r="BU126" s="13">
        <f t="shared" ca="1" si="83"/>
        <v>0</v>
      </c>
      <c r="BV126" s="2">
        <f t="shared" ca="1" si="84"/>
        <v>-0.12383069492024146</v>
      </c>
      <c r="BW126" s="2">
        <f t="shared" ca="1" si="85"/>
        <v>0</v>
      </c>
      <c r="BX126" s="2">
        <f t="shared" ca="1" si="86"/>
        <v>0</v>
      </c>
      <c r="BY126" s="13">
        <f t="shared" ca="1" si="87"/>
        <v>0</v>
      </c>
      <c r="CF126" s="39" t="str">
        <f t="shared" si="88"/>
        <v>C2021-03-3500000.CFE</v>
      </c>
      <c r="CG126" s="39" t="str">
        <f t="shared" si="89"/>
        <v>P2021-03-3500000.CFE</v>
      </c>
      <c r="CH126" s="95" t="s">
        <v>358</v>
      </c>
      <c r="CI126" s="100" t="str">
        <f>IF([1]!w_info_callput(CH126)="认购","C","P")</f>
        <v>C</v>
      </c>
      <c r="CJ126" s="104">
        <f>[1]!w_info_strikeprice(CH126,"")</f>
        <v>3500</v>
      </c>
      <c r="CK126" s="102" t="str">
        <f>[1]!w_info_lasttradingdate(CH126)</f>
        <v>2021-03-19</v>
      </c>
      <c r="CL126" s="39" t="str">
        <f t="shared" si="99"/>
        <v>IO2103-P-3500.CFE</v>
      </c>
    </row>
    <row r="127" spans="2:90">
      <c r="B127" s="112" t="s">
        <v>359</v>
      </c>
      <c r="C127" s="29" t="str">
        <f>IF([1]!w_info_callput(B127)="认购","C","P")</f>
        <v>C</v>
      </c>
      <c r="D127" s="96">
        <f>[1]!w_info_strikeprice(B127,"")</f>
        <v>3600</v>
      </c>
      <c r="E127" s="18" t="str">
        <f>[1]!w_info_lasttradingdate(B127)</f>
        <v>2021-03-19</v>
      </c>
      <c r="F127" s="4">
        <f>IF(G127&gt;0,RTD("wdf.rtq",,$B127,F$5),0)</f>
        <v>436</v>
      </c>
      <c r="G127" s="53">
        <f>RTD("wdf.rtq",,$B127,G$5)</f>
        <v>4</v>
      </c>
      <c r="H127" s="4">
        <f>RTD("wdf.rtq",,$B127,H$5)</f>
        <v>0</v>
      </c>
      <c r="I127" s="53">
        <f>RTD("wdf.rtq",,$B127,I$5)</f>
        <v>0</v>
      </c>
      <c r="J127" s="4">
        <f>RTD("wdf.rtq",,$B127,J$5)</f>
        <v>0</v>
      </c>
      <c r="K127" s="54">
        <f>RTD("wdf.rtq",,$B127,K$5)</f>
        <v>0</v>
      </c>
      <c r="L127" s="4">
        <f>[1]!s_dq_presettle(B127,"")</f>
        <v>406</v>
      </c>
      <c r="M127" s="6">
        <f t="shared" si="62"/>
        <v>0</v>
      </c>
      <c r="N127" s="3">
        <f t="shared" si="63"/>
        <v>35200</v>
      </c>
      <c r="O127" s="4">
        <f t="shared" si="64"/>
        <v>37571</v>
      </c>
      <c r="P127" s="4">
        <f t="shared" si="65"/>
        <v>18000</v>
      </c>
      <c r="Q127" s="8">
        <f t="shared" si="66"/>
        <v>72771.009999999995</v>
      </c>
      <c r="R127" s="55">
        <f ca="1">IF(NOW()-TODAY()&gt;15/24, G127, [1]!s_dq_volume(B127,R$2,1))/$AI$2</f>
        <v>10</v>
      </c>
      <c r="AB127" s="39" t="s">
        <v>369</v>
      </c>
      <c r="AC127" s="29" t="str">
        <f>IF([1]!w_info_callput(AB127)="认购","C","P")</f>
        <v>P</v>
      </c>
      <c r="AD127" s="31">
        <f>[1]!w_info_strikeprice(AB127,"")</f>
        <v>3600</v>
      </c>
      <c r="AE127" s="18" t="str">
        <f>[1]!w_info_lasttradingdate(AB127)</f>
        <v>2021-03-19</v>
      </c>
      <c r="AF127" s="4">
        <f>RTD("wdf.rtq",,$AB127,F$5)</f>
        <v>352</v>
      </c>
      <c r="AG127" s="53">
        <f>RTD("wdf.rtq",,$AB127,G$5)</f>
        <v>4</v>
      </c>
      <c r="AH127" s="4">
        <f>RTD("wdf.rtq",,$AB127,H$5)</f>
        <v>0</v>
      </c>
      <c r="AI127" s="53">
        <f>RTD("wdf.rtq",,$AB127,I$5)</f>
        <v>0</v>
      </c>
      <c r="AJ127" s="4">
        <f>RTD("wdf.rtq",,$AB127,J$5)</f>
        <v>0</v>
      </c>
      <c r="AK127" s="54">
        <f>RTD("wdf.rtq",,$AB127,K$5)</f>
        <v>0</v>
      </c>
      <c r="AL127" s="4">
        <f>[1]!s_dq_presettle(AB127,"")</f>
        <v>389.4</v>
      </c>
      <c r="AM127" s="6">
        <f t="shared" si="67"/>
        <v>157.09999999999991</v>
      </c>
      <c r="AN127" s="6">
        <f t="shared" si="68"/>
        <v>35200</v>
      </c>
      <c r="AO127" s="6">
        <f t="shared" si="69"/>
        <v>21861.000000000015</v>
      </c>
      <c r="AP127" s="4">
        <f t="shared" si="70"/>
        <v>18000</v>
      </c>
      <c r="AQ127" s="8">
        <f t="shared" si="71"/>
        <v>57061.010000000017</v>
      </c>
      <c r="AR127" s="55">
        <f ca="1">IF(NOW()-TODAY()&gt;15/24, AG127, [1]!s_dq_volume(AB127,AR$2,1))/AI$2</f>
        <v>21</v>
      </c>
      <c r="AS127" s="110"/>
      <c r="AT127" s="110"/>
      <c r="AU127" s="110"/>
      <c r="AV127" s="110"/>
      <c r="AY127" s="10"/>
      <c r="AZ127" s="10"/>
      <c r="BA127" s="6">
        <f t="shared" ca="1" si="91"/>
        <v>37458.726666666676</v>
      </c>
      <c r="BB127" s="6">
        <f t="shared" ca="1" si="92"/>
        <v>0</v>
      </c>
      <c r="BC127" s="6">
        <f t="shared" ca="1" si="93"/>
        <v>0</v>
      </c>
      <c r="BD127" s="12">
        <f t="shared" ca="1" si="94"/>
        <v>0</v>
      </c>
      <c r="BE127" s="2">
        <f t="shared" ca="1" si="72"/>
        <v>7.7445105125517888E-2</v>
      </c>
      <c r="BF127" s="2">
        <f t="shared" ca="1" si="73"/>
        <v>0</v>
      </c>
      <c r="BG127" s="2">
        <f t="shared" ca="1" si="74"/>
        <v>0</v>
      </c>
      <c r="BH127" s="13">
        <f t="shared" ca="1" si="75"/>
        <v>0</v>
      </c>
      <c r="BI127" s="2">
        <f t="shared" ca="1" si="76"/>
        <v>7.8959394890541976E-2</v>
      </c>
      <c r="BJ127" s="2">
        <f t="shared" ca="1" si="77"/>
        <v>0</v>
      </c>
      <c r="BK127" s="2">
        <f t="shared" ca="1" si="78"/>
        <v>0</v>
      </c>
      <c r="BL127" s="40">
        <f t="shared" ca="1" si="79"/>
        <v>0</v>
      </c>
      <c r="BN127" s="6">
        <f t="shared" ca="1" si="95"/>
        <v>-19656.836000000007</v>
      </c>
      <c r="BO127" s="6">
        <f t="shared" ca="1" si="96"/>
        <v>0</v>
      </c>
      <c r="BP127" s="6">
        <f t="shared" ca="1" si="97"/>
        <v>0</v>
      </c>
      <c r="BQ127" s="12">
        <f t="shared" ca="1" si="98"/>
        <v>0</v>
      </c>
      <c r="BR127" s="2">
        <f t="shared" ca="1" si="80"/>
        <v>-0.13487030640453707</v>
      </c>
      <c r="BS127" s="2">
        <f t="shared" ca="1" si="81"/>
        <v>0</v>
      </c>
      <c r="BT127" s="2">
        <f t="shared" ca="1" si="82"/>
        <v>0</v>
      </c>
      <c r="BU127" s="13">
        <f t="shared" ca="1" si="83"/>
        <v>0</v>
      </c>
      <c r="BV127" s="2">
        <f t="shared" ca="1" si="84"/>
        <v>-0.13750743530071516</v>
      </c>
      <c r="BW127" s="2">
        <f t="shared" ca="1" si="85"/>
        <v>0</v>
      </c>
      <c r="BX127" s="2">
        <f t="shared" ca="1" si="86"/>
        <v>0</v>
      </c>
      <c r="BY127" s="13">
        <f t="shared" ca="1" si="87"/>
        <v>0</v>
      </c>
      <c r="CF127" s="39" t="str">
        <f t="shared" si="88"/>
        <v>C2021-03-3600000.CFE</v>
      </c>
      <c r="CG127" s="39" t="str">
        <f t="shared" si="89"/>
        <v>P2021-03-3600000.CFE</v>
      </c>
      <c r="CH127" s="95" t="s">
        <v>359</v>
      </c>
      <c r="CI127" s="100" t="str">
        <f>IF([1]!w_info_callput(CH127)="认购","C","P")</f>
        <v>C</v>
      </c>
      <c r="CJ127" s="104">
        <f>[1]!w_info_strikeprice(CH127,"")</f>
        <v>3600</v>
      </c>
      <c r="CK127" s="102" t="str">
        <f>[1]!w_info_lasttradingdate(CH127)</f>
        <v>2021-03-19</v>
      </c>
      <c r="CL127" s="39" t="str">
        <f t="shared" si="99"/>
        <v>IO2103-P-3600.CFE</v>
      </c>
    </row>
    <row r="128" spans="2:90">
      <c r="B128" s="112" t="s">
        <v>360</v>
      </c>
      <c r="C128" s="29" t="str">
        <f>IF([1]!w_info_callput(B128)="认购","C","P")</f>
        <v>C</v>
      </c>
      <c r="D128" s="96">
        <f>[1]!w_info_strikeprice(B128,"")</f>
        <v>3700</v>
      </c>
      <c r="E128" s="18" t="str">
        <f>[1]!w_info_lasttradingdate(B128)</f>
        <v>2021-03-19</v>
      </c>
      <c r="F128" s="4">
        <f>IF(G128&gt;0,RTD("wdf.rtq",,$B128,F$5),0)</f>
        <v>385.8</v>
      </c>
      <c r="G128" s="53">
        <f>RTD("wdf.rtq",,$B128,G$5)</f>
        <v>19</v>
      </c>
      <c r="H128" s="4">
        <f>RTD("wdf.rtq",,$B128,H$5)</f>
        <v>5</v>
      </c>
      <c r="I128" s="53">
        <f>RTD("wdf.rtq",,$B128,I$5)</f>
        <v>2</v>
      </c>
      <c r="J128" s="4">
        <f>RTD("wdf.rtq",,$B128,J$5)</f>
        <v>480</v>
      </c>
      <c r="K128" s="54">
        <f>RTD("wdf.rtq",,$B128,K$5)</f>
        <v>1</v>
      </c>
      <c r="L128" s="4">
        <f>[1]!s_dq_presettle(B128,"")</f>
        <v>368</v>
      </c>
      <c r="M128" s="6">
        <f t="shared" si="62"/>
        <v>0</v>
      </c>
      <c r="N128" s="3">
        <f t="shared" si="63"/>
        <v>40600</v>
      </c>
      <c r="O128" s="4">
        <f t="shared" si="64"/>
        <v>37571</v>
      </c>
      <c r="P128" s="4">
        <f t="shared" si="65"/>
        <v>18500</v>
      </c>
      <c r="Q128" s="8">
        <f t="shared" si="66"/>
        <v>78171.009999999995</v>
      </c>
      <c r="R128" s="55">
        <f ca="1">IF(NOW()-TODAY()&gt;15/24, G128, [1]!s_dq_volume(B128,R$2,1))/$AI$2</f>
        <v>17</v>
      </c>
      <c r="AB128" s="39" t="s">
        <v>370</v>
      </c>
      <c r="AC128" s="29" t="str">
        <f>IF([1]!w_info_callput(AB128)="认购","C","P")</f>
        <v>P</v>
      </c>
      <c r="AD128" s="31">
        <f>[1]!w_info_strikeprice(AB128,"")</f>
        <v>3700</v>
      </c>
      <c r="AE128" s="18" t="str">
        <f>[1]!w_info_lasttradingdate(AB128)</f>
        <v>2021-03-19</v>
      </c>
      <c r="AF128" s="4">
        <f>RTD("wdf.rtq",,$AB128,F$5)</f>
        <v>406</v>
      </c>
      <c r="AG128" s="53">
        <f>RTD("wdf.rtq",,$AB128,G$5)</f>
        <v>24</v>
      </c>
      <c r="AH128" s="4">
        <f>RTD("wdf.rtq",,$AB128,H$5)</f>
        <v>0</v>
      </c>
      <c r="AI128" s="53">
        <f>RTD("wdf.rtq",,$AB128,I$5)</f>
        <v>0</v>
      </c>
      <c r="AJ128" s="4">
        <f>RTD("wdf.rtq",,$AB128,J$5)</f>
        <v>0</v>
      </c>
      <c r="AK128" s="54">
        <f>RTD("wdf.rtq",,$AB128,K$5)</f>
        <v>0</v>
      </c>
      <c r="AL128" s="4">
        <f>[1]!s_dq_presettle(AB128,"")</f>
        <v>446.4</v>
      </c>
      <c r="AM128" s="6">
        <f t="shared" si="67"/>
        <v>57.099999999999909</v>
      </c>
      <c r="AN128" s="6">
        <f t="shared" si="68"/>
        <v>40600</v>
      </c>
      <c r="AO128" s="6">
        <f t="shared" si="69"/>
        <v>31861.000000000015</v>
      </c>
      <c r="AP128" s="4">
        <f t="shared" si="70"/>
        <v>18500</v>
      </c>
      <c r="AQ128" s="8">
        <f t="shared" si="71"/>
        <v>72461.010000000009</v>
      </c>
      <c r="AR128" s="55">
        <f ca="1">IF(NOW()-TODAY()&gt;15/24, AG128, [1]!s_dq_volume(AB128,AR$2,1))/AI$2</f>
        <v>4</v>
      </c>
      <c r="AS128" s="110"/>
      <c r="AT128" s="110"/>
      <c r="AU128" s="110"/>
      <c r="AV128" s="110"/>
      <c r="AY128" s="10"/>
      <c r="AZ128" s="10"/>
      <c r="BA128" s="6">
        <f t="shared" ca="1" si="91"/>
        <v>37038.726666666676</v>
      </c>
      <c r="BB128" s="6">
        <f t="shared" ca="1" si="92"/>
        <v>0</v>
      </c>
      <c r="BC128" s="6">
        <f t="shared" ca="1" si="93"/>
        <v>0</v>
      </c>
      <c r="BD128" s="12">
        <f t="shared" ca="1" si="94"/>
        <v>0</v>
      </c>
      <c r="BE128" s="2">
        <f t="shared" ca="1" si="72"/>
        <v>7.490424489034811E-2</v>
      </c>
      <c r="BF128" s="2">
        <f t="shared" ca="1" si="73"/>
        <v>0</v>
      </c>
      <c r="BG128" s="2">
        <f t="shared" ca="1" si="74"/>
        <v>0</v>
      </c>
      <c r="BH128" s="13">
        <f t="shared" ca="1" si="75"/>
        <v>0</v>
      </c>
      <c r="BI128" s="2">
        <f t="shared" ca="1" si="76"/>
        <v>7.6368853030662182E-2</v>
      </c>
      <c r="BJ128" s="2">
        <f t="shared" ca="1" si="77"/>
        <v>0</v>
      </c>
      <c r="BK128" s="2">
        <f t="shared" ca="1" si="78"/>
        <v>0</v>
      </c>
      <c r="BL128" s="40">
        <f t="shared" ca="1" si="79"/>
        <v>0</v>
      </c>
      <c r="BN128" s="6">
        <f t="shared" ca="1" si="95"/>
        <v>-19236.83600000001</v>
      </c>
      <c r="BO128" s="6">
        <f t="shared" ca="1" si="96"/>
        <v>0</v>
      </c>
      <c r="BP128" s="6">
        <f t="shared" ca="1" si="97"/>
        <v>0</v>
      </c>
      <c r="BQ128" s="12">
        <f t="shared" ca="1" si="98"/>
        <v>0</v>
      </c>
      <c r="BR128" s="2">
        <f t="shared" ca="1" si="80"/>
        <v>-0.12321336692922993</v>
      </c>
      <c r="BS128" s="2">
        <f t="shared" ca="1" si="81"/>
        <v>0</v>
      </c>
      <c r="BT128" s="2">
        <f t="shared" ca="1" si="82"/>
        <v>0</v>
      </c>
      <c r="BU128" s="13">
        <f t="shared" ca="1" si="83"/>
        <v>0</v>
      </c>
      <c r="BV128" s="2">
        <f t="shared" ca="1" si="84"/>
        <v>-0.125622566841254</v>
      </c>
      <c r="BW128" s="2">
        <f t="shared" ca="1" si="85"/>
        <v>0</v>
      </c>
      <c r="BX128" s="2">
        <f t="shared" ca="1" si="86"/>
        <v>0</v>
      </c>
      <c r="BY128" s="13">
        <f t="shared" ca="1" si="87"/>
        <v>0</v>
      </c>
      <c r="CF128" s="39" t="str">
        <f t="shared" si="88"/>
        <v>C2021-03-3700000.CFE</v>
      </c>
      <c r="CG128" s="39" t="str">
        <f t="shared" si="89"/>
        <v>P2021-03-3700000.CFE</v>
      </c>
      <c r="CH128" s="95" t="s">
        <v>360</v>
      </c>
      <c r="CI128" s="100" t="str">
        <f>IF([1]!w_info_callput(CH128)="认购","C","P")</f>
        <v>C</v>
      </c>
      <c r="CJ128" s="104">
        <f>[1]!w_info_strikeprice(CH128,"")</f>
        <v>3700</v>
      </c>
      <c r="CK128" s="102" t="str">
        <f>[1]!w_info_lasttradingdate(CH128)</f>
        <v>2021-03-19</v>
      </c>
      <c r="CL128" s="39" t="str">
        <f t="shared" si="99"/>
        <v>IO2103-P-3700.CFE</v>
      </c>
    </row>
    <row r="129" spans="2:90">
      <c r="B129" s="112" t="s">
        <v>361</v>
      </c>
      <c r="C129" s="29" t="str">
        <f>IF([1]!w_info_callput(B129)="认购","C","P")</f>
        <v>C</v>
      </c>
      <c r="D129" s="96">
        <f>[1]!w_info_strikeprice(B129,"")</f>
        <v>3800</v>
      </c>
      <c r="E129" s="18" t="str">
        <f>[1]!w_info_lasttradingdate(B129)</f>
        <v>2021-03-19</v>
      </c>
      <c r="F129" s="4">
        <f>IF(G129&gt;0,RTD("wdf.rtq",,$B129,F$5),0)</f>
        <v>0</v>
      </c>
      <c r="G129" s="53">
        <f>RTD("wdf.rtq",,$B129,G$5)</f>
        <v>0</v>
      </c>
      <c r="H129" s="4">
        <f>RTD("wdf.rtq",,$B129,H$5)</f>
        <v>2.2000000000000002</v>
      </c>
      <c r="I129" s="53">
        <f>RTD("wdf.rtq",,$B129,I$5)</f>
        <v>2</v>
      </c>
      <c r="J129" s="4">
        <f>RTD("wdf.rtq",,$B129,J$5)</f>
        <v>0</v>
      </c>
      <c r="K129" s="54">
        <f>RTD("wdf.rtq",,$B129,K$5)</f>
        <v>0</v>
      </c>
      <c r="L129" s="4">
        <f>[1]!s_dq_presettle(B129,"")</f>
        <v>331.2</v>
      </c>
      <c r="M129" s="6">
        <f t="shared" ref="M129:M132" si="100">IF(C129="P",MAX($AF$2-D129,0),MAX(0,D129-$AF$2))</f>
        <v>42.900000000000091</v>
      </c>
      <c r="N129" s="3">
        <f t="shared" ref="N129:N132" si="101">AH$2*AI$2*AF129</f>
        <v>46700</v>
      </c>
      <c r="O129" s="4">
        <f t="shared" ref="O129:O132" si="102">($F$2*$O$2-M129)*H$2</f>
        <v>33280.999999999993</v>
      </c>
      <c r="P129" s="4">
        <f t="shared" ref="P129:P132" si="103">$O$2*$P$2*D129*H$2</f>
        <v>19000</v>
      </c>
      <c r="Q129" s="8">
        <f t="shared" ref="Q129:Q132" si="104">I$2*(N129+MAX(O129,P129))*$Q$2+0.01</f>
        <v>79981.009999999995</v>
      </c>
      <c r="R129" s="55">
        <f ca="1">IF(NOW()-TODAY()&gt;15/24, G129, [1]!s_dq_volume(B129,R$2,1))/$AI$2</f>
        <v>3</v>
      </c>
      <c r="AB129" s="39" t="s">
        <v>371</v>
      </c>
      <c r="AC129" s="29" t="str">
        <f>IF([1]!w_info_callput(AB129)="认购","C","P")</f>
        <v>P</v>
      </c>
      <c r="AD129" s="31">
        <f>[1]!w_info_strikeprice(AB129,"")</f>
        <v>3800</v>
      </c>
      <c r="AE129" s="18" t="str">
        <f>[1]!w_info_lasttradingdate(AB129)</f>
        <v>2021-03-19</v>
      </c>
      <c r="AF129" s="4">
        <f>RTD("wdf.rtq",,$AB129,F$5)</f>
        <v>467</v>
      </c>
      <c r="AG129" s="53">
        <f>RTD("wdf.rtq",,$AB129,G$5)</f>
        <v>1</v>
      </c>
      <c r="AH129" s="4">
        <f>RTD("wdf.rtq",,$AB129,H$5)</f>
        <v>0</v>
      </c>
      <c r="AI129" s="53">
        <f>RTD("wdf.rtq",,$AB129,I$5)</f>
        <v>0</v>
      </c>
      <c r="AJ129" s="4">
        <f>RTD("wdf.rtq",,$AB129,J$5)</f>
        <v>0</v>
      </c>
      <c r="AK129" s="54">
        <f>RTD("wdf.rtq",,$AB129,K$5)</f>
        <v>0</v>
      </c>
      <c r="AL129" s="4">
        <f>[1]!s_dq_presettle(AB129,"")</f>
        <v>504.4</v>
      </c>
      <c r="AM129" s="6">
        <f t="shared" ref="AM129:AM132" si="105">IF(AC129="P",MAX($AF$2-AD129,0),MAX(0,AD129-$AF$2))</f>
        <v>0</v>
      </c>
      <c r="AN129" s="6">
        <f t="shared" ref="AN129:AN132" si="106">AH$2*AI$2*AF129</f>
        <v>46700</v>
      </c>
      <c r="AO129" s="6">
        <f t="shared" ref="AO129:AO132" si="107">($AF$2*$AO$2-AM129)*$AH$2</f>
        <v>37571</v>
      </c>
      <c r="AP129" s="4">
        <f t="shared" ref="AP129:AP132" si="108">$AO$2*$AP$2*AD129*AH$2</f>
        <v>19000</v>
      </c>
      <c r="AQ129" s="8">
        <f t="shared" ref="AQ129:AQ132" si="109">AI$2*(AN129+MAX(AO129,AP129))*$AQ$2+0.01</f>
        <v>84271.01</v>
      </c>
      <c r="AR129" s="55">
        <f ca="1">IF(NOW()-TODAY()&gt;15/24, AG129, [1]!s_dq_volume(AB129,AR$2,1))/AI$2</f>
        <v>0</v>
      </c>
      <c r="AS129" s="110"/>
      <c r="AT129" s="110"/>
      <c r="AU129" s="110"/>
      <c r="AV129" s="110"/>
      <c r="AY129" s="10"/>
      <c r="AZ129" s="10"/>
      <c r="BA129" s="6">
        <f t="shared" ca="1" si="91"/>
        <v>0</v>
      </c>
      <c r="BB129" s="6">
        <f t="shared" ca="1" si="92"/>
        <v>0</v>
      </c>
      <c r="BC129" s="6">
        <f t="shared" ca="1" si="93"/>
        <v>0</v>
      </c>
      <c r="BD129" s="12">
        <f t="shared" ca="1" si="94"/>
        <v>0</v>
      </c>
      <c r="BE129" s="2">
        <f t="shared" ref="BE129:BE132" ca="1" si="110">BA129/(Q129+AH$2*AI$2*($AF$3+AF129))</f>
        <v>0</v>
      </c>
      <c r="BF129" s="2">
        <f t="shared" ref="BF129:BF132" ca="1" si="111">BB129/(Q129+AH$2*AI$2*($AF$3+AJ129))</f>
        <v>0</v>
      </c>
      <c r="BG129" s="2">
        <f t="shared" ref="BG129:BG132" ca="1" si="112">BC129/(Q129+AH$2*AI$2*($AF$3+AH129+$BC$3))</f>
        <v>0</v>
      </c>
      <c r="BH129" s="13">
        <f t="shared" ref="BH129:BH132" ca="1" si="113">BD129/(Q129+AH$2*AI$2*($AF$3+AH129))</f>
        <v>0</v>
      </c>
      <c r="BI129" s="2">
        <f t="shared" ref="BI129:BI132" ca="1" si="114">BE129*365/(AE129+1-TODAY())</f>
        <v>0</v>
      </c>
      <c r="BJ129" s="2">
        <f t="shared" ref="BJ129:BJ132" ca="1" si="115">BF129*365/(AE129+1-TODAY())</f>
        <v>0</v>
      </c>
      <c r="BK129" s="2">
        <f t="shared" ref="BK129:BK132" ca="1" si="116">BG129*365/(AE129+1-TODAY())</f>
        <v>0</v>
      </c>
      <c r="BL129" s="40">
        <f t="shared" ref="BL129:BL132" ca="1" si="117">BH129*365/(AE129+1-TODAY())</f>
        <v>0</v>
      </c>
      <c r="BN129" s="6">
        <f t="shared" ca="1" si="95"/>
        <v>0</v>
      </c>
      <c r="BO129" s="6">
        <f t="shared" ca="1" si="96"/>
        <v>0</v>
      </c>
      <c r="BP129" s="6">
        <f t="shared" ca="1" si="97"/>
        <v>0</v>
      </c>
      <c r="BQ129" s="12">
        <f t="shared" ca="1" si="98"/>
        <v>0</v>
      </c>
      <c r="BR129" s="2">
        <f t="shared" ref="BR129:BR132" ca="1" si="118">BN129/(AQ129+AH$2*AI$2*(F129+0.12*$AF$3))</f>
        <v>0</v>
      </c>
      <c r="BS129" s="2">
        <f t="shared" ref="BS129:BS132" ca="1" si="119">BO129/(AQ129+H$2*I$2*(J129+0.12*$AF$3))</f>
        <v>0</v>
      </c>
      <c r="BT129" s="2">
        <f t="shared" ref="BT129:BT132" ca="1" si="120">BP129/(AQ129+H$2*I$2*(H129+$BP$3+0.12*$AF$3))</f>
        <v>0</v>
      </c>
      <c r="BU129" s="13">
        <f t="shared" ref="BU129:BU132" ca="1" si="121">BQ129/(AQ129+H$2*I$2*(H129+0.12*$AF$3))</f>
        <v>0</v>
      </c>
      <c r="BV129" s="2">
        <f t="shared" ref="BV129:BV132" ca="1" si="122">BR129*365/(AE129+1-TODAY())</f>
        <v>0</v>
      </c>
      <c r="BW129" s="2">
        <f t="shared" ref="BW129:BW132" ca="1" si="123">BS129*365/(AE129+1-TODAY())</f>
        <v>0</v>
      </c>
      <c r="BX129" s="2">
        <f t="shared" ref="BX129:BX132" ca="1" si="124">BT129*365/(AE129+1-TODAY())</f>
        <v>0</v>
      </c>
      <c r="BY129" s="13">
        <f t="shared" ref="BY129:BY132" ca="1" si="125">BU129*365/(AE129+1-TODAY())</f>
        <v>0</v>
      </c>
      <c r="CF129" s="39" t="str">
        <f t="shared" si="88"/>
        <v>C2021-03-3800000.CFE</v>
      </c>
      <c r="CG129" s="39" t="str">
        <f t="shared" si="89"/>
        <v>P2021-03-3800000.CFE</v>
      </c>
      <c r="CH129" s="95" t="s">
        <v>361</v>
      </c>
      <c r="CI129" s="100" t="str">
        <f>IF([1]!w_info_callput(CH129)="认购","C","P")</f>
        <v>C</v>
      </c>
      <c r="CJ129" s="104">
        <f>[1]!w_info_strikeprice(CH129,"")</f>
        <v>3800</v>
      </c>
      <c r="CK129" s="102" t="str">
        <f>[1]!w_info_lasttradingdate(CH129)</f>
        <v>2021-03-19</v>
      </c>
      <c r="CL129" s="39" t="str">
        <f t="shared" si="99"/>
        <v>IO2103-P-3800.CFE</v>
      </c>
    </row>
    <row r="130" spans="2:90">
      <c r="B130" s="112" t="s">
        <v>362</v>
      </c>
      <c r="C130" s="29" t="str">
        <f>IF([1]!w_info_callput(B130)="认购","C","P")</f>
        <v>C</v>
      </c>
      <c r="D130" s="96">
        <f>[1]!w_info_strikeprice(B130,"")</f>
        <v>3900</v>
      </c>
      <c r="E130" s="18" t="str">
        <f>[1]!w_info_lasttradingdate(B130)</f>
        <v>2021-03-19</v>
      </c>
      <c r="F130" s="4">
        <f>IF(G130&gt;0,RTD("wdf.rtq",,$B130,F$5),0)</f>
        <v>0</v>
      </c>
      <c r="G130" s="53">
        <f>RTD("wdf.rtq",,$B130,G$5)</f>
        <v>0</v>
      </c>
      <c r="H130" s="4">
        <f>RTD("wdf.rtq",,$B130,H$5)</f>
        <v>2.2000000000000002</v>
      </c>
      <c r="I130" s="53">
        <f>RTD("wdf.rtq",,$B130,I$5)</f>
        <v>2</v>
      </c>
      <c r="J130" s="4">
        <f>RTD("wdf.rtq",,$B130,J$5)</f>
        <v>0</v>
      </c>
      <c r="K130" s="54">
        <f>RTD("wdf.rtq",,$B130,K$5)</f>
        <v>0</v>
      </c>
      <c r="L130" s="4">
        <f>[1]!s_dq_presettle(B130,"")</f>
        <v>289.2</v>
      </c>
      <c r="M130" s="6">
        <f t="shared" si="100"/>
        <v>142.90000000000009</v>
      </c>
      <c r="N130" s="3">
        <f t="shared" si="101"/>
        <v>51900</v>
      </c>
      <c r="O130" s="4">
        <f t="shared" si="102"/>
        <v>23280.999999999993</v>
      </c>
      <c r="P130" s="4">
        <f t="shared" si="103"/>
        <v>19500</v>
      </c>
      <c r="Q130" s="8">
        <f t="shared" si="104"/>
        <v>75181.009999999995</v>
      </c>
      <c r="R130" s="55">
        <f ca="1">IF(NOW()-TODAY()&gt;15/24, G130, [1]!s_dq_volume(B130,R$2,1))/$AI$2</f>
        <v>3</v>
      </c>
      <c r="AB130" s="39" t="s">
        <v>372</v>
      </c>
      <c r="AC130" s="29" t="str">
        <f>IF([1]!w_info_callput(AB130)="认购","C","P")</f>
        <v>P</v>
      </c>
      <c r="AD130" s="31">
        <f>[1]!w_info_strikeprice(AB130,"")</f>
        <v>3900</v>
      </c>
      <c r="AE130" s="18" t="str">
        <f>[1]!w_info_lasttradingdate(AB130)</f>
        <v>2021-03-19</v>
      </c>
      <c r="AF130" s="4">
        <f>RTD("wdf.rtq",,$AB130,F$5)</f>
        <v>519</v>
      </c>
      <c r="AG130" s="53">
        <f>RTD("wdf.rtq",,$AB130,G$5)</f>
        <v>4</v>
      </c>
      <c r="AH130" s="4">
        <f>RTD("wdf.rtq",,$AB130,H$5)</f>
        <v>0</v>
      </c>
      <c r="AI130" s="53">
        <f>RTD("wdf.rtq",,$AB130,I$5)</f>
        <v>0</v>
      </c>
      <c r="AJ130" s="4">
        <f>RTD("wdf.rtq",,$AB130,J$5)</f>
        <v>0</v>
      </c>
      <c r="AK130" s="54">
        <f>RTD("wdf.rtq",,$AB130,K$5)</f>
        <v>0</v>
      </c>
      <c r="AL130" s="4">
        <f>[1]!s_dq_presettle(AB130,"")</f>
        <v>567.20000000000005</v>
      </c>
      <c r="AM130" s="6">
        <f t="shared" si="105"/>
        <v>0</v>
      </c>
      <c r="AN130" s="6">
        <f t="shared" si="106"/>
        <v>51900</v>
      </c>
      <c r="AO130" s="6">
        <f t="shared" si="107"/>
        <v>37571</v>
      </c>
      <c r="AP130" s="4">
        <f t="shared" si="108"/>
        <v>19500</v>
      </c>
      <c r="AQ130" s="8">
        <f t="shared" si="109"/>
        <v>89471.01</v>
      </c>
      <c r="AR130" s="55">
        <f ca="1">IF(NOW()-TODAY()&gt;15/24, AG130, [1]!s_dq_volume(AB130,AR$2,1))/AI$2</f>
        <v>4</v>
      </c>
      <c r="AS130" s="110"/>
      <c r="AT130" s="110"/>
      <c r="AU130" s="110"/>
      <c r="AV130" s="110"/>
      <c r="AY130" s="10"/>
      <c r="AZ130" s="10"/>
      <c r="BA130" s="6">
        <f t="shared" ca="1" si="91"/>
        <v>0</v>
      </c>
      <c r="BB130" s="6">
        <f t="shared" ca="1" si="92"/>
        <v>0</v>
      </c>
      <c r="BC130" s="6">
        <f t="shared" ca="1" si="93"/>
        <v>0</v>
      </c>
      <c r="BD130" s="12">
        <f t="shared" ca="1" si="94"/>
        <v>0</v>
      </c>
      <c r="BE130" s="2">
        <f t="shared" ca="1" si="110"/>
        <v>0</v>
      </c>
      <c r="BF130" s="2">
        <f t="shared" ca="1" si="111"/>
        <v>0</v>
      </c>
      <c r="BG130" s="2">
        <f t="shared" ca="1" si="112"/>
        <v>0</v>
      </c>
      <c r="BH130" s="13">
        <f t="shared" ca="1" si="113"/>
        <v>0</v>
      </c>
      <c r="BI130" s="2">
        <f t="shared" ca="1" si="114"/>
        <v>0</v>
      </c>
      <c r="BJ130" s="2">
        <f t="shared" ca="1" si="115"/>
        <v>0</v>
      </c>
      <c r="BK130" s="2">
        <f t="shared" ca="1" si="116"/>
        <v>0</v>
      </c>
      <c r="BL130" s="40">
        <f t="shared" ca="1" si="117"/>
        <v>0</v>
      </c>
      <c r="BN130" s="6">
        <f t="shared" ca="1" si="95"/>
        <v>0</v>
      </c>
      <c r="BO130" s="6">
        <f t="shared" ca="1" si="96"/>
        <v>0</v>
      </c>
      <c r="BP130" s="6">
        <f t="shared" ca="1" si="97"/>
        <v>0</v>
      </c>
      <c r="BQ130" s="12">
        <f t="shared" ca="1" si="98"/>
        <v>0</v>
      </c>
      <c r="BR130" s="2">
        <f t="shared" ca="1" si="118"/>
        <v>0</v>
      </c>
      <c r="BS130" s="2">
        <f t="shared" ca="1" si="119"/>
        <v>0</v>
      </c>
      <c r="BT130" s="2">
        <f t="shared" ca="1" si="120"/>
        <v>0</v>
      </c>
      <c r="BU130" s="13">
        <f t="shared" ca="1" si="121"/>
        <v>0</v>
      </c>
      <c r="BV130" s="2">
        <f t="shared" ca="1" si="122"/>
        <v>0</v>
      </c>
      <c r="BW130" s="2">
        <f t="shared" ca="1" si="123"/>
        <v>0</v>
      </c>
      <c r="BX130" s="2">
        <f t="shared" ca="1" si="124"/>
        <v>0</v>
      </c>
      <c r="BY130" s="13">
        <f t="shared" ca="1" si="125"/>
        <v>0</v>
      </c>
      <c r="CF130" s="39" t="str">
        <f t="shared" si="88"/>
        <v>C2021-03-3900000.CFE</v>
      </c>
      <c r="CG130" s="39" t="str">
        <f t="shared" si="89"/>
        <v>P2021-03-3900000.CFE</v>
      </c>
      <c r="CH130" s="95" t="s">
        <v>362</v>
      </c>
      <c r="CI130" s="100" t="str">
        <f>IF([1]!w_info_callput(CH130)="认购","C","P")</f>
        <v>C</v>
      </c>
      <c r="CJ130" s="104">
        <f>[1]!w_info_strikeprice(CH130,"")</f>
        <v>3900</v>
      </c>
      <c r="CK130" s="102" t="str">
        <f>[1]!w_info_lasttradingdate(CH130)</f>
        <v>2021-03-19</v>
      </c>
      <c r="CL130" s="39" t="str">
        <f t="shared" si="99"/>
        <v>IO2103-P-3900.CFE</v>
      </c>
    </row>
    <row r="131" spans="2:90">
      <c r="B131" s="112" t="s">
        <v>363</v>
      </c>
      <c r="C131" s="29" t="str">
        <f>IF([1]!w_info_callput(B131)="认购","C","P")</f>
        <v>C</v>
      </c>
      <c r="D131" s="96">
        <f>[1]!w_info_strikeprice(B131,"")</f>
        <v>4000</v>
      </c>
      <c r="E131" s="18" t="str">
        <f>[1]!w_info_lasttradingdate(B131)</f>
        <v>2021-03-19</v>
      </c>
      <c r="F131" s="4">
        <f>IF(G131&gt;0,RTD("wdf.rtq",,$B131,F$5),0)</f>
        <v>275.2</v>
      </c>
      <c r="G131" s="53">
        <f>RTD("wdf.rtq",,$B131,G$5)</f>
        <v>5</v>
      </c>
      <c r="H131" s="4">
        <f>RTD("wdf.rtq",,$B131,H$5)</f>
        <v>2.2000000000000002</v>
      </c>
      <c r="I131" s="53">
        <f>RTD("wdf.rtq",,$B131,I$5)</f>
        <v>3</v>
      </c>
      <c r="J131" s="4">
        <f>RTD("wdf.rtq",,$B131,J$5)</f>
        <v>0</v>
      </c>
      <c r="K131" s="54">
        <f>RTD("wdf.rtq",,$B131,K$5)</f>
        <v>0</v>
      </c>
      <c r="L131" s="4">
        <f>[1]!s_dq_presettle(B131,"")</f>
        <v>260.2</v>
      </c>
      <c r="M131" s="6">
        <f t="shared" si="100"/>
        <v>242.90000000000009</v>
      </c>
      <c r="N131" s="3">
        <f t="shared" si="101"/>
        <v>60620.000000000007</v>
      </c>
      <c r="O131" s="4">
        <f t="shared" si="102"/>
        <v>13280.999999999995</v>
      </c>
      <c r="P131" s="4">
        <f t="shared" si="103"/>
        <v>20000</v>
      </c>
      <c r="Q131" s="8">
        <f t="shared" si="104"/>
        <v>80620.009999999995</v>
      </c>
      <c r="R131" s="55">
        <f ca="1">IF(NOW()-TODAY()&gt;15/24, G131, [1]!s_dq_volume(B131,R$2,1))/$AI$2</f>
        <v>0</v>
      </c>
      <c r="AB131" s="39" t="s">
        <v>373</v>
      </c>
      <c r="AC131" s="29" t="str">
        <f>IF([1]!w_info_callput(AB131)="认购","C","P")</f>
        <v>P</v>
      </c>
      <c r="AD131" s="31">
        <f>[1]!w_info_strikeprice(AB131,"")</f>
        <v>4000</v>
      </c>
      <c r="AE131" s="18" t="str">
        <f>[1]!w_info_lasttradingdate(AB131)</f>
        <v>2021-03-19</v>
      </c>
      <c r="AF131" s="4">
        <f>RTD("wdf.rtq",,$AB131,F$5)</f>
        <v>606.20000000000005</v>
      </c>
      <c r="AG131" s="53">
        <f>RTD("wdf.rtq",,$AB131,G$5)</f>
        <v>3</v>
      </c>
      <c r="AH131" s="4">
        <f>RTD("wdf.rtq",,$AB131,H$5)</f>
        <v>504.40000000000003</v>
      </c>
      <c r="AI131" s="53">
        <f>RTD("wdf.rtq",,$AB131,I$5)</f>
        <v>1</v>
      </c>
      <c r="AJ131" s="4">
        <f>RTD("wdf.rtq",,$AB131,J$5)</f>
        <v>0</v>
      </c>
      <c r="AK131" s="54">
        <f>RTD("wdf.rtq",,$AB131,K$5)</f>
        <v>0</v>
      </c>
      <c r="AL131" s="4">
        <f>[1]!s_dq_presettle(AB131,"")</f>
        <v>629.20000000000005</v>
      </c>
      <c r="AM131" s="6">
        <f t="shared" si="105"/>
        <v>0</v>
      </c>
      <c r="AN131" s="6">
        <f t="shared" si="106"/>
        <v>60620.000000000007</v>
      </c>
      <c r="AO131" s="6">
        <f t="shared" si="107"/>
        <v>37571</v>
      </c>
      <c r="AP131" s="4">
        <f t="shared" si="108"/>
        <v>20000</v>
      </c>
      <c r="AQ131" s="8">
        <f t="shared" si="109"/>
        <v>98191.01</v>
      </c>
      <c r="AR131" s="55">
        <f ca="1">IF(NOW()-TODAY()&gt;15/24, AG131, [1]!s_dq_volume(AB131,AR$2,1))/AI$2</f>
        <v>0</v>
      </c>
      <c r="AS131" s="110"/>
      <c r="AT131" s="110"/>
      <c r="AU131" s="110"/>
      <c r="AV131" s="110"/>
      <c r="AY131" s="10"/>
      <c r="AZ131" s="10"/>
      <c r="BA131" s="6">
        <f t="shared" ca="1" si="91"/>
        <v>35958.726666666669</v>
      </c>
      <c r="BB131" s="6">
        <f t="shared" ca="1" si="92"/>
        <v>0</v>
      </c>
      <c r="BC131" s="6">
        <f t="shared" ca="1" si="93"/>
        <v>0</v>
      </c>
      <c r="BD131" s="12">
        <f t="shared" ca="1" si="94"/>
        <v>0</v>
      </c>
      <c r="BE131" s="2">
        <f t="shared" ca="1" si="110"/>
        <v>6.9559388666356095E-2</v>
      </c>
      <c r="BF131" s="2">
        <f t="shared" ca="1" si="111"/>
        <v>0</v>
      </c>
      <c r="BG131" s="2">
        <f t="shared" ca="1" si="112"/>
        <v>0</v>
      </c>
      <c r="BH131" s="13">
        <f t="shared" ca="1" si="113"/>
        <v>0</v>
      </c>
      <c r="BI131" s="2">
        <f t="shared" ca="1" si="114"/>
        <v>7.0919488444748532E-2</v>
      </c>
      <c r="BJ131" s="2">
        <f t="shared" ca="1" si="115"/>
        <v>0</v>
      </c>
      <c r="BK131" s="2">
        <f t="shared" ca="1" si="116"/>
        <v>0</v>
      </c>
      <c r="BL131" s="40">
        <f t="shared" ca="1" si="117"/>
        <v>0</v>
      </c>
      <c r="BN131" s="6">
        <f t="shared" ca="1" si="95"/>
        <v>-18156.836000000003</v>
      </c>
      <c r="BO131" s="6">
        <f t="shared" ca="1" si="96"/>
        <v>0</v>
      </c>
      <c r="BP131" s="6">
        <f t="shared" ca="1" si="97"/>
        <v>0</v>
      </c>
      <c r="BQ131" s="12">
        <f t="shared" ca="1" si="98"/>
        <v>0</v>
      </c>
      <c r="BR131" s="2">
        <f t="shared" ca="1" si="118"/>
        <v>-0.10630701934193976</v>
      </c>
      <c r="BS131" s="2">
        <f t="shared" ca="1" si="119"/>
        <v>0</v>
      </c>
      <c r="BT131" s="2">
        <f t="shared" ca="1" si="120"/>
        <v>0</v>
      </c>
      <c r="BU131" s="13">
        <f t="shared" ca="1" si="121"/>
        <v>0</v>
      </c>
      <c r="BV131" s="2">
        <f t="shared" ca="1" si="122"/>
        <v>-0.10838564821175421</v>
      </c>
      <c r="BW131" s="2">
        <f t="shared" ca="1" si="123"/>
        <v>0</v>
      </c>
      <c r="BX131" s="2">
        <f t="shared" ca="1" si="124"/>
        <v>0</v>
      </c>
      <c r="BY131" s="13">
        <f t="shared" ca="1" si="125"/>
        <v>0</v>
      </c>
      <c r="CF131" s="39" t="str">
        <f t="shared" si="88"/>
        <v>C2021-03-4000000.CFE</v>
      </c>
      <c r="CG131" s="39" t="str">
        <f t="shared" si="89"/>
        <v>P2021-03-4000000.CFE</v>
      </c>
      <c r="CH131" s="95" t="s">
        <v>363</v>
      </c>
      <c r="CI131" s="100" t="str">
        <f>IF([1]!w_info_callput(CH131)="认购","C","P")</f>
        <v>C</v>
      </c>
      <c r="CJ131" s="104">
        <f>[1]!w_info_strikeprice(CH131,"")</f>
        <v>4000</v>
      </c>
      <c r="CK131" s="102" t="str">
        <f>[1]!w_info_lasttradingdate(CH131)</f>
        <v>2021-03-19</v>
      </c>
      <c r="CL131" s="39" t="str">
        <f t="shared" si="99"/>
        <v>IO2103-P-4000.CFE</v>
      </c>
    </row>
    <row r="132" spans="2:90">
      <c r="B132" s="112" t="s">
        <v>364</v>
      </c>
      <c r="C132" s="29" t="str">
        <f>IF([1]!w_info_callput(B132)="认购","C","P")</f>
        <v>C</v>
      </c>
      <c r="D132" s="96">
        <f>[1]!w_info_strikeprice(B132,"")</f>
        <v>4100</v>
      </c>
      <c r="E132" s="18" t="str">
        <f>[1]!w_info_lasttradingdate(B132)</f>
        <v>2021-03-19</v>
      </c>
      <c r="F132" s="4">
        <f>IF(G132&gt;0,RTD("wdf.rtq",,$B132,F$5),0)</f>
        <v>244</v>
      </c>
      <c r="G132" s="53">
        <f>RTD("wdf.rtq",,$B132,G$5)</f>
        <v>16</v>
      </c>
      <c r="H132" s="4">
        <f>RTD("wdf.rtq",,$B132,H$5)</f>
        <v>70</v>
      </c>
      <c r="I132" s="53">
        <f>RTD("wdf.rtq",,$B132,I$5)</f>
        <v>1</v>
      </c>
      <c r="J132" s="4">
        <f>RTD("wdf.rtq",,$B132,J$5)</f>
        <v>272</v>
      </c>
      <c r="K132" s="54">
        <f>RTD("wdf.rtq",,$B132,K$5)</f>
        <v>1</v>
      </c>
      <c r="L132" s="4">
        <f>[1]!s_dq_presettle(B132,"")</f>
        <v>232.4</v>
      </c>
      <c r="M132" s="6">
        <f t="shared" si="100"/>
        <v>342.90000000000009</v>
      </c>
      <c r="N132" s="3">
        <f t="shared" si="101"/>
        <v>66000</v>
      </c>
      <c r="O132" s="4">
        <f t="shared" si="102"/>
        <v>3280.9999999999945</v>
      </c>
      <c r="P132" s="4">
        <f t="shared" si="103"/>
        <v>20500</v>
      </c>
      <c r="Q132" s="8">
        <f t="shared" si="104"/>
        <v>86500.01</v>
      </c>
      <c r="R132" s="55">
        <f ca="1">IF(NOW()-TODAY()&gt;15/24, G132, [1]!s_dq_volume(B132,R$2,1))/$AI$2</f>
        <v>6</v>
      </c>
      <c r="AB132" s="39" t="s">
        <v>374</v>
      </c>
      <c r="AC132" s="29" t="str">
        <f>IF([1]!w_info_callput(AB132)="认购","C","P")</f>
        <v>P</v>
      </c>
      <c r="AD132" s="31">
        <f>[1]!w_info_strikeprice(AB132,"")</f>
        <v>4100</v>
      </c>
      <c r="AE132" s="18" t="str">
        <f>[1]!w_info_lasttradingdate(AB132)</f>
        <v>2021-03-19</v>
      </c>
      <c r="AF132" s="4">
        <f>RTD("wdf.rtq",,$AB132,F$5)</f>
        <v>660</v>
      </c>
      <c r="AG132" s="53">
        <f>RTD("wdf.rtq",,$AB132,G$5)</f>
        <v>9</v>
      </c>
      <c r="AH132" s="4">
        <f>RTD("wdf.rtq",,$AB132,H$5)</f>
        <v>651</v>
      </c>
      <c r="AI132" s="53">
        <f>RTD("wdf.rtq",,$AB132,I$5)</f>
        <v>1</v>
      </c>
      <c r="AJ132" s="4">
        <f>RTD("wdf.rtq",,$AB132,J$5)</f>
        <v>0</v>
      </c>
      <c r="AK132" s="54">
        <f>RTD("wdf.rtq",,$AB132,K$5)</f>
        <v>0</v>
      </c>
      <c r="AL132" s="4">
        <f>[1]!s_dq_presettle(AB132,"")</f>
        <v>697.4</v>
      </c>
      <c r="AM132" s="6">
        <f t="shared" si="105"/>
        <v>0</v>
      </c>
      <c r="AN132" s="6">
        <f t="shared" si="106"/>
        <v>66000</v>
      </c>
      <c r="AO132" s="6">
        <f t="shared" si="107"/>
        <v>37571</v>
      </c>
      <c r="AP132" s="4">
        <f t="shared" si="108"/>
        <v>20500</v>
      </c>
      <c r="AQ132" s="8">
        <f t="shared" si="109"/>
        <v>103571.01</v>
      </c>
      <c r="AR132" s="55">
        <f ca="1">IF(NOW()-TODAY()&gt;15/24, AG132, [1]!s_dq_volume(AB132,AR$2,1))/AI$2</f>
        <v>5</v>
      </c>
      <c r="AS132" s="110"/>
      <c r="AT132" s="110"/>
      <c r="AU132" s="110"/>
      <c r="AV132" s="110"/>
      <c r="AY132" s="10"/>
      <c r="AZ132" s="10"/>
      <c r="BA132" s="6">
        <f t="shared" ca="1" si="91"/>
        <v>37458.726666666676</v>
      </c>
      <c r="BB132" s="6">
        <f t="shared" ca="1" si="92"/>
        <v>0</v>
      </c>
      <c r="BC132" s="6">
        <f t="shared" ca="1" si="93"/>
        <v>41158.686666666683</v>
      </c>
      <c r="BD132" s="12">
        <f t="shared" ca="1" si="94"/>
        <v>41158.726666666676</v>
      </c>
      <c r="BE132" s="2">
        <f t="shared" ca="1" si="110"/>
        <v>7.0916351370672953E-2</v>
      </c>
      <c r="BF132" s="2">
        <f t="shared" ca="1" si="111"/>
        <v>0</v>
      </c>
      <c r="BG132" s="2">
        <f t="shared" ca="1" si="112"/>
        <v>7.805405610560201E-2</v>
      </c>
      <c r="BH132" s="13">
        <f t="shared" ca="1" si="113"/>
        <v>7.8054134922769011E-2</v>
      </c>
      <c r="BI132" s="2">
        <f t="shared" ca="1" si="114"/>
        <v>7.2302983939373261E-2</v>
      </c>
      <c r="BJ132" s="2">
        <f t="shared" ca="1" si="115"/>
        <v>0</v>
      </c>
      <c r="BK132" s="2">
        <f t="shared" ca="1" si="116"/>
        <v>7.9580252733365178E-2</v>
      </c>
      <c r="BL132" s="40">
        <f t="shared" ca="1" si="117"/>
        <v>7.9580333091649968E-2</v>
      </c>
      <c r="BN132" s="6">
        <f t="shared" ca="1" si="95"/>
        <v>-19656.836000000007</v>
      </c>
      <c r="BO132" s="6">
        <f t="shared" ca="1" si="96"/>
        <v>-23356.836000000007</v>
      </c>
      <c r="BP132" s="6">
        <f t="shared" ca="1" si="97"/>
        <v>0</v>
      </c>
      <c r="BQ132" s="12">
        <f t="shared" ca="1" si="98"/>
        <v>0</v>
      </c>
      <c r="BR132" s="2">
        <f t="shared" ca="1" si="118"/>
        <v>-0.11358642374058699</v>
      </c>
      <c r="BS132" s="2">
        <f t="shared" ca="1" si="119"/>
        <v>-0.13281780609283009</v>
      </c>
      <c r="BT132" s="2">
        <f t="shared" ca="1" si="120"/>
        <v>0</v>
      </c>
      <c r="BU132" s="13">
        <f t="shared" ca="1" si="121"/>
        <v>0</v>
      </c>
      <c r="BV132" s="2">
        <f t="shared" ca="1" si="122"/>
        <v>-0.11580738733328004</v>
      </c>
      <c r="BW132" s="2">
        <f t="shared" ca="1" si="123"/>
        <v>-0.13541480230134911</v>
      </c>
      <c r="BX132" s="2">
        <f t="shared" ca="1" si="124"/>
        <v>0</v>
      </c>
      <c r="BY132" s="13">
        <f t="shared" ca="1" si="125"/>
        <v>0</v>
      </c>
      <c r="CF132" s="39" t="str">
        <f t="shared" si="88"/>
        <v>C2021-03-4100000.CFE</v>
      </c>
      <c r="CG132" s="39" t="str">
        <f t="shared" si="89"/>
        <v>P2021-03-4100000.CFE</v>
      </c>
      <c r="CH132" s="95" t="s">
        <v>364</v>
      </c>
      <c r="CI132" s="100" t="str">
        <f>IF([1]!w_info_callput(CH132)="认购","C","P")</f>
        <v>C</v>
      </c>
      <c r="CJ132" s="104">
        <f>[1]!w_info_strikeprice(CH132,"")</f>
        <v>4100</v>
      </c>
      <c r="CK132" s="102" t="str">
        <f>[1]!w_info_lasttradingdate(CH132)</f>
        <v>2021-03-19</v>
      </c>
      <c r="CL132" s="39" t="str">
        <f t="shared" si="99"/>
        <v>IO2103-P-4100.CFE</v>
      </c>
    </row>
    <row r="133" spans="2:90">
      <c r="CF133" s="39" t="str">
        <f t="shared" si="88"/>
        <v>P2020-04-3200000.CFE</v>
      </c>
      <c r="CG133" s="39" t="str">
        <f t="shared" si="89"/>
        <v>C2020-04-3200000.CFE</v>
      </c>
      <c r="CH133" s="95" t="s">
        <v>315</v>
      </c>
      <c r="CI133" s="100" t="str">
        <f>IF([1]!w_info_callput(CH133)="认购","C","P")</f>
        <v>P</v>
      </c>
      <c r="CJ133" s="104">
        <f>[1]!w_info_strikeprice(CH133,"")</f>
        <v>3200</v>
      </c>
      <c r="CK133" s="102" t="str">
        <f>[1]!w_info_lasttradingdate(CH133)</f>
        <v>2020-04-17</v>
      </c>
    </row>
    <row r="134" spans="2:90">
      <c r="CF134" s="39" t="str">
        <f t="shared" ref="CF134:CF197" si="126">CI134&amp;LEFT(CK134,8)&amp;CJ134*1000&amp;".CFE"</f>
        <v>P2020-04-3250000.CFE</v>
      </c>
      <c r="CG134" s="39" t="str">
        <f t="shared" ref="CG134:CG197" si="127">IF(CI134="C","P","C")&amp;MID(CF134,2,99)</f>
        <v>C2020-04-3250000.CFE</v>
      </c>
      <c r="CH134" s="95" t="s">
        <v>316</v>
      </c>
      <c r="CI134" s="100" t="str">
        <f>IF([1]!w_info_callput(CH134)="认购","C","P")</f>
        <v>P</v>
      </c>
      <c r="CJ134" s="104">
        <f>[1]!w_info_strikeprice(CH134,"")</f>
        <v>3250</v>
      </c>
      <c r="CK134" s="102" t="str">
        <f>[1]!w_info_lasttradingdate(CH134)</f>
        <v>2020-04-17</v>
      </c>
    </row>
    <row r="135" spans="2:90">
      <c r="CF135" s="39" t="str">
        <f t="shared" si="126"/>
        <v>P2020-04-3300000.CFE</v>
      </c>
      <c r="CG135" s="39" t="str">
        <f t="shared" si="127"/>
        <v>C2020-04-3300000.CFE</v>
      </c>
      <c r="CH135" s="95" t="s">
        <v>58</v>
      </c>
      <c r="CI135" s="100" t="str">
        <f>IF([1]!w_info_callput(CH135)="认购","C","P")</f>
        <v>P</v>
      </c>
      <c r="CJ135" s="104">
        <f>[1]!w_info_strikeprice(CH135,"")</f>
        <v>3300</v>
      </c>
      <c r="CK135" s="102" t="str">
        <f>[1]!w_info_lasttradingdate(CH135)</f>
        <v>2020-04-17</v>
      </c>
    </row>
    <row r="136" spans="2:90">
      <c r="CF136" s="39" t="str">
        <f t="shared" si="126"/>
        <v>P2020-04-3350000.CFE</v>
      </c>
      <c r="CG136" s="39" t="str">
        <f t="shared" si="127"/>
        <v>C2020-04-3350000.CFE</v>
      </c>
      <c r="CH136" s="95" t="s">
        <v>59</v>
      </c>
      <c r="CI136" s="100" t="str">
        <f>IF([1]!w_info_callput(CH136)="认购","C","P")</f>
        <v>P</v>
      </c>
      <c r="CJ136" s="104">
        <f>[1]!w_info_strikeprice(CH136,"")</f>
        <v>3350</v>
      </c>
      <c r="CK136" s="102" t="str">
        <f>[1]!w_info_lasttradingdate(CH136)</f>
        <v>2020-04-17</v>
      </c>
    </row>
    <row r="137" spans="2:90">
      <c r="CF137" s="39" t="str">
        <f t="shared" si="126"/>
        <v>P2020-04-3400000.CFE</v>
      </c>
      <c r="CG137" s="39" t="str">
        <f t="shared" si="127"/>
        <v>C2020-04-3400000.CFE</v>
      </c>
      <c r="CH137" s="95" t="s">
        <v>60</v>
      </c>
      <c r="CI137" s="100" t="str">
        <f>IF([1]!w_info_callput(CH137)="认购","C","P")</f>
        <v>P</v>
      </c>
      <c r="CJ137" s="104">
        <f>[1]!w_info_strikeprice(CH137,"")</f>
        <v>3400</v>
      </c>
      <c r="CK137" s="102" t="str">
        <f>[1]!w_info_lasttradingdate(CH137)</f>
        <v>2020-04-17</v>
      </c>
    </row>
    <row r="138" spans="2:90">
      <c r="CF138" s="39" t="str">
        <f t="shared" si="126"/>
        <v>P2020-04-3450000.CFE</v>
      </c>
      <c r="CG138" s="39" t="str">
        <f t="shared" si="127"/>
        <v>C2020-04-3450000.CFE</v>
      </c>
      <c r="CH138" s="95" t="s">
        <v>61</v>
      </c>
      <c r="CI138" s="100" t="str">
        <f>IF([1]!w_info_callput(CH138)="认购","C","P")</f>
        <v>P</v>
      </c>
      <c r="CJ138" s="104">
        <f>[1]!w_info_strikeprice(CH138,"")</f>
        <v>3450</v>
      </c>
      <c r="CK138" s="102" t="str">
        <f>[1]!w_info_lasttradingdate(CH138)</f>
        <v>2020-04-17</v>
      </c>
    </row>
    <row r="139" spans="2:90">
      <c r="CF139" s="39" t="str">
        <f t="shared" si="126"/>
        <v>P2020-04-3500000.CFE</v>
      </c>
      <c r="CG139" s="39" t="str">
        <f t="shared" si="127"/>
        <v>C2020-04-3500000.CFE</v>
      </c>
      <c r="CH139" s="95" t="s">
        <v>62</v>
      </c>
      <c r="CI139" s="100" t="str">
        <f>IF([1]!w_info_callput(CH139)="认购","C","P")</f>
        <v>P</v>
      </c>
      <c r="CJ139" s="104">
        <f>[1]!w_info_strikeprice(CH139,"")</f>
        <v>3500</v>
      </c>
      <c r="CK139" s="102" t="str">
        <f>[1]!w_info_lasttradingdate(CH139)</f>
        <v>2020-04-17</v>
      </c>
    </row>
    <row r="140" spans="2:90">
      <c r="CF140" s="39" t="str">
        <f t="shared" si="126"/>
        <v>P2020-04-3550000.CFE</v>
      </c>
      <c r="CG140" s="39" t="str">
        <f t="shared" si="127"/>
        <v>C2020-04-3550000.CFE</v>
      </c>
      <c r="CH140" s="95" t="s">
        <v>63</v>
      </c>
      <c r="CI140" s="100" t="str">
        <f>IF([1]!w_info_callput(CH140)="认购","C","P")</f>
        <v>P</v>
      </c>
      <c r="CJ140" s="104">
        <f>[1]!w_info_strikeprice(CH140,"")</f>
        <v>3550</v>
      </c>
      <c r="CK140" s="102" t="str">
        <f>[1]!w_info_lasttradingdate(CH140)</f>
        <v>2020-04-17</v>
      </c>
    </row>
    <row r="141" spans="2:90">
      <c r="CF141" s="39" t="str">
        <f t="shared" si="126"/>
        <v>P2020-04-3600000.CFE</v>
      </c>
      <c r="CG141" s="39" t="str">
        <f t="shared" si="127"/>
        <v>C2020-04-3600000.CFE</v>
      </c>
      <c r="CH141" s="95" t="s">
        <v>64</v>
      </c>
      <c r="CI141" s="100" t="str">
        <f>IF([1]!w_info_callput(CH141)="认购","C","P")</f>
        <v>P</v>
      </c>
      <c r="CJ141" s="104">
        <f>[1]!w_info_strikeprice(CH141,"")</f>
        <v>3600</v>
      </c>
      <c r="CK141" s="102" t="str">
        <f>[1]!w_info_lasttradingdate(CH141)</f>
        <v>2020-04-17</v>
      </c>
    </row>
    <row r="142" spans="2:90">
      <c r="CF142" s="39" t="str">
        <f t="shared" si="126"/>
        <v>P2020-04-3650000.CFE</v>
      </c>
      <c r="CG142" s="39" t="str">
        <f t="shared" si="127"/>
        <v>C2020-04-3650000.CFE</v>
      </c>
      <c r="CH142" s="95" t="s">
        <v>65</v>
      </c>
      <c r="CI142" s="100" t="str">
        <f>IF([1]!w_info_callput(CH142)="认购","C","P")</f>
        <v>P</v>
      </c>
      <c r="CJ142" s="104">
        <f>[1]!w_info_strikeprice(CH142,"")</f>
        <v>3650</v>
      </c>
      <c r="CK142" s="102" t="str">
        <f>[1]!w_info_lasttradingdate(CH142)</f>
        <v>2020-04-17</v>
      </c>
    </row>
    <row r="143" spans="2:90">
      <c r="CF143" s="39" t="str">
        <f t="shared" si="126"/>
        <v>P2020-04-3700000.CFE</v>
      </c>
      <c r="CG143" s="39" t="str">
        <f t="shared" si="127"/>
        <v>C2020-04-3700000.CFE</v>
      </c>
      <c r="CH143" s="95" t="s">
        <v>66</v>
      </c>
      <c r="CI143" s="100" t="str">
        <f>IF([1]!w_info_callput(CH143)="认购","C","P")</f>
        <v>P</v>
      </c>
      <c r="CJ143" s="104">
        <f>[1]!w_info_strikeprice(CH143,"")</f>
        <v>3700</v>
      </c>
      <c r="CK143" s="102" t="str">
        <f>[1]!w_info_lasttradingdate(CH143)</f>
        <v>2020-04-17</v>
      </c>
    </row>
    <row r="144" spans="2:90">
      <c r="CF144" s="39" t="str">
        <f t="shared" si="126"/>
        <v>P2020-04-3750000.CFE</v>
      </c>
      <c r="CG144" s="39" t="str">
        <f t="shared" si="127"/>
        <v>C2020-04-3750000.CFE</v>
      </c>
      <c r="CH144" s="95" t="s">
        <v>67</v>
      </c>
      <c r="CI144" s="100" t="str">
        <f>IF([1]!w_info_callput(CH144)="认购","C","P")</f>
        <v>P</v>
      </c>
      <c r="CJ144" s="104">
        <f>[1]!w_info_strikeprice(CH144,"")</f>
        <v>3750</v>
      </c>
      <c r="CK144" s="102" t="str">
        <f>[1]!w_info_lasttradingdate(CH144)</f>
        <v>2020-04-17</v>
      </c>
    </row>
    <row r="145" spans="84:89">
      <c r="CF145" s="39" t="str">
        <f t="shared" si="126"/>
        <v>P2020-04-3800000.CFE</v>
      </c>
      <c r="CG145" s="39" t="str">
        <f t="shared" si="127"/>
        <v>C2020-04-3800000.CFE</v>
      </c>
      <c r="CH145" s="95" t="s">
        <v>68</v>
      </c>
      <c r="CI145" s="100" t="str">
        <f>IF([1]!w_info_callput(CH145)="认购","C","P")</f>
        <v>P</v>
      </c>
      <c r="CJ145" s="104">
        <f>[1]!w_info_strikeprice(CH145,"")</f>
        <v>3800</v>
      </c>
      <c r="CK145" s="102" t="str">
        <f>[1]!w_info_lasttradingdate(CH145)</f>
        <v>2020-04-17</v>
      </c>
    </row>
    <row r="146" spans="84:89">
      <c r="CF146" s="39" t="str">
        <f t="shared" si="126"/>
        <v>P2020-04-3850000.CFE</v>
      </c>
      <c r="CG146" s="39" t="str">
        <f t="shared" si="127"/>
        <v>C2020-04-3850000.CFE</v>
      </c>
      <c r="CH146" s="95" t="s">
        <v>69</v>
      </c>
      <c r="CI146" s="100" t="str">
        <f>IF([1]!w_info_callput(CH146)="认购","C","P")</f>
        <v>P</v>
      </c>
      <c r="CJ146" s="104">
        <f>[1]!w_info_strikeprice(CH146,"")</f>
        <v>3850</v>
      </c>
      <c r="CK146" s="102" t="str">
        <f>[1]!w_info_lasttradingdate(CH146)</f>
        <v>2020-04-17</v>
      </c>
    </row>
    <row r="147" spans="84:89">
      <c r="CF147" s="39" t="str">
        <f t="shared" si="126"/>
        <v>P2020-04-3900000.CFE</v>
      </c>
      <c r="CG147" s="39" t="str">
        <f t="shared" si="127"/>
        <v>C2020-04-3900000.CFE</v>
      </c>
      <c r="CH147" s="95" t="s">
        <v>70</v>
      </c>
      <c r="CI147" s="100" t="str">
        <f>IF([1]!w_info_callput(CH147)="认购","C","P")</f>
        <v>P</v>
      </c>
      <c r="CJ147" s="104">
        <f>[1]!w_info_strikeprice(CH147,"")</f>
        <v>3900</v>
      </c>
      <c r="CK147" s="102" t="str">
        <f>[1]!w_info_lasttradingdate(CH147)</f>
        <v>2020-04-17</v>
      </c>
    </row>
    <row r="148" spans="84:89">
      <c r="CF148" s="39" t="str">
        <f t="shared" si="126"/>
        <v>P2020-04-3950000.CFE</v>
      </c>
      <c r="CG148" s="39" t="str">
        <f t="shared" si="127"/>
        <v>C2020-04-3950000.CFE</v>
      </c>
      <c r="CH148" s="95" t="s">
        <v>71</v>
      </c>
      <c r="CI148" s="100" t="str">
        <f>IF([1]!w_info_callput(CH148)="认购","C","P")</f>
        <v>P</v>
      </c>
      <c r="CJ148" s="104">
        <f>[1]!w_info_strikeprice(CH148,"")</f>
        <v>3950</v>
      </c>
      <c r="CK148" s="102" t="str">
        <f>[1]!w_info_lasttradingdate(CH148)</f>
        <v>2020-04-17</v>
      </c>
    </row>
    <row r="149" spans="84:89">
      <c r="CF149" s="39" t="str">
        <f t="shared" si="126"/>
        <v>P2020-04-4000000.CFE</v>
      </c>
      <c r="CG149" s="39" t="str">
        <f t="shared" si="127"/>
        <v>C2020-04-4000000.CFE</v>
      </c>
      <c r="CH149" s="95" t="s">
        <v>72</v>
      </c>
      <c r="CI149" s="100" t="str">
        <f>IF([1]!w_info_callput(CH149)="认购","C","P")</f>
        <v>P</v>
      </c>
      <c r="CJ149" s="104">
        <f>[1]!w_info_strikeprice(CH149,"")</f>
        <v>4000</v>
      </c>
      <c r="CK149" s="102" t="str">
        <f>[1]!w_info_lasttradingdate(CH149)</f>
        <v>2020-04-17</v>
      </c>
    </row>
    <row r="150" spans="84:89">
      <c r="CF150" s="39" t="str">
        <f t="shared" si="126"/>
        <v>P2020-04-4050000.CFE</v>
      </c>
      <c r="CG150" s="39" t="str">
        <f t="shared" si="127"/>
        <v>C2020-04-4050000.CFE</v>
      </c>
      <c r="CH150" s="95" t="s">
        <v>73</v>
      </c>
      <c r="CI150" s="100" t="str">
        <f>IF([1]!w_info_callput(CH150)="认购","C","P")</f>
        <v>P</v>
      </c>
      <c r="CJ150" s="104">
        <f>[1]!w_info_strikeprice(CH150,"")</f>
        <v>4050</v>
      </c>
      <c r="CK150" s="102" t="str">
        <f>[1]!w_info_lasttradingdate(CH150)</f>
        <v>2020-04-17</v>
      </c>
    </row>
    <row r="151" spans="84:89">
      <c r="CF151" s="39" t="str">
        <f t="shared" si="126"/>
        <v>P2020-04-4100000.CFE</v>
      </c>
      <c r="CG151" s="39" t="str">
        <f t="shared" si="127"/>
        <v>C2020-04-4100000.CFE</v>
      </c>
      <c r="CH151" s="95" t="s">
        <v>74</v>
      </c>
      <c r="CI151" s="100" t="str">
        <f>IF([1]!w_info_callput(CH151)="认购","C","P")</f>
        <v>P</v>
      </c>
      <c r="CJ151" s="104">
        <f>[1]!w_info_strikeprice(CH151,"")</f>
        <v>4100</v>
      </c>
      <c r="CK151" s="102" t="str">
        <f>[1]!w_info_lasttradingdate(CH151)</f>
        <v>2020-04-17</v>
      </c>
    </row>
    <row r="152" spans="84:89">
      <c r="CF152" s="39" t="str">
        <f t="shared" si="126"/>
        <v>P2020-04-4150000.CFE</v>
      </c>
      <c r="CG152" s="39" t="str">
        <f t="shared" si="127"/>
        <v>C2020-04-4150000.CFE</v>
      </c>
      <c r="CH152" s="95" t="s">
        <v>75</v>
      </c>
      <c r="CI152" s="100" t="str">
        <f>IF([1]!w_info_callput(CH152)="认购","C","P")</f>
        <v>P</v>
      </c>
      <c r="CJ152" s="104">
        <f>[1]!w_info_strikeprice(CH152,"")</f>
        <v>4150</v>
      </c>
      <c r="CK152" s="102" t="str">
        <f>[1]!w_info_lasttradingdate(CH152)</f>
        <v>2020-04-17</v>
      </c>
    </row>
    <row r="153" spans="84:89">
      <c r="CF153" s="39" t="str">
        <f t="shared" si="126"/>
        <v>P2020-04-4200000.CFE</v>
      </c>
      <c r="CG153" s="39" t="str">
        <f t="shared" si="127"/>
        <v>C2020-04-4200000.CFE</v>
      </c>
      <c r="CH153" s="95" t="s">
        <v>76</v>
      </c>
      <c r="CI153" s="100" t="str">
        <f>IF([1]!w_info_callput(CH153)="认购","C","P")</f>
        <v>P</v>
      </c>
      <c r="CJ153" s="104">
        <f>[1]!w_info_strikeprice(CH153,"")</f>
        <v>4200</v>
      </c>
      <c r="CK153" s="102" t="str">
        <f>[1]!w_info_lasttradingdate(CH153)</f>
        <v>2020-04-17</v>
      </c>
    </row>
    <row r="154" spans="84:89">
      <c r="CF154" s="39" t="str">
        <f t="shared" si="126"/>
        <v>P2020-04-4250000.CFE</v>
      </c>
      <c r="CG154" s="39" t="str">
        <f t="shared" si="127"/>
        <v>C2020-04-4250000.CFE</v>
      </c>
      <c r="CH154" s="95" t="s">
        <v>77</v>
      </c>
      <c r="CI154" s="100" t="str">
        <f>IF([1]!w_info_callput(CH154)="认购","C","P")</f>
        <v>P</v>
      </c>
      <c r="CJ154" s="104">
        <f>[1]!w_info_strikeprice(CH154,"")</f>
        <v>4250</v>
      </c>
      <c r="CK154" s="102" t="str">
        <f>[1]!w_info_lasttradingdate(CH154)</f>
        <v>2020-04-17</v>
      </c>
    </row>
    <row r="155" spans="84:89">
      <c r="CF155" s="39" t="str">
        <f t="shared" si="126"/>
        <v>P2020-04-4300000.CFE</v>
      </c>
      <c r="CG155" s="39" t="str">
        <f t="shared" si="127"/>
        <v>C2020-04-4300000.CFE</v>
      </c>
      <c r="CH155" s="95" t="s">
        <v>78</v>
      </c>
      <c r="CI155" s="100" t="str">
        <f>IF([1]!w_info_callput(CH155)="认购","C","P")</f>
        <v>P</v>
      </c>
      <c r="CJ155" s="104">
        <f>[1]!w_info_strikeprice(CH155,"")</f>
        <v>4300</v>
      </c>
      <c r="CK155" s="102" t="str">
        <f>[1]!w_info_lasttradingdate(CH155)</f>
        <v>2020-04-17</v>
      </c>
    </row>
    <row r="156" spans="84:89">
      <c r="CF156" s="39" t="str">
        <f t="shared" si="126"/>
        <v>P2020-04-4350000.CFE</v>
      </c>
      <c r="CG156" s="39" t="str">
        <f t="shared" si="127"/>
        <v>C2020-04-4350000.CFE</v>
      </c>
      <c r="CH156" s="95" t="s">
        <v>79</v>
      </c>
      <c r="CI156" s="100" t="str">
        <f>IF([1]!w_info_callput(CH156)="认购","C","P")</f>
        <v>P</v>
      </c>
      <c r="CJ156" s="104">
        <f>[1]!w_info_strikeprice(CH156,"")</f>
        <v>4350</v>
      </c>
      <c r="CK156" s="102" t="str">
        <f>[1]!w_info_lasttradingdate(CH156)</f>
        <v>2020-04-17</v>
      </c>
    </row>
    <row r="157" spans="84:89">
      <c r="CF157" s="39" t="str">
        <f t="shared" si="126"/>
        <v>P2020-04-4400000.CFE</v>
      </c>
      <c r="CG157" s="39" t="str">
        <f t="shared" si="127"/>
        <v>C2020-04-4400000.CFE</v>
      </c>
      <c r="CH157" s="95" t="s">
        <v>80</v>
      </c>
      <c r="CI157" s="100" t="str">
        <f>IF([1]!w_info_callput(CH157)="认购","C","P")</f>
        <v>P</v>
      </c>
      <c r="CJ157" s="104">
        <f>[1]!w_info_strikeprice(CH157,"")</f>
        <v>4400</v>
      </c>
      <c r="CK157" s="102" t="str">
        <f>[1]!w_info_lasttradingdate(CH157)</f>
        <v>2020-04-17</v>
      </c>
    </row>
    <row r="158" spans="84:89">
      <c r="CF158" s="39" t="str">
        <f t="shared" si="126"/>
        <v>P2020-04-4450000.CFE</v>
      </c>
      <c r="CG158" s="39" t="str">
        <f t="shared" si="127"/>
        <v>C2020-04-4450000.CFE</v>
      </c>
      <c r="CH158" s="95" t="s">
        <v>81</v>
      </c>
      <c r="CI158" s="100" t="str">
        <f>IF([1]!w_info_callput(CH158)="认购","C","P")</f>
        <v>P</v>
      </c>
      <c r="CJ158" s="104">
        <f>[1]!w_info_strikeprice(CH158,"")</f>
        <v>4450</v>
      </c>
      <c r="CK158" s="102" t="str">
        <f>[1]!w_info_lasttradingdate(CH158)</f>
        <v>2020-04-17</v>
      </c>
    </row>
    <row r="159" spans="84:89">
      <c r="CF159" s="39" t="str">
        <f t="shared" si="126"/>
        <v>P2020-04-4500000.CFE</v>
      </c>
      <c r="CG159" s="39" t="str">
        <f t="shared" si="127"/>
        <v>C2020-04-4500000.CFE</v>
      </c>
      <c r="CH159" s="95" t="s">
        <v>82</v>
      </c>
      <c r="CI159" s="100" t="str">
        <f>IF([1]!w_info_callput(CH159)="认购","C","P")</f>
        <v>P</v>
      </c>
      <c r="CJ159" s="104">
        <f>[1]!w_info_strikeprice(CH159,"")</f>
        <v>4500</v>
      </c>
      <c r="CK159" s="102" t="str">
        <f>[1]!w_info_lasttradingdate(CH159)</f>
        <v>2020-04-17</v>
      </c>
    </row>
    <row r="160" spans="84:89">
      <c r="CF160" s="39" t="str">
        <f t="shared" si="126"/>
        <v>P2020-04-4550000.CFE</v>
      </c>
      <c r="CG160" s="39" t="str">
        <f t="shared" si="127"/>
        <v>C2020-04-4550000.CFE</v>
      </c>
      <c r="CH160" s="95" t="s">
        <v>83</v>
      </c>
      <c r="CI160" s="100" t="str">
        <f>IF([1]!w_info_callput(CH160)="认购","C","P")</f>
        <v>P</v>
      </c>
      <c r="CJ160" s="104">
        <f>[1]!w_info_strikeprice(CH160,"")</f>
        <v>4550</v>
      </c>
      <c r="CK160" s="102" t="str">
        <f>[1]!w_info_lasttradingdate(CH160)</f>
        <v>2020-04-17</v>
      </c>
    </row>
    <row r="161" spans="84:89">
      <c r="CF161" s="39" t="str">
        <f t="shared" si="126"/>
        <v>P2020-04-4600000.CFE</v>
      </c>
      <c r="CG161" s="39" t="str">
        <f t="shared" si="127"/>
        <v>C2020-04-4600000.CFE</v>
      </c>
      <c r="CH161" s="95" t="s">
        <v>84</v>
      </c>
      <c r="CI161" s="100" t="str">
        <f>IF([1]!w_info_callput(CH161)="认购","C","P")</f>
        <v>P</v>
      </c>
      <c r="CJ161" s="104">
        <f>[1]!w_info_strikeprice(CH161,"")</f>
        <v>4600</v>
      </c>
      <c r="CK161" s="102" t="str">
        <f>[1]!w_info_lasttradingdate(CH161)</f>
        <v>2020-04-17</v>
      </c>
    </row>
    <row r="162" spans="84:89">
      <c r="CF162" s="39" t="str">
        <f t="shared" si="126"/>
        <v>P2020-04-4650000.CFE</v>
      </c>
      <c r="CG162" s="39" t="str">
        <f t="shared" si="127"/>
        <v>C2020-04-4650000.CFE</v>
      </c>
      <c r="CH162" s="95" t="s">
        <v>85</v>
      </c>
      <c r="CI162" s="100" t="str">
        <f>IF([1]!w_info_callput(CH162)="认购","C","P")</f>
        <v>P</v>
      </c>
      <c r="CJ162" s="104">
        <f>[1]!w_info_strikeprice(CH162,"")</f>
        <v>4650</v>
      </c>
      <c r="CK162" s="102" t="str">
        <f>[1]!w_info_lasttradingdate(CH162)</f>
        <v>2020-04-17</v>
      </c>
    </row>
    <row r="163" spans="84:89">
      <c r="CF163" s="39" t="str">
        <f t="shared" si="126"/>
        <v>P2020-05-3200000.CFE</v>
      </c>
      <c r="CG163" s="39" t="str">
        <f t="shared" si="127"/>
        <v>C2020-05-3200000.CFE</v>
      </c>
      <c r="CH163" s="95" t="s">
        <v>324</v>
      </c>
      <c r="CI163" s="100" t="str">
        <f>IF([1]!w_info_callput(CH163)="认购","C","P")</f>
        <v>P</v>
      </c>
      <c r="CJ163" s="104">
        <f>[1]!w_info_strikeprice(CH163,"")</f>
        <v>3200</v>
      </c>
      <c r="CK163" s="102" t="str">
        <f>[1]!w_info_lasttradingdate(CH163)</f>
        <v>2020-05-15</v>
      </c>
    </row>
    <row r="164" spans="84:89">
      <c r="CF164" s="39" t="str">
        <f t="shared" si="126"/>
        <v>P2020-05-3250000.CFE</v>
      </c>
      <c r="CG164" s="39" t="str">
        <f t="shared" si="127"/>
        <v>C2020-05-3250000.CFE</v>
      </c>
      <c r="CH164" s="95" t="s">
        <v>325</v>
      </c>
      <c r="CI164" s="100" t="str">
        <f>IF([1]!w_info_callput(CH164)="认购","C","P")</f>
        <v>P</v>
      </c>
      <c r="CJ164" s="104">
        <f>[1]!w_info_strikeprice(CH164,"")</f>
        <v>3250</v>
      </c>
      <c r="CK164" s="102" t="str">
        <f>[1]!w_info_lasttradingdate(CH164)</f>
        <v>2020-05-15</v>
      </c>
    </row>
    <row r="165" spans="84:89">
      <c r="CF165" s="39" t="str">
        <f t="shared" si="126"/>
        <v>P2020-05-3300000.CFE</v>
      </c>
      <c r="CG165" s="39" t="str">
        <f t="shared" si="127"/>
        <v>C2020-05-3300000.CFE</v>
      </c>
      <c r="CH165" s="95" t="s">
        <v>326</v>
      </c>
      <c r="CI165" s="100" t="str">
        <f>IF([1]!w_info_callput(CH165)="认购","C","P")</f>
        <v>P</v>
      </c>
      <c r="CJ165" s="104">
        <f>[1]!w_info_strikeprice(CH165,"")</f>
        <v>3300</v>
      </c>
      <c r="CK165" s="102" t="str">
        <f>[1]!w_info_lasttradingdate(CH165)</f>
        <v>2020-05-15</v>
      </c>
    </row>
    <row r="166" spans="84:89">
      <c r="CF166" s="39" t="str">
        <f t="shared" si="126"/>
        <v>P2020-05-3350000.CFE</v>
      </c>
      <c r="CG166" s="39" t="str">
        <f t="shared" si="127"/>
        <v>C2020-05-3350000.CFE</v>
      </c>
      <c r="CH166" s="95" t="s">
        <v>327</v>
      </c>
      <c r="CI166" s="100" t="str">
        <f>IF([1]!w_info_callput(CH166)="认购","C","P")</f>
        <v>P</v>
      </c>
      <c r="CJ166" s="104">
        <f>[1]!w_info_strikeprice(CH166,"")</f>
        <v>3350</v>
      </c>
      <c r="CK166" s="102" t="str">
        <f>[1]!w_info_lasttradingdate(CH166)</f>
        <v>2020-05-15</v>
      </c>
    </row>
    <row r="167" spans="84:89">
      <c r="CF167" s="39" t="str">
        <f t="shared" si="126"/>
        <v>P2020-05-3400000.CFE</v>
      </c>
      <c r="CG167" s="39" t="str">
        <f t="shared" si="127"/>
        <v>C2020-05-3400000.CFE</v>
      </c>
      <c r="CH167" s="95" t="s">
        <v>328</v>
      </c>
      <c r="CI167" s="100" t="str">
        <f>IF([1]!w_info_callput(CH167)="认购","C","P")</f>
        <v>P</v>
      </c>
      <c r="CJ167" s="104">
        <f>[1]!w_info_strikeprice(CH167,"")</f>
        <v>3400</v>
      </c>
      <c r="CK167" s="102" t="str">
        <f>[1]!w_info_lasttradingdate(CH167)</f>
        <v>2020-05-15</v>
      </c>
    </row>
    <row r="168" spans="84:89">
      <c r="CF168" s="39" t="str">
        <f t="shared" si="126"/>
        <v>P2020-05-3450000.CFE</v>
      </c>
      <c r="CG168" s="39" t="str">
        <f t="shared" si="127"/>
        <v>C2020-05-3450000.CFE</v>
      </c>
      <c r="CH168" s="95" t="s">
        <v>329</v>
      </c>
      <c r="CI168" s="100" t="str">
        <f>IF([1]!w_info_callput(CH168)="认购","C","P")</f>
        <v>P</v>
      </c>
      <c r="CJ168" s="104">
        <f>[1]!w_info_strikeprice(CH168,"")</f>
        <v>3450</v>
      </c>
      <c r="CK168" s="102" t="str">
        <f>[1]!w_info_lasttradingdate(CH168)</f>
        <v>2020-05-15</v>
      </c>
    </row>
    <row r="169" spans="84:89">
      <c r="CF169" s="39" t="str">
        <f t="shared" si="126"/>
        <v>P2020-05-3500000.CFE</v>
      </c>
      <c r="CG169" s="39" t="str">
        <f t="shared" si="127"/>
        <v>C2020-05-3500000.CFE</v>
      </c>
      <c r="CH169" s="95" t="s">
        <v>305</v>
      </c>
      <c r="CI169" s="100" t="str">
        <f>IF([1]!w_info_callput(CH169)="认购","C","P")</f>
        <v>P</v>
      </c>
      <c r="CJ169" s="104">
        <f>[1]!w_info_strikeprice(CH169,"")</f>
        <v>3500</v>
      </c>
      <c r="CK169" s="102" t="str">
        <f>[1]!w_info_lasttradingdate(CH169)</f>
        <v>2020-05-15</v>
      </c>
    </row>
    <row r="170" spans="84:89">
      <c r="CF170" s="39" t="str">
        <f t="shared" si="126"/>
        <v>P2020-05-3550000.CFE</v>
      </c>
      <c r="CG170" s="39" t="str">
        <f t="shared" si="127"/>
        <v>C2020-05-3550000.CFE</v>
      </c>
      <c r="CH170" s="95" t="s">
        <v>306</v>
      </c>
      <c r="CI170" s="100" t="str">
        <f>IF([1]!w_info_callput(CH170)="认购","C","P")</f>
        <v>P</v>
      </c>
      <c r="CJ170" s="104">
        <f>[1]!w_info_strikeprice(CH170,"")</f>
        <v>3550</v>
      </c>
      <c r="CK170" s="102" t="str">
        <f>[1]!w_info_lasttradingdate(CH170)</f>
        <v>2020-05-15</v>
      </c>
    </row>
    <row r="171" spans="84:89">
      <c r="CF171" s="39" t="str">
        <f t="shared" si="126"/>
        <v>P2020-05-3600000.CFE</v>
      </c>
      <c r="CG171" s="39" t="str">
        <f t="shared" si="127"/>
        <v>C2020-05-3600000.CFE</v>
      </c>
      <c r="CH171" s="95" t="s">
        <v>307</v>
      </c>
      <c r="CI171" s="100" t="str">
        <f>IF([1]!w_info_callput(CH171)="认购","C","P")</f>
        <v>P</v>
      </c>
      <c r="CJ171" s="104">
        <f>[1]!w_info_strikeprice(CH171,"")</f>
        <v>3600</v>
      </c>
      <c r="CK171" s="102" t="str">
        <f>[1]!w_info_lasttradingdate(CH171)</f>
        <v>2020-05-15</v>
      </c>
    </row>
    <row r="172" spans="84:89">
      <c r="CF172" s="39" t="str">
        <f t="shared" si="126"/>
        <v>P2020-05-3650000.CFE</v>
      </c>
      <c r="CG172" s="39" t="str">
        <f t="shared" si="127"/>
        <v>C2020-05-3650000.CFE</v>
      </c>
      <c r="CH172" s="95" t="s">
        <v>283</v>
      </c>
      <c r="CI172" s="100" t="str">
        <f>IF([1]!w_info_callput(CH172)="认购","C","P")</f>
        <v>P</v>
      </c>
      <c r="CJ172" s="104">
        <f>[1]!w_info_strikeprice(CH172,"")</f>
        <v>3650</v>
      </c>
      <c r="CK172" s="102" t="str">
        <f>[1]!w_info_lasttradingdate(CH172)</f>
        <v>2020-05-15</v>
      </c>
    </row>
    <row r="173" spans="84:89">
      <c r="CF173" s="39" t="str">
        <f t="shared" si="126"/>
        <v>P2020-05-3700000.CFE</v>
      </c>
      <c r="CG173" s="39" t="str">
        <f t="shared" si="127"/>
        <v>C2020-05-3700000.CFE</v>
      </c>
      <c r="CH173" s="95" t="s">
        <v>244</v>
      </c>
      <c r="CI173" s="100" t="str">
        <f>IF([1]!w_info_callput(CH173)="认购","C","P")</f>
        <v>P</v>
      </c>
      <c r="CJ173" s="104">
        <f>[1]!w_info_strikeprice(CH173,"")</f>
        <v>3700</v>
      </c>
      <c r="CK173" s="102" t="str">
        <f>[1]!w_info_lasttradingdate(CH173)</f>
        <v>2020-05-15</v>
      </c>
    </row>
    <row r="174" spans="84:89">
      <c r="CF174" s="39" t="str">
        <f t="shared" si="126"/>
        <v>P2020-05-3750000.CFE</v>
      </c>
      <c r="CG174" s="39" t="str">
        <f t="shared" si="127"/>
        <v>C2020-05-3750000.CFE</v>
      </c>
      <c r="CH174" s="95" t="s">
        <v>245</v>
      </c>
      <c r="CI174" s="100" t="str">
        <f>IF([1]!w_info_callput(CH174)="认购","C","P")</f>
        <v>P</v>
      </c>
      <c r="CJ174" s="104">
        <f>[1]!w_info_strikeprice(CH174,"")</f>
        <v>3750</v>
      </c>
      <c r="CK174" s="102" t="str">
        <f>[1]!w_info_lasttradingdate(CH174)</f>
        <v>2020-05-15</v>
      </c>
    </row>
    <row r="175" spans="84:89">
      <c r="CF175" s="39" t="str">
        <f t="shared" si="126"/>
        <v>P2020-05-3800000.CFE</v>
      </c>
      <c r="CG175" s="39" t="str">
        <f t="shared" si="127"/>
        <v>C2020-05-3800000.CFE</v>
      </c>
      <c r="CH175" s="95" t="s">
        <v>246</v>
      </c>
      <c r="CI175" s="100" t="str">
        <f>IF([1]!w_info_callput(CH175)="认购","C","P")</f>
        <v>P</v>
      </c>
      <c r="CJ175" s="104">
        <f>[1]!w_info_strikeprice(CH175,"")</f>
        <v>3800</v>
      </c>
      <c r="CK175" s="102" t="str">
        <f>[1]!w_info_lasttradingdate(CH175)</f>
        <v>2020-05-15</v>
      </c>
    </row>
    <row r="176" spans="84:89">
      <c r="CF176" s="39" t="str">
        <f t="shared" si="126"/>
        <v>P2020-05-3850000.CFE</v>
      </c>
      <c r="CG176" s="39" t="str">
        <f t="shared" si="127"/>
        <v>C2020-05-3850000.CFE</v>
      </c>
      <c r="CH176" s="95" t="s">
        <v>247</v>
      </c>
      <c r="CI176" s="100" t="str">
        <f>IF([1]!w_info_callput(CH176)="认购","C","P")</f>
        <v>P</v>
      </c>
      <c r="CJ176" s="104">
        <f>[1]!w_info_strikeprice(CH176,"")</f>
        <v>3850</v>
      </c>
      <c r="CK176" s="102" t="str">
        <f>[1]!w_info_lasttradingdate(CH176)</f>
        <v>2020-05-15</v>
      </c>
    </row>
    <row r="177" spans="84:89">
      <c r="CF177" s="39" t="str">
        <f t="shared" si="126"/>
        <v>P2020-05-3900000.CFE</v>
      </c>
      <c r="CG177" s="39" t="str">
        <f t="shared" si="127"/>
        <v>C2020-05-3900000.CFE</v>
      </c>
      <c r="CH177" s="95" t="s">
        <v>248</v>
      </c>
      <c r="CI177" s="100" t="str">
        <f>IF([1]!w_info_callput(CH177)="认购","C","P")</f>
        <v>P</v>
      </c>
      <c r="CJ177" s="104">
        <f>[1]!w_info_strikeprice(CH177,"")</f>
        <v>3900</v>
      </c>
      <c r="CK177" s="102" t="str">
        <f>[1]!w_info_lasttradingdate(CH177)</f>
        <v>2020-05-15</v>
      </c>
    </row>
    <row r="178" spans="84:89">
      <c r="CF178" s="39" t="str">
        <f t="shared" si="126"/>
        <v>P2020-05-3950000.CFE</v>
      </c>
      <c r="CG178" s="39" t="str">
        <f t="shared" si="127"/>
        <v>C2020-05-3950000.CFE</v>
      </c>
      <c r="CH178" s="95" t="s">
        <v>249</v>
      </c>
      <c r="CI178" s="100" t="str">
        <f>IF([1]!w_info_callput(CH178)="认购","C","P")</f>
        <v>P</v>
      </c>
      <c r="CJ178" s="104">
        <f>[1]!w_info_strikeprice(CH178,"")</f>
        <v>3950</v>
      </c>
      <c r="CK178" s="102" t="str">
        <f>[1]!w_info_lasttradingdate(CH178)</f>
        <v>2020-05-15</v>
      </c>
    </row>
    <row r="179" spans="84:89">
      <c r="CF179" s="39" t="str">
        <f t="shared" si="126"/>
        <v>P2020-05-4000000.CFE</v>
      </c>
      <c r="CG179" s="39" t="str">
        <f t="shared" si="127"/>
        <v>C2020-05-4000000.CFE</v>
      </c>
      <c r="CH179" s="95" t="s">
        <v>250</v>
      </c>
      <c r="CI179" s="100" t="str">
        <f>IF([1]!w_info_callput(CH179)="认购","C","P")</f>
        <v>P</v>
      </c>
      <c r="CJ179" s="104">
        <f>[1]!w_info_strikeprice(CH179,"")</f>
        <v>4000</v>
      </c>
      <c r="CK179" s="102" t="str">
        <f>[1]!w_info_lasttradingdate(CH179)</f>
        <v>2020-05-15</v>
      </c>
    </row>
    <row r="180" spans="84:89">
      <c r="CF180" s="39" t="str">
        <f t="shared" si="126"/>
        <v>P2020-05-4050000.CFE</v>
      </c>
      <c r="CG180" s="39" t="str">
        <f t="shared" si="127"/>
        <v>C2020-05-4050000.CFE</v>
      </c>
      <c r="CH180" s="95" t="s">
        <v>251</v>
      </c>
      <c r="CI180" s="100" t="str">
        <f>IF([1]!w_info_callput(CH180)="认购","C","P")</f>
        <v>P</v>
      </c>
      <c r="CJ180" s="104">
        <f>[1]!w_info_strikeprice(CH180,"")</f>
        <v>4050</v>
      </c>
      <c r="CK180" s="102" t="str">
        <f>[1]!w_info_lasttradingdate(CH180)</f>
        <v>2020-05-15</v>
      </c>
    </row>
    <row r="181" spans="84:89">
      <c r="CF181" s="39" t="str">
        <f t="shared" si="126"/>
        <v>P2020-05-4100000.CFE</v>
      </c>
      <c r="CG181" s="39" t="str">
        <f t="shared" si="127"/>
        <v>C2020-05-4100000.CFE</v>
      </c>
      <c r="CH181" s="95" t="s">
        <v>252</v>
      </c>
      <c r="CI181" s="100" t="str">
        <f>IF([1]!w_info_callput(CH181)="认购","C","P")</f>
        <v>P</v>
      </c>
      <c r="CJ181" s="104">
        <f>[1]!w_info_strikeprice(CH181,"")</f>
        <v>4100</v>
      </c>
      <c r="CK181" s="102" t="str">
        <f>[1]!w_info_lasttradingdate(CH181)</f>
        <v>2020-05-15</v>
      </c>
    </row>
    <row r="182" spans="84:89">
      <c r="CF182" s="39" t="str">
        <f t="shared" si="126"/>
        <v>P2020-05-4150000.CFE</v>
      </c>
      <c r="CG182" s="39" t="str">
        <f t="shared" si="127"/>
        <v>C2020-05-4150000.CFE</v>
      </c>
      <c r="CH182" s="95" t="s">
        <v>253</v>
      </c>
      <c r="CI182" s="100" t="str">
        <f>IF([1]!w_info_callput(CH182)="认购","C","P")</f>
        <v>P</v>
      </c>
      <c r="CJ182" s="104">
        <f>[1]!w_info_strikeprice(CH182,"")</f>
        <v>4150</v>
      </c>
      <c r="CK182" s="102" t="str">
        <f>[1]!w_info_lasttradingdate(CH182)</f>
        <v>2020-05-15</v>
      </c>
    </row>
    <row r="183" spans="84:89">
      <c r="CF183" s="39" t="str">
        <f t="shared" si="126"/>
        <v>P2020-05-4200000.CFE</v>
      </c>
      <c r="CG183" s="39" t="str">
        <f t="shared" si="127"/>
        <v>C2020-05-4200000.CFE</v>
      </c>
      <c r="CH183" s="95" t="s">
        <v>254</v>
      </c>
      <c r="CI183" s="100" t="str">
        <f>IF([1]!w_info_callput(CH183)="认购","C","P")</f>
        <v>P</v>
      </c>
      <c r="CJ183" s="104">
        <f>[1]!w_info_strikeprice(CH183,"")</f>
        <v>4200</v>
      </c>
      <c r="CK183" s="102" t="str">
        <f>[1]!w_info_lasttradingdate(CH183)</f>
        <v>2020-05-15</v>
      </c>
    </row>
    <row r="184" spans="84:89">
      <c r="CF184" s="39" t="str">
        <f t="shared" si="126"/>
        <v>P2020-05-4250000.CFE</v>
      </c>
      <c r="CG184" s="39" t="str">
        <f t="shared" si="127"/>
        <v>C2020-05-4250000.CFE</v>
      </c>
      <c r="CH184" s="95" t="s">
        <v>255</v>
      </c>
      <c r="CI184" s="100" t="str">
        <f>IF([1]!w_info_callput(CH184)="认购","C","P")</f>
        <v>P</v>
      </c>
      <c r="CJ184" s="104">
        <f>[1]!w_info_strikeprice(CH184,"")</f>
        <v>4250</v>
      </c>
      <c r="CK184" s="102" t="str">
        <f>[1]!w_info_lasttradingdate(CH184)</f>
        <v>2020-05-15</v>
      </c>
    </row>
    <row r="185" spans="84:89">
      <c r="CF185" s="39" t="str">
        <f t="shared" si="126"/>
        <v>P2020-05-4300000.CFE</v>
      </c>
      <c r="CG185" s="39" t="str">
        <f t="shared" si="127"/>
        <v>C2020-05-4300000.CFE</v>
      </c>
      <c r="CH185" s="95" t="s">
        <v>256</v>
      </c>
      <c r="CI185" s="100" t="str">
        <f>IF([1]!w_info_callput(CH185)="认购","C","P")</f>
        <v>P</v>
      </c>
      <c r="CJ185" s="104">
        <f>[1]!w_info_strikeprice(CH185,"")</f>
        <v>4300</v>
      </c>
      <c r="CK185" s="102" t="str">
        <f>[1]!w_info_lasttradingdate(CH185)</f>
        <v>2020-05-15</v>
      </c>
    </row>
    <row r="186" spans="84:89">
      <c r="CF186" s="39" t="str">
        <f t="shared" si="126"/>
        <v>P2020-05-4350000.CFE</v>
      </c>
      <c r="CG186" s="39" t="str">
        <f t="shared" si="127"/>
        <v>C2020-05-4350000.CFE</v>
      </c>
      <c r="CH186" s="95" t="s">
        <v>257</v>
      </c>
      <c r="CI186" s="100" t="str">
        <f>IF([1]!w_info_callput(CH186)="认购","C","P")</f>
        <v>P</v>
      </c>
      <c r="CJ186" s="104">
        <f>[1]!w_info_strikeprice(CH186,"")</f>
        <v>4350</v>
      </c>
      <c r="CK186" s="102" t="str">
        <f>[1]!w_info_lasttradingdate(CH186)</f>
        <v>2020-05-15</v>
      </c>
    </row>
    <row r="187" spans="84:89">
      <c r="CF187" s="39" t="str">
        <f t="shared" si="126"/>
        <v>P2020-05-4400000.CFE</v>
      </c>
      <c r="CG187" s="39" t="str">
        <f t="shared" si="127"/>
        <v>C2020-05-4400000.CFE</v>
      </c>
      <c r="CH187" s="95" t="s">
        <v>258</v>
      </c>
      <c r="CI187" s="100" t="str">
        <f>IF([1]!w_info_callput(CH187)="认购","C","P")</f>
        <v>P</v>
      </c>
      <c r="CJ187" s="104">
        <f>[1]!w_info_strikeprice(CH187,"")</f>
        <v>4400</v>
      </c>
      <c r="CK187" s="102" t="str">
        <f>[1]!w_info_lasttradingdate(CH187)</f>
        <v>2020-05-15</v>
      </c>
    </row>
    <row r="188" spans="84:89">
      <c r="CF188" s="39" t="str">
        <f t="shared" si="126"/>
        <v>P2020-05-4450000.CFE</v>
      </c>
      <c r="CG188" s="39" t="str">
        <f t="shared" si="127"/>
        <v>C2020-05-4450000.CFE</v>
      </c>
      <c r="CH188" s="95" t="s">
        <v>259</v>
      </c>
      <c r="CI188" s="100" t="str">
        <f>IF([1]!w_info_callput(CH188)="认购","C","P")</f>
        <v>P</v>
      </c>
      <c r="CJ188" s="104">
        <f>[1]!w_info_strikeprice(CH188,"")</f>
        <v>4450</v>
      </c>
      <c r="CK188" s="102" t="str">
        <f>[1]!w_info_lasttradingdate(CH188)</f>
        <v>2020-05-15</v>
      </c>
    </row>
    <row r="189" spans="84:89">
      <c r="CF189" s="39" t="str">
        <f t="shared" si="126"/>
        <v>P2020-05-4500000.CFE</v>
      </c>
      <c r="CG189" s="39" t="str">
        <f t="shared" si="127"/>
        <v>C2020-05-4500000.CFE</v>
      </c>
      <c r="CH189" s="95" t="s">
        <v>260</v>
      </c>
      <c r="CI189" s="100" t="str">
        <f>IF([1]!w_info_callput(CH189)="认购","C","P")</f>
        <v>P</v>
      </c>
      <c r="CJ189" s="104">
        <f>[1]!w_info_strikeprice(CH189,"")</f>
        <v>4500</v>
      </c>
      <c r="CK189" s="102" t="str">
        <f>[1]!w_info_lasttradingdate(CH189)</f>
        <v>2020-05-15</v>
      </c>
    </row>
    <row r="190" spans="84:89">
      <c r="CF190" s="39" t="str">
        <f t="shared" si="126"/>
        <v>P2020-05-4550000.CFE</v>
      </c>
      <c r="CG190" s="39" t="str">
        <f t="shared" si="127"/>
        <v>C2020-05-4550000.CFE</v>
      </c>
      <c r="CH190" s="95" t="s">
        <v>261</v>
      </c>
      <c r="CI190" s="100" t="str">
        <f>IF([1]!w_info_callput(CH190)="认购","C","P")</f>
        <v>P</v>
      </c>
      <c r="CJ190" s="104">
        <f>[1]!w_info_strikeprice(CH190,"")</f>
        <v>4550</v>
      </c>
      <c r="CK190" s="102" t="str">
        <f>[1]!w_info_lasttradingdate(CH190)</f>
        <v>2020-05-15</v>
      </c>
    </row>
    <row r="191" spans="84:89">
      <c r="CF191" s="39" t="str">
        <f t="shared" si="126"/>
        <v>P2020-05-4600000.CFE</v>
      </c>
      <c r="CG191" s="39" t="str">
        <f t="shared" si="127"/>
        <v>C2020-05-4600000.CFE</v>
      </c>
      <c r="CH191" s="95" t="s">
        <v>262</v>
      </c>
      <c r="CI191" s="100" t="str">
        <f>IF([1]!w_info_callput(CH191)="认购","C","P")</f>
        <v>P</v>
      </c>
      <c r="CJ191" s="104">
        <f>[1]!w_info_strikeprice(CH191,"")</f>
        <v>4600</v>
      </c>
      <c r="CK191" s="102" t="str">
        <f>[1]!w_info_lasttradingdate(CH191)</f>
        <v>2020-05-15</v>
      </c>
    </row>
    <row r="192" spans="84:89">
      <c r="CF192" s="39" t="str">
        <f t="shared" si="126"/>
        <v>P2020-05-4650000.CFE</v>
      </c>
      <c r="CG192" s="39" t="str">
        <f t="shared" si="127"/>
        <v>C2020-05-4650000.CFE</v>
      </c>
      <c r="CH192" s="95" t="s">
        <v>330</v>
      </c>
      <c r="CI192" s="100" t="str">
        <f>IF([1]!w_info_callput(CH192)="认购","C","P")</f>
        <v>P</v>
      </c>
      <c r="CJ192" s="104">
        <f>[1]!w_info_strikeprice(CH192,"")</f>
        <v>4650</v>
      </c>
      <c r="CK192" s="102" t="str">
        <f>[1]!w_info_lasttradingdate(CH192)</f>
        <v>2020-05-15</v>
      </c>
    </row>
    <row r="193" spans="84:89">
      <c r="CF193" s="39" t="str">
        <f t="shared" si="126"/>
        <v>P2020-06-3200000.CFE</v>
      </c>
      <c r="CG193" s="39" t="str">
        <f t="shared" si="127"/>
        <v>C2020-06-3200000.CFE</v>
      </c>
      <c r="CH193" s="95" t="s">
        <v>341</v>
      </c>
      <c r="CI193" s="100" t="str">
        <f>IF([1]!w_info_callput(CH193)="认购","C","P")</f>
        <v>P</v>
      </c>
      <c r="CJ193" s="104">
        <f>[1]!w_info_strikeprice(CH193,"")</f>
        <v>3200</v>
      </c>
      <c r="CK193" s="102" t="str">
        <f>[1]!w_info_lasttradingdate(CH193)</f>
        <v>2020-06-19</v>
      </c>
    </row>
    <row r="194" spans="84:89">
      <c r="CF194" s="39" t="str">
        <f t="shared" si="126"/>
        <v>P2020-06-3250000.CFE</v>
      </c>
      <c r="CG194" s="39" t="str">
        <f t="shared" si="127"/>
        <v>C2020-06-3250000.CFE</v>
      </c>
      <c r="CH194" s="95" t="s">
        <v>342</v>
      </c>
      <c r="CI194" s="100" t="str">
        <f>IF([1]!w_info_callput(CH194)="认购","C","P")</f>
        <v>P</v>
      </c>
      <c r="CJ194" s="104">
        <f>[1]!w_info_strikeprice(CH194,"")</f>
        <v>3250</v>
      </c>
      <c r="CK194" s="102" t="str">
        <f>[1]!w_info_lasttradingdate(CH194)</f>
        <v>2020-06-19</v>
      </c>
    </row>
    <row r="195" spans="84:89">
      <c r="CF195" s="39" t="str">
        <f t="shared" si="126"/>
        <v>P2020-06-3300000.CFE</v>
      </c>
      <c r="CG195" s="39" t="str">
        <f t="shared" si="127"/>
        <v>C2020-06-3300000.CFE</v>
      </c>
      <c r="CH195" s="95" t="s">
        <v>101</v>
      </c>
      <c r="CI195" s="100" t="str">
        <f>IF([1]!w_info_callput(CH195)="认购","C","P")</f>
        <v>P</v>
      </c>
      <c r="CJ195" s="104">
        <f>[1]!w_info_strikeprice(CH195,"")</f>
        <v>3300</v>
      </c>
      <c r="CK195" s="102" t="str">
        <f>[1]!w_info_lasttradingdate(CH195)</f>
        <v>2020-06-19</v>
      </c>
    </row>
    <row r="196" spans="84:89">
      <c r="CF196" s="39" t="str">
        <f t="shared" si="126"/>
        <v>P2020-06-3350000.CFE</v>
      </c>
      <c r="CG196" s="39" t="str">
        <f t="shared" si="127"/>
        <v>C2020-06-3350000.CFE</v>
      </c>
      <c r="CH196" s="95" t="s">
        <v>343</v>
      </c>
      <c r="CI196" s="100" t="str">
        <f>IF([1]!w_info_callput(CH196)="认购","C","P")</f>
        <v>P</v>
      </c>
      <c r="CJ196" s="104">
        <f>[1]!w_info_strikeprice(CH196,"")</f>
        <v>3350</v>
      </c>
      <c r="CK196" s="102" t="str">
        <f>[1]!w_info_lasttradingdate(CH196)</f>
        <v>2020-06-19</v>
      </c>
    </row>
    <row r="197" spans="84:89">
      <c r="CF197" s="39" t="str">
        <f t="shared" si="126"/>
        <v>P2020-06-3400000.CFE</v>
      </c>
      <c r="CG197" s="39" t="str">
        <f t="shared" si="127"/>
        <v>C2020-06-3400000.CFE</v>
      </c>
      <c r="CH197" s="95" t="s">
        <v>102</v>
      </c>
      <c r="CI197" s="100" t="str">
        <f>IF([1]!w_info_callput(CH197)="认购","C","P")</f>
        <v>P</v>
      </c>
      <c r="CJ197" s="104">
        <f>[1]!w_info_strikeprice(CH197,"")</f>
        <v>3400</v>
      </c>
      <c r="CK197" s="102" t="str">
        <f>[1]!w_info_lasttradingdate(CH197)</f>
        <v>2020-06-19</v>
      </c>
    </row>
    <row r="198" spans="84:89">
      <c r="CF198" s="39" t="str">
        <f t="shared" ref="CF198:CF259" si="128">CI198&amp;LEFT(CK198,8)&amp;CJ198*1000&amp;".CFE"</f>
        <v>P2020-06-3450000.CFE</v>
      </c>
      <c r="CG198" s="39" t="str">
        <f t="shared" ref="CG198:CG259" si="129">IF(CI198="C","P","C")&amp;MID(CF198,2,99)</f>
        <v>C2020-06-3450000.CFE</v>
      </c>
      <c r="CH198" s="95" t="s">
        <v>344</v>
      </c>
      <c r="CI198" s="100" t="str">
        <f>IF([1]!w_info_callput(CH198)="认购","C","P")</f>
        <v>P</v>
      </c>
      <c r="CJ198" s="104">
        <f>[1]!w_info_strikeprice(CH198,"")</f>
        <v>3450</v>
      </c>
      <c r="CK198" s="102" t="str">
        <f>[1]!w_info_lasttradingdate(CH198)</f>
        <v>2020-06-19</v>
      </c>
    </row>
    <row r="199" spans="84:89">
      <c r="CF199" s="39" t="str">
        <f t="shared" si="128"/>
        <v>P2020-06-3500000.CFE</v>
      </c>
      <c r="CG199" s="39" t="str">
        <f t="shared" si="129"/>
        <v>C2020-06-3500000.CFE</v>
      </c>
      <c r="CH199" s="95" t="s">
        <v>103</v>
      </c>
      <c r="CI199" s="100" t="str">
        <f>IF([1]!w_info_callput(CH199)="认购","C","P")</f>
        <v>P</v>
      </c>
      <c r="CJ199" s="104">
        <f>[1]!w_info_strikeprice(CH199,"")</f>
        <v>3500</v>
      </c>
      <c r="CK199" s="102" t="str">
        <f>[1]!w_info_lasttradingdate(CH199)</f>
        <v>2020-06-19</v>
      </c>
    </row>
    <row r="200" spans="84:89">
      <c r="CF200" s="39" t="str">
        <f t="shared" si="128"/>
        <v>P2020-06-3550000.CFE</v>
      </c>
      <c r="CG200" s="39" t="str">
        <f t="shared" si="129"/>
        <v>C2020-06-3550000.CFE</v>
      </c>
      <c r="CH200" s="95" t="s">
        <v>345</v>
      </c>
      <c r="CI200" s="100" t="str">
        <f>IF([1]!w_info_callput(CH200)="认购","C","P")</f>
        <v>P</v>
      </c>
      <c r="CJ200" s="104">
        <f>[1]!w_info_strikeprice(CH200,"")</f>
        <v>3550</v>
      </c>
      <c r="CK200" s="102" t="str">
        <f>[1]!w_info_lasttradingdate(CH200)</f>
        <v>2020-06-19</v>
      </c>
    </row>
    <row r="201" spans="84:89">
      <c r="CF201" s="39" t="str">
        <f t="shared" si="128"/>
        <v>P2020-06-3600000.CFE</v>
      </c>
      <c r="CG201" s="39" t="str">
        <f t="shared" si="129"/>
        <v>C2020-06-3600000.CFE</v>
      </c>
      <c r="CH201" s="95" t="s">
        <v>104</v>
      </c>
      <c r="CI201" s="100" t="str">
        <f>IF([1]!w_info_callput(CH201)="认购","C","P")</f>
        <v>P</v>
      </c>
      <c r="CJ201" s="104">
        <f>[1]!w_info_strikeprice(CH201,"")</f>
        <v>3600</v>
      </c>
      <c r="CK201" s="102" t="str">
        <f>[1]!w_info_lasttradingdate(CH201)</f>
        <v>2020-06-19</v>
      </c>
    </row>
    <row r="202" spans="84:89">
      <c r="CF202" s="39" t="str">
        <f t="shared" si="128"/>
        <v>P2020-06-3650000.CFE</v>
      </c>
      <c r="CG202" s="39" t="str">
        <f t="shared" si="129"/>
        <v>C2020-06-3650000.CFE</v>
      </c>
      <c r="CH202" s="95" t="s">
        <v>346</v>
      </c>
      <c r="CI202" s="100" t="str">
        <f>IF([1]!w_info_callput(CH202)="认购","C","P")</f>
        <v>P</v>
      </c>
      <c r="CJ202" s="104">
        <f>[1]!w_info_strikeprice(CH202,"")</f>
        <v>3650</v>
      </c>
      <c r="CK202" s="102" t="str">
        <f>[1]!w_info_lasttradingdate(CH202)</f>
        <v>2020-06-19</v>
      </c>
    </row>
    <row r="203" spans="84:89">
      <c r="CF203" s="39" t="str">
        <f t="shared" si="128"/>
        <v>P2020-06-3700000.CFE</v>
      </c>
      <c r="CG203" s="39" t="str">
        <f t="shared" si="129"/>
        <v>C2020-06-3700000.CFE</v>
      </c>
      <c r="CH203" s="95" t="s">
        <v>105</v>
      </c>
      <c r="CI203" s="100" t="str">
        <f>IF([1]!w_info_callput(CH203)="认购","C","P")</f>
        <v>P</v>
      </c>
      <c r="CJ203" s="104">
        <f>[1]!w_info_strikeprice(CH203,"")</f>
        <v>3700</v>
      </c>
      <c r="CK203" s="102" t="str">
        <f>[1]!w_info_lasttradingdate(CH203)</f>
        <v>2020-06-19</v>
      </c>
    </row>
    <row r="204" spans="84:89">
      <c r="CF204" s="39" t="str">
        <f t="shared" si="128"/>
        <v>P2020-06-3750000.CFE</v>
      </c>
      <c r="CG204" s="39" t="str">
        <f t="shared" si="129"/>
        <v>C2020-06-3750000.CFE</v>
      </c>
      <c r="CH204" s="95" t="s">
        <v>347</v>
      </c>
      <c r="CI204" s="100" t="str">
        <f>IF([1]!w_info_callput(CH204)="认购","C","P")</f>
        <v>P</v>
      </c>
      <c r="CJ204" s="104">
        <f>[1]!w_info_strikeprice(CH204,"")</f>
        <v>3750</v>
      </c>
      <c r="CK204" s="102" t="str">
        <f>[1]!w_info_lasttradingdate(CH204)</f>
        <v>2020-06-19</v>
      </c>
    </row>
    <row r="205" spans="84:89">
      <c r="CF205" s="39" t="str">
        <f t="shared" si="128"/>
        <v>P2020-06-3800000.CFE</v>
      </c>
      <c r="CG205" s="39" t="str">
        <f t="shared" si="129"/>
        <v>C2020-06-3800000.CFE</v>
      </c>
      <c r="CH205" s="95" t="s">
        <v>106</v>
      </c>
      <c r="CI205" s="100" t="str">
        <f>IF([1]!w_info_callput(CH205)="认购","C","P")</f>
        <v>P</v>
      </c>
      <c r="CJ205" s="104">
        <f>[1]!w_info_strikeprice(CH205,"")</f>
        <v>3800</v>
      </c>
      <c r="CK205" s="102" t="str">
        <f>[1]!w_info_lasttradingdate(CH205)</f>
        <v>2020-06-19</v>
      </c>
    </row>
    <row r="206" spans="84:89">
      <c r="CF206" s="39" t="str">
        <f t="shared" si="128"/>
        <v>P2020-06-3850000.CFE</v>
      </c>
      <c r="CG206" s="39" t="str">
        <f t="shared" si="129"/>
        <v>C2020-06-3850000.CFE</v>
      </c>
      <c r="CH206" s="95" t="s">
        <v>348</v>
      </c>
      <c r="CI206" s="100" t="str">
        <f>IF([1]!w_info_callput(CH206)="认购","C","P")</f>
        <v>P</v>
      </c>
      <c r="CJ206" s="104">
        <f>[1]!w_info_strikeprice(CH206,"")</f>
        <v>3850</v>
      </c>
      <c r="CK206" s="102" t="str">
        <f>[1]!w_info_lasttradingdate(CH206)</f>
        <v>2020-06-19</v>
      </c>
    </row>
    <row r="207" spans="84:89">
      <c r="CF207" s="39" t="str">
        <f t="shared" si="128"/>
        <v>P2020-06-3900000.CFE</v>
      </c>
      <c r="CG207" s="39" t="str">
        <f t="shared" si="129"/>
        <v>C2020-06-3900000.CFE</v>
      </c>
      <c r="CH207" s="95" t="s">
        <v>107</v>
      </c>
      <c r="CI207" s="100" t="str">
        <f>IF([1]!w_info_callput(CH207)="认购","C","P")</f>
        <v>P</v>
      </c>
      <c r="CJ207" s="104">
        <f>[1]!w_info_strikeprice(CH207,"")</f>
        <v>3900</v>
      </c>
      <c r="CK207" s="102" t="str">
        <f>[1]!w_info_lasttradingdate(CH207)</f>
        <v>2020-06-19</v>
      </c>
    </row>
    <row r="208" spans="84:89">
      <c r="CF208" s="39" t="str">
        <f t="shared" si="128"/>
        <v>P2020-06-3950000.CFE</v>
      </c>
      <c r="CG208" s="39" t="str">
        <f t="shared" si="129"/>
        <v>C2020-06-3950000.CFE</v>
      </c>
      <c r="CH208" s="95" t="s">
        <v>349</v>
      </c>
      <c r="CI208" s="100" t="str">
        <f>IF([1]!w_info_callput(CH208)="认购","C","P")</f>
        <v>P</v>
      </c>
      <c r="CJ208" s="104">
        <f>[1]!w_info_strikeprice(CH208,"")</f>
        <v>3950</v>
      </c>
      <c r="CK208" s="102" t="str">
        <f>[1]!w_info_lasttradingdate(CH208)</f>
        <v>2020-06-19</v>
      </c>
    </row>
    <row r="209" spans="84:89">
      <c r="CF209" s="39" t="str">
        <f t="shared" si="128"/>
        <v>P2020-06-4000000.CFE</v>
      </c>
      <c r="CG209" s="39" t="str">
        <f t="shared" si="129"/>
        <v>C2020-06-4000000.CFE</v>
      </c>
      <c r="CH209" s="95" t="s">
        <v>108</v>
      </c>
      <c r="CI209" s="100" t="str">
        <f>IF([1]!w_info_callput(CH209)="认购","C","P")</f>
        <v>P</v>
      </c>
      <c r="CJ209" s="104">
        <f>[1]!w_info_strikeprice(CH209,"")</f>
        <v>4000</v>
      </c>
      <c r="CK209" s="102" t="str">
        <f>[1]!w_info_lasttradingdate(CH209)</f>
        <v>2020-06-19</v>
      </c>
    </row>
    <row r="210" spans="84:89">
      <c r="CF210" s="39" t="str">
        <f t="shared" si="128"/>
        <v>P2020-06-4050000.CFE</v>
      </c>
      <c r="CG210" s="39" t="str">
        <f t="shared" si="129"/>
        <v>C2020-06-4050000.CFE</v>
      </c>
      <c r="CH210" s="95" t="s">
        <v>350</v>
      </c>
      <c r="CI210" s="100" t="str">
        <f>IF([1]!w_info_callput(CH210)="认购","C","P")</f>
        <v>P</v>
      </c>
      <c r="CJ210" s="104">
        <f>[1]!w_info_strikeprice(CH210,"")</f>
        <v>4050</v>
      </c>
      <c r="CK210" s="102" t="str">
        <f>[1]!w_info_lasttradingdate(CH210)</f>
        <v>2020-06-19</v>
      </c>
    </row>
    <row r="211" spans="84:89">
      <c r="CF211" s="39" t="str">
        <f t="shared" si="128"/>
        <v>P2020-06-4100000.CFE</v>
      </c>
      <c r="CG211" s="39" t="str">
        <f t="shared" si="129"/>
        <v>C2020-06-4100000.CFE</v>
      </c>
      <c r="CH211" s="95" t="s">
        <v>109</v>
      </c>
      <c r="CI211" s="100" t="str">
        <f>IF([1]!w_info_callput(CH211)="认购","C","P")</f>
        <v>P</v>
      </c>
      <c r="CJ211" s="104">
        <f>[1]!w_info_strikeprice(CH211,"")</f>
        <v>4100</v>
      </c>
      <c r="CK211" s="102" t="str">
        <f>[1]!w_info_lasttradingdate(CH211)</f>
        <v>2020-06-19</v>
      </c>
    </row>
    <row r="212" spans="84:89">
      <c r="CF212" s="39" t="str">
        <f t="shared" si="128"/>
        <v>P2020-06-4200000.CFE</v>
      </c>
      <c r="CG212" s="39" t="str">
        <f t="shared" si="129"/>
        <v>C2020-06-4200000.CFE</v>
      </c>
      <c r="CH212" s="95" t="s">
        <v>110</v>
      </c>
      <c r="CI212" s="100" t="str">
        <f>IF([1]!w_info_callput(CH212)="认购","C","P")</f>
        <v>P</v>
      </c>
      <c r="CJ212" s="104">
        <f>[1]!w_info_strikeprice(CH212,"")</f>
        <v>4200</v>
      </c>
      <c r="CK212" s="102" t="str">
        <f>[1]!w_info_lasttradingdate(CH212)</f>
        <v>2020-06-19</v>
      </c>
    </row>
    <row r="213" spans="84:89">
      <c r="CF213" s="39" t="str">
        <f t="shared" si="128"/>
        <v>P2020-06-4300000.CFE</v>
      </c>
      <c r="CG213" s="39" t="str">
        <f t="shared" si="129"/>
        <v>C2020-06-4300000.CFE</v>
      </c>
      <c r="CH213" s="95" t="s">
        <v>111</v>
      </c>
      <c r="CI213" s="100" t="str">
        <f>IF([1]!w_info_callput(CH213)="认购","C","P")</f>
        <v>P</v>
      </c>
      <c r="CJ213" s="104">
        <f>[1]!w_info_strikeprice(CH213,"")</f>
        <v>4300</v>
      </c>
      <c r="CK213" s="102" t="str">
        <f>[1]!w_info_lasttradingdate(CH213)</f>
        <v>2020-06-19</v>
      </c>
    </row>
    <row r="214" spans="84:89">
      <c r="CF214" s="39" t="str">
        <f t="shared" si="128"/>
        <v>P2020-06-4400000.CFE</v>
      </c>
      <c r="CG214" s="39" t="str">
        <f t="shared" si="129"/>
        <v>C2020-06-4400000.CFE</v>
      </c>
      <c r="CH214" s="95" t="s">
        <v>112</v>
      </c>
      <c r="CI214" s="100" t="str">
        <f>IF([1]!w_info_callput(CH214)="认购","C","P")</f>
        <v>P</v>
      </c>
      <c r="CJ214" s="104">
        <f>[1]!w_info_strikeprice(CH214,"")</f>
        <v>4400</v>
      </c>
      <c r="CK214" s="102" t="str">
        <f>[1]!w_info_lasttradingdate(CH214)</f>
        <v>2020-06-19</v>
      </c>
    </row>
    <row r="215" spans="84:89">
      <c r="CF215" s="39" t="str">
        <f t="shared" si="128"/>
        <v>P2020-06-4500000.CFE</v>
      </c>
      <c r="CG215" s="39" t="str">
        <f t="shared" si="129"/>
        <v>C2020-06-4500000.CFE</v>
      </c>
      <c r="CH215" s="95" t="s">
        <v>113</v>
      </c>
      <c r="CI215" s="100" t="str">
        <f>IF([1]!w_info_callput(CH215)="认购","C","P")</f>
        <v>P</v>
      </c>
      <c r="CJ215" s="104">
        <f>[1]!w_info_strikeprice(CH215,"")</f>
        <v>4500</v>
      </c>
      <c r="CK215" s="102" t="str">
        <f>[1]!w_info_lasttradingdate(CH215)</f>
        <v>2020-06-19</v>
      </c>
    </row>
    <row r="216" spans="84:89">
      <c r="CF216" s="39" t="str">
        <f t="shared" si="128"/>
        <v>P2020-06-4600000.CFE</v>
      </c>
      <c r="CG216" s="39" t="str">
        <f t="shared" si="129"/>
        <v>C2020-06-4600000.CFE</v>
      </c>
      <c r="CH216" s="95" t="s">
        <v>114</v>
      </c>
      <c r="CI216" s="100" t="str">
        <f>IF([1]!w_info_callput(CH216)="认购","C","P")</f>
        <v>P</v>
      </c>
      <c r="CJ216" s="104">
        <f>[1]!w_info_strikeprice(CH216,"")</f>
        <v>4600</v>
      </c>
      <c r="CK216" s="102" t="str">
        <f>[1]!w_info_lasttradingdate(CH216)</f>
        <v>2020-06-19</v>
      </c>
    </row>
    <row r="217" spans="84:89">
      <c r="CF217" s="39" t="str">
        <f t="shared" si="128"/>
        <v>P2020-06-4700000.CFE</v>
      </c>
      <c r="CG217" s="39" t="str">
        <f t="shared" si="129"/>
        <v>C2020-06-4700000.CFE</v>
      </c>
      <c r="CH217" s="95" t="s">
        <v>115</v>
      </c>
      <c r="CI217" s="100" t="str">
        <f>IF([1]!w_info_callput(CH217)="认购","C","P")</f>
        <v>P</v>
      </c>
      <c r="CJ217" s="104">
        <f>[1]!w_info_strikeprice(CH217,"")</f>
        <v>4700</v>
      </c>
      <c r="CK217" s="102" t="str">
        <f>[1]!w_info_lasttradingdate(CH217)</f>
        <v>2020-06-19</v>
      </c>
    </row>
    <row r="218" spans="84:89">
      <c r="CF218" s="39" t="str">
        <f t="shared" si="128"/>
        <v>P2020-09-3200000.CFE</v>
      </c>
      <c r="CG218" s="39" t="str">
        <f t="shared" si="129"/>
        <v>C2020-09-3200000.CFE</v>
      </c>
      <c r="CH218" s="95" t="s">
        <v>352</v>
      </c>
      <c r="CI218" s="100" t="str">
        <f>IF([1]!w_info_callput(CH218)="认购","C","P")</f>
        <v>P</v>
      </c>
      <c r="CJ218" s="104">
        <f>[1]!w_info_strikeprice(CH218,"")</f>
        <v>3200</v>
      </c>
      <c r="CK218" s="102" t="str">
        <f>[1]!w_info_lasttradingdate(CH218)</f>
        <v>2020-09-18</v>
      </c>
    </row>
    <row r="219" spans="84:89">
      <c r="CF219" s="39" t="str">
        <f t="shared" si="128"/>
        <v>P2020-09-3300000.CFE</v>
      </c>
      <c r="CG219" s="39" t="str">
        <f t="shared" si="129"/>
        <v>C2020-09-3300000.CFE</v>
      </c>
      <c r="CH219" s="95" t="s">
        <v>131</v>
      </c>
      <c r="CI219" s="100" t="str">
        <f>IF([1]!w_info_callput(CH219)="认购","C","P")</f>
        <v>P</v>
      </c>
      <c r="CJ219" s="104">
        <f>[1]!w_info_strikeprice(CH219,"")</f>
        <v>3300</v>
      </c>
      <c r="CK219" s="102" t="str">
        <f>[1]!w_info_lasttradingdate(CH219)</f>
        <v>2020-09-18</v>
      </c>
    </row>
    <row r="220" spans="84:89">
      <c r="CF220" s="39" t="str">
        <f t="shared" si="128"/>
        <v>P2020-09-3400000.CFE</v>
      </c>
      <c r="CG220" s="39" t="str">
        <f t="shared" si="129"/>
        <v>C2020-09-3400000.CFE</v>
      </c>
      <c r="CH220" s="95" t="s">
        <v>132</v>
      </c>
      <c r="CI220" s="100" t="str">
        <f>IF([1]!w_info_callput(CH220)="认购","C","P")</f>
        <v>P</v>
      </c>
      <c r="CJ220" s="104">
        <f>[1]!w_info_strikeprice(CH220,"")</f>
        <v>3400</v>
      </c>
      <c r="CK220" s="102" t="str">
        <f>[1]!w_info_lasttradingdate(CH220)</f>
        <v>2020-09-18</v>
      </c>
    </row>
    <row r="221" spans="84:89">
      <c r="CF221" s="39" t="str">
        <f t="shared" si="128"/>
        <v>P2020-09-3500000.CFE</v>
      </c>
      <c r="CG221" s="39" t="str">
        <f t="shared" si="129"/>
        <v>C2020-09-3500000.CFE</v>
      </c>
      <c r="CH221" s="95" t="s">
        <v>133</v>
      </c>
      <c r="CI221" s="100" t="str">
        <f>IF([1]!w_info_callput(CH221)="认购","C","P")</f>
        <v>P</v>
      </c>
      <c r="CJ221" s="104">
        <f>[1]!w_info_strikeprice(CH221,"")</f>
        <v>3500</v>
      </c>
      <c r="CK221" s="102" t="str">
        <f>[1]!w_info_lasttradingdate(CH221)</f>
        <v>2020-09-18</v>
      </c>
    </row>
    <row r="222" spans="84:89">
      <c r="CF222" s="39" t="str">
        <f t="shared" si="128"/>
        <v>P2020-09-3600000.CFE</v>
      </c>
      <c r="CG222" s="39" t="str">
        <f t="shared" si="129"/>
        <v>C2020-09-3600000.CFE</v>
      </c>
      <c r="CH222" s="95" t="s">
        <v>134</v>
      </c>
      <c r="CI222" s="100" t="str">
        <f>IF([1]!w_info_callput(CH222)="认购","C","P")</f>
        <v>P</v>
      </c>
      <c r="CJ222" s="104">
        <f>[1]!w_info_strikeprice(CH222,"")</f>
        <v>3600</v>
      </c>
      <c r="CK222" s="102" t="str">
        <f>[1]!w_info_lasttradingdate(CH222)</f>
        <v>2020-09-18</v>
      </c>
    </row>
    <row r="223" spans="84:89">
      <c r="CF223" s="39" t="str">
        <f t="shared" si="128"/>
        <v>P2020-09-3700000.CFE</v>
      </c>
      <c r="CG223" s="39" t="str">
        <f t="shared" si="129"/>
        <v>C2020-09-3700000.CFE</v>
      </c>
      <c r="CH223" s="95" t="s">
        <v>135</v>
      </c>
      <c r="CI223" s="100" t="str">
        <f>IF([1]!w_info_callput(CH223)="认购","C","P")</f>
        <v>P</v>
      </c>
      <c r="CJ223" s="104">
        <f>[1]!w_info_strikeprice(CH223,"")</f>
        <v>3700</v>
      </c>
      <c r="CK223" s="102" t="str">
        <f>[1]!w_info_lasttradingdate(CH223)</f>
        <v>2020-09-18</v>
      </c>
    </row>
    <row r="224" spans="84:89">
      <c r="CF224" s="39" t="str">
        <f t="shared" si="128"/>
        <v>P2020-09-3800000.CFE</v>
      </c>
      <c r="CG224" s="39" t="str">
        <f t="shared" si="129"/>
        <v>C2020-09-3800000.CFE</v>
      </c>
      <c r="CH224" s="95" t="s">
        <v>136</v>
      </c>
      <c r="CI224" s="100" t="str">
        <f>IF([1]!w_info_callput(CH224)="认购","C","P")</f>
        <v>P</v>
      </c>
      <c r="CJ224" s="104">
        <f>[1]!w_info_strikeprice(CH224,"")</f>
        <v>3800</v>
      </c>
      <c r="CK224" s="102" t="str">
        <f>[1]!w_info_lasttradingdate(CH224)</f>
        <v>2020-09-18</v>
      </c>
    </row>
    <row r="225" spans="84:89">
      <c r="CF225" s="39" t="str">
        <f t="shared" si="128"/>
        <v>P2020-09-3900000.CFE</v>
      </c>
      <c r="CG225" s="39" t="str">
        <f t="shared" si="129"/>
        <v>C2020-09-3900000.CFE</v>
      </c>
      <c r="CH225" s="95" t="s">
        <v>137</v>
      </c>
      <c r="CI225" s="100" t="str">
        <f>IF([1]!w_info_callput(CH225)="认购","C","P")</f>
        <v>P</v>
      </c>
      <c r="CJ225" s="104">
        <f>[1]!w_info_strikeprice(CH225,"")</f>
        <v>3900</v>
      </c>
      <c r="CK225" s="102" t="str">
        <f>[1]!w_info_lasttradingdate(CH225)</f>
        <v>2020-09-18</v>
      </c>
    </row>
    <row r="226" spans="84:89">
      <c r="CF226" s="39" t="str">
        <f t="shared" si="128"/>
        <v>P2020-09-4000000.CFE</v>
      </c>
      <c r="CG226" s="39" t="str">
        <f t="shared" si="129"/>
        <v>C2020-09-4000000.CFE</v>
      </c>
      <c r="CH226" s="95" t="s">
        <v>138</v>
      </c>
      <c r="CI226" s="100" t="str">
        <f>IF([1]!w_info_callput(CH226)="认购","C","P")</f>
        <v>P</v>
      </c>
      <c r="CJ226" s="104">
        <f>[1]!w_info_strikeprice(CH226,"")</f>
        <v>4000</v>
      </c>
      <c r="CK226" s="102" t="str">
        <f>[1]!w_info_lasttradingdate(CH226)</f>
        <v>2020-09-18</v>
      </c>
    </row>
    <row r="227" spans="84:89">
      <c r="CF227" s="39" t="str">
        <f t="shared" si="128"/>
        <v>P2020-09-4100000.CFE</v>
      </c>
      <c r="CG227" s="39" t="str">
        <f t="shared" si="129"/>
        <v>C2020-09-4100000.CFE</v>
      </c>
      <c r="CH227" s="95" t="s">
        <v>139</v>
      </c>
      <c r="CI227" s="100" t="str">
        <f>IF([1]!w_info_callput(CH227)="认购","C","P")</f>
        <v>P</v>
      </c>
      <c r="CJ227" s="104">
        <f>[1]!w_info_strikeprice(CH227,"")</f>
        <v>4100</v>
      </c>
      <c r="CK227" s="102" t="str">
        <f>[1]!w_info_lasttradingdate(CH227)</f>
        <v>2020-09-18</v>
      </c>
    </row>
    <row r="228" spans="84:89">
      <c r="CF228" s="39" t="str">
        <f t="shared" si="128"/>
        <v>P2020-09-4200000.CFE</v>
      </c>
      <c r="CG228" s="39" t="str">
        <f t="shared" si="129"/>
        <v>C2020-09-4200000.CFE</v>
      </c>
      <c r="CH228" s="95" t="s">
        <v>140</v>
      </c>
      <c r="CI228" s="100" t="str">
        <f>IF([1]!w_info_callput(CH228)="认购","C","P")</f>
        <v>P</v>
      </c>
      <c r="CJ228" s="104">
        <f>[1]!w_info_strikeprice(CH228,"")</f>
        <v>4200</v>
      </c>
      <c r="CK228" s="102" t="str">
        <f>[1]!w_info_lasttradingdate(CH228)</f>
        <v>2020-09-18</v>
      </c>
    </row>
    <row r="229" spans="84:89">
      <c r="CF229" s="39" t="str">
        <f t="shared" si="128"/>
        <v>P2020-09-4300000.CFE</v>
      </c>
      <c r="CG229" s="39" t="str">
        <f t="shared" si="129"/>
        <v>C2020-09-4300000.CFE</v>
      </c>
      <c r="CH229" s="95" t="s">
        <v>141</v>
      </c>
      <c r="CI229" s="100" t="str">
        <f>IF([1]!w_info_callput(CH229)="认购","C","P")</f>
        <v>P</v>
      </c>
      <c r="CJ229" s="104">
        <f>[1]!w_info_strikeprice(CH229,"")</f>
        <v>4300</v>
      </c>
      <c r="CK229" s="102" t="str">
        <f>[1]!w_info_lasttradingdate(CH229)</f>
        <v>2020-09-18</v>
      </c>
    </row>
    <row r="230" spans="84:89">
      <c r="CF230" s="39" t="str">
        <f t="shared" si="128"/>
        <v>P2020-09-4400000.CFE</v>
      </c>
      <c r="CG230" s="39" t="str">
        <f t="shared" si="129"/>
        <v>C2020-09-4400000.CFE</v>
      </c>
      <c r="CH230" s="95" t="s">
        <v>142</v>
      </c>
      <c r="CI230" s="100" t="str">
        <f>IF([1]!w_info_callput(CH230)="认购","C","P")</f>
        <v>P</v>
      </c>
      <c r="CJ230" s="104">
        <f>[1]!w_info_strikeprice(CH230,"")</f>
        <v>4400</v>
      </c>
      <c r="CK230" s="102" t="str">
        <f>[1]!w_info_lasttradingdate(CH230)</f>
        <v>2020-09-18</v>
      </c>
    </row>
    <row r="231" spans="84:89">
      <c r="CF231" s="39" t="str">
        <f t="shared" si="128"/>
        <v>P2020-09-4500000.CFE</v>
      </c>
      <c r="CG231" s="39" t="str">
        <f t="shared" si="129"/>
        <v>C2020-09-4500000.CFE</v>
      </c>
      <c r="CH231" s="95" t="s">
        <v>143</v>
      </c>
      <c r="CI231" s="100" t="str">
        <f>IF([1]!w_info_callput(CH231)="认购","C","P")</f>
        <v>P</v>
      </c>
      <c r="CJ231" s="104">
        <f>[1]!w_info_strikeprice(CH231,"")</f>
        <v>4500</v>
      </c>
      <c r="CK231" s="102" t="str">
        <f>[1]!w_info_lasttradingdate(CH231)</f>
        <v>2020-09-18</v>
      </c>
    </row>
    <row r="232" spans="84:89">
      <c r="CF232" s="39" t="str">
        <f t="shared" si="128"/>
        <v>P2020-09-4600000.CFE</v>
      </c>
      <c r="CG232" s="39" t="str">
        <f t="shared" si="129"/>
        <v>C2020-09-4600000.CFE</v>
      </c>
      <c r="CH232" s="95" t="s">
        <v>144</v>
      </c>
      <c r="CI232" s="100" t="str">
        <f>IF([1]!w_info_callput(CH232)="认购","C","P")</f>
        <v>P</v>
      </c>
      <c r="CJ232" s="104">
        <f>[1]!w_info_strikeprice(CH232,"")</f>
        <v>4600</v>
      </c>
      <c r="CK232" s="102" t="str">
        <f>[1]!w_info_lasttradingdate(CH232)</f>
        <v>2020-09-18</v>
      </c>
    </row>
    <row r="233" spans="84:89">
      <c r="CF233" s="39" t="str">
        <f t="shared" si="128"/>
        <v>P2020-09-4700000.CFE</v>
      </c>
      <c r="CG233" s="39" t="str">
        <f t="shared" si="129"/>
        <v>C2020-09-4700000.CFE</v>
      </c>
      <c r="CH233" s="95" t="s">
        <v>145</v>
      </c>
      <c r="CI233" s="100" t="str">
        <f>IF([1]!w_info_callput(CH233)="认购","C","P")</f>
        <v>P</v>
      </c>
      <c r="CJ233" s="104">
        <f>[1]!w_info_strikeprice(CH233,"")</f>
        <v>4700</v>
      </c>
      <c r="CK233" s="102" t="str">
        <f>[1]!w_info_lasttradingdate(CH233)</f>
        <v>2020-09-18</v>
      </c>
    </row>
    <row r="234" spans="84:89">
      <c r="CF234" s="39" t="str">
        <f t="shared" si="128"/>
        <v>P2020-12-3200000.CFE</v>
      </c>
      <c r="CG234" s="39" t="str">
        <f t="shared" si="129"/>
        <v>C2020-12-3200000.CFE</v>
      </c>
      <c r="CH234" s="95" t="s">
        <v>354</v>
      </c>
      <c r="CI234" s="100" t="str">
        <f>IF([1]!w_info_callput(CH234)="认购","C","P")</f>
        <v>P</v>
      </c>
      <c r="CJ234" s="104">
        <f>[1]!w_info_strikeprice(CH234,"")</f>
        <v>3200</v>
      </c>
      <c r="CK234" s="102" t="str">
        <f>[1]!w_info_lasttradingdate(CH234)</f>
        <v>2020-12-18</v>
      </c>
    </row>
    <row r="235" spans="84:89">
      <c r="CF235" s="39" t="str">
        <f t="shared" si="128"/>
        <v>P2020-12-3300000.CFE</v>
      </c>
      <c r="CG235" s="39" t="str">
        <f t="shared" si="129"/>
        <v>C2020-12-3300000.CFE</v>
      </c>
      <c r="CH235" s="95" t="s">
        <v>161</v>
      </c>
      <c r="CI235" s="100" t="str">
        <f>IF([1]!w_info_callput(CH235)="认购","C","P")</f>
        <v>P</v>
      </c>
      <c r="CJ235" s="104">
        <f>[1]!w_info_strikeprice(CH235,"")</f>
        <v>3300</v>
      </c>
      <c r="CK235" s="102" t="str">
        <f>[1]!w_info_lasttradingdate(CH235)</f>
        <v>2020-12-18</v>
      </c>
    </row>
    <row r="236" spans="84:89">
      <c r="CF236" s="39" t="str">
        <f t="shared" si="128"/>
        <v>P2020-12-3400000.CFE</v>
      </c>
      <c r="CG236" s="39" t="str">
        <f t="shared" si="129"/>
        <v>C2020-12-3400000.CFE</v>
      </c>
      <c r="CH236" s="95" t="s">
        <v>162</v>
      </c>
      <c r="CI236" s="100" t="str">
        <f>IF([1]!w_info_callput(CH236)="认购","C","P")</f>
        <v>P</v>
      </c>
      <c r="CJ236" s="104">
        <f>[1]!w_info_strikeprice(CH236,"")</f>
        <v>3400</v>
      </c>
      <c r="CK236" s="102" t="str">
        <f>[1]!w_info_lasttradingdate(CH236)</f>
        <v>2020-12-18</v>
      </c>
    </row>
    <row r="237" spans="84:89">
      <c r="CF237" s="39" t="str">
        <f t="shared" si="128"/>
        <v>P2020-12-3500000.CFE</v>
      </c>
      <c r="CG237" s="39" t="str">
        <f t="shared" si="129"/>
        <v>C2020-12-3500000.CFE</v>
      </c>
      <c r="CH237" s="95" t="s">
        <v>163</v>
      </c>
      <c r="CI237" s="100" t="str">
        <f>IF([1]!w_info_callput(CH237)="认购","C","P")</f>
        <v>P</v>
      </c>
      <c r="CJ237" s="104">
        <f>[1]!w_info_strikeprice(CH237,"")</f>
        <v>3500</v>
      </c>
      <c r="CK237" s="102" t="str">
        <f>[1]!w_info_lasttradingdate(CH237)</f>
        <v>2020-12-18</v>
      </c>
    </row>
    <row r="238" spans="84:89">
      <c r="CF238" s="39" t="str">
        <f t="shared" si="128"/>
        <v>P2020-12-3600000.CFE</v>
      </c>
      <c r="CG238" s="39" t="str">
        <f t="shared" si="129"/>
        <v>C2020-12-3600000.CFE</v>
      </c>
      <c r="CH238" s="95" t="s">
        <v>164</v>
      </c>
      <c r="CI238" s="100" t="str">
        <f>IF([1]!w_info_callput(CH238)="认购","C","P")</f>
        <v>P</v>
      </c>
      <c r="CJ238" s="104">
        <f>[1]!w_info_strikeprice(CH238,"")</f>
        <v>3600</v>
      </c>
      <c r="CK238" s="102" t="str">
        <f>[1]!w_info_lasttradingdate(CH238)</f>
        <v>2020-12-18</v>
      </c>
    </row>
    <row r="239" spans="84:89">
      <c r="CF239" s="39" t="str">
        <f t="shared" si="128"/>
        <v>P2020-12-3700000.CFE</v>
      </c>
      <c r="CG239" s="39" t="str">
        <f t="shared" si="129"/>
        <v>C2020-12-3700000.CFE</v>
      </c>
      <c r="CH239" s="95" t="s">
        <v>165</v>
      </c>
      <c r="CI239" s="100" t="str">
        <f>IF([1]!w_info_callput(CH239)="认购","C","P")</f>
        <v>P</v>
      </c>
      <c r="CJ239" s="104">
        <f>[1]!w_info_strikeprice(CH239,"")</f>
        <v>3700</v>
      </c>
      <c r="CK239" s="102" t="str">
        <f>[1]!w_info_lasttradingdate(CH239)</f>
        <v>2020-12-18</v>
      </c>
    </row>
    <row r="240" spans="84:89">
      <c r="CF240" s="39" t="str">
        <f t="shared" si="128"/>
        <v>P2020-12-3800000.CFE</v>
      </c>
      <c r="CG240" s="39" t="str">
        <f t="shared" si="129"/>
        <v>C2020-12-3800000.CFE</v>
      </c>
      <c r="CH240" s="95" t="s">
        <v>166</v>
      </c>
      <c r="CI240" s="100" t="str">
        <f>IF([1]!w_info_callput(CH240)="认购","C","P")</f>
        <v>P</v>
      </c>
      <c r="CJ240" s="104">
        <f>[1]!w_info_strikeprice(CH240,"")</f>
        <v>3800</v>
      </c>
      <c r="CK240" s="102" t="str">
        <f>[1]!w_info_lasttradingdate(CH240)</f>
        <v>2020-12-18</v>
      </c>
    </row>
    <row r="241" spans="84:89">
      <c r="CF241" s="39" t="str">
        <f t="shared" si="128"/>
        <v>P2020-12-3900000.CFE</v>
      </c>
      <c r="CG241" s="39" t="str">
        <f t="shared" si="129"/>
        <v>C2020-12-3900000.CFE</v>
      </c>
      <c r="CH241" s="95" t="s">
        <v>167</v>
      </c>
      <c r="CI241" s="100" t="str">
        <f>IF([1]!w_info_callput(CH241)="认购","C","P")</f>
        <v>P</v>
      </c>
      <c r="CJ241" s="104">
        <f>[1]!w_info_strikeprice(CH241,"")</f>
        <v>3900</v>
      </c>
      <c r="CK241" s="102" t="str">
        <f>[1]!w_info_lasttradingdate(CH241)</f>
        <v>2020-12-18</v>
      </c>
    </row>
    <row r="242" spans="84:89">
      <c r="CF242" s="39" t="str">
        <f t="shared" si="128"/>
        <v>P2020-12-4000000.CFE</v>
      </c>
      <c r="CG242" s="39" t="str">
        <f t="shared" si="129"/>
        <v>C2020-12-4000000.CFE</v>
      </c>
      <c r="CH242" s="95" t="s">
        <v>168</v>
      </c>
      <c r="CI242" s="100" t="str">
        <f>IF([1]!w_info_callput(CH242)="认购","C","P")</f>
        <v>P</v>
      </c>
      <c r="CJ242" s="104">
        <f>[1]!w_info_strikeprice(CH242,"")</f>
        <v>4000</v>
      </c>
      <c r="CK242" s="102" t="str">
        <f>[1]!w_info_lasttradingdate(CH242)</f>
        <v>2020-12-18</v>
      </c>
    </row>
    <row r="243" spans="84:89">
      <c r="CF243" s="39" t="str">
        <f t="shared" si="128"/>
        <v>P2020-12-4100000.CFE</v>
      </c>
      <c r="CG243" s="39" t="str">
        <f t="shared" si="129"/>
        <v>C2020-12-4100000.CFE</v>
      </c>
      <c r="CH243" s="95" t="s">
        <v>169</v>
      </c>
      <c r="CI243" s="100" t="str">
        <f>IF([1]!w_info_callput(CH243)="认购","C","P")</f>
        <v>P</v>
      </c>
      <c r="CJ243" s="104">
        <f>[1]!w_info_strikeprice(CH243,"")</f>
        <v>4100</v>
      </c>
      <c r="CK243" s="102" t="str">
        <f>[1]!w_info_lasttradingdate(CH243)</f>
        <v>2020-12-18</v>
      </c>
    </row>
    <row r="244" spans="84:89">
      <c r="CF244" s="39" t="str">
        <f t="shared" si="128"/>
        <v>P2020-12-4200000.CFE</v>
      </c>
      <c r="CG244" s="39" t="str">
        <f t="shared" si="129"/>
        <v>C2020-12-4200000.CFE</v>
      </c>
      <c r="CH244" s="95" t="s">
        <v>170</v>
      </c>
      <c r="CI244" s="100" t="str">
        <f>IF([1]!w_info_callput(CH244)="认购","C","P")</f>
        <v>P</v>
      </c>
      <c r="CJ244" s="104">
        <f>[1]!w_info_strikeprice(CH244,"")</f>
        <v>4200</v>
      </c>
      <c r="CK244" s="102" t="str">
        <f>[1]!w_info_lasttradingdate(CH244)</f>
        <v>2020-12-18</v>
      </c>
    </row>
    <row r="245" spans="84:89">
      <c r="CF245" s="39" t="str">
        <f t="shared" si="128"/>
        <v>P2020-12-4300000.CFE</v>
      </c>
      <c r="CG245" s="39" t="str">
        <f t="shared" si="129"/>
        <v>C2020-12-4300000.CFE</v>
      </c>
      <c r="CH245" s="95" t="s">
        <v>171</v>
      </c>
      <c r="CI245" s="100" t="str">
        <f>IF([1]!w_info_callput(CH245)="认购","C","P")</f>
        <v>P</v>
      </c>
      <c r="CJ245" s="104">
        <f>[1]!w_info_strikeprice(CH245,"")</f>
        <v>4300</v>
      </c>
      <c r="CK245" s="102" t="str">
        <f>[1]!w_info_lasttradingdate(CH245)</f>
        <v>2020-12-18</v>
      </c>
    </row>
    <row r="246" spans="84:89">
      <c r="CF246" s="39" t="str">
        <f t="shared" si="128"/>
        <v>P2020-12-4400000.CFE</v>
      </c>
      <c r="CG246" s="39" t="str">
        <f t="shared" si="129"/>
        <v>C2020-12-4400000.CFE</v>
      </c>
      <c r="CH246" s="95" t="s">
        <v>172</v>
      </c>
      <c r="CI246" s="100" t="str">
        <f>IF([1]!w_info_callput(CH246)="认购","C","P")</f>
        <v>P</v>
      </c>
      <c r="CJ246" s="104">
        <f>[1]!w_info_strikeprice(CH246,"")</f>
        <v>4400</v>
      </c>
      <c r="CK246" s="102" t="str">
        <f>[1]!w_info_lasttradingdate(CH246)</f>
        <v>2020-12-18</v>
      </c>
    </row>
    <row r="247" spans="84:89">
      <c r="CF247" s="39" t="str">
        <f t="shared" si="128"/>
        <v>P2020-12-4500000.CFE</v>
      </c>
      <c r="CG247" s="39" t="str">
        <f t="shared" si="129"/>
        <v>C2020-12-4500000.CFE</v>
      </c>
      <c r="CH247" s="95" t="s">
        <v>173</v>
      </c>
      <c r="CI247" s="100" t="str">
        <f>IF([1]!w_info_callput(CH247)="认购","C","P")</f>
        <v>P</v>
      </c>
      <c r="CJ247" s="104">
        <f>[1]!w_info_strikeprice(CH247,"")</f>
        <v>4500</v>
      </c>
      <c r="CK247" s="102" t="str">
        <f>[1]!w_info_lasttradingdate(CH247)</f>
        <v>2020-12-18</v>
      </c>
    </row>
    <row r="248" spans="84:89">
      <c r="CF248" s="39" t="str">
        <f t="shared" si="128"/>
        <v>P2020-12-4600000.CFE</v>
      </c>
      <c r="CG248" s="39" t="str">
        <f t="shared" si="129"/>
        <v>C2020-12-4600000.CFE</v>
      </c>
      <c r="CH248" s="95" t="s">
        <v>174</v>
      </c>
      <c r="CI248" s="100" t="str">
        <f>IF([1]!w_info_callput(CH248)="认购","C","P")</f>
        <v>P</v>
      </c>
      <c r="CJ248" s="104">
        <f>[1]!w_info_strikeprice(CH248,"")</f>
        <v>4600</v>
      </c>
      <c r="CK248" s="102" t="str">
        <f>[1]!w_info_lasttradingdate(CH248)</f>
        <v>2020-12-18</v>
      </c>
    </row>
    <row r="249" spans="84:89">
      <c r="CF249" s="39" t="str">
        <f t="shared" si="128"/>
        <v>P2020-12-4700000.CFE</v>
      </c>
      <c r="CG249" s="39" t="str">
        <f t="shared" si="129"/>
        <v>C2020-12-4700000.CFE</v>
      </c>
      <c r="CH249" s="95" t="s">
        <v>175</v>
      </c>
      <c r="CI249" s="100" t="str">
        <f>IF([1]!w_info_callput(CH249)="认购","C","P")</f>
        <v>P</v>
      </c>
      <c r="CJ249" s="104">
        <f>[1]!w_info_strikeprice(CH249,"")</f>
        <v>4700</v>
      </c>
      <c r="CK249" s="102" t="str">
        <f>[1]!w_info_lasttradingdate(CH249)</f>
        <v>2020-12-18</v>
      </c>
    </row>
    <row r="250" spans="84:89">
      <c r="CF250" s="39" t="str">
        <f t="shared" si="128"/>
        <v>P2021-03-3200000.CFE</v>
      </c>
      <c r="CG250" s="39" t="str">
        <f t="shared" si="129"/>
        <v>C2021-03-3200000.CFE</v>
      </c>
      <c r="CH250" s="95" t="s">
        <v>365</v>
      </c>
      <c r="CI250" s="100" t="str">
        <f>IF([1]!w_info_callput(CH250)="认购","C","P")</f>
        <v>P</v>
      </c>
      <c r="CJ250" s="104">
        <f>[1]!w_info_strikeprice(CH250,"")</f>
        <v>3200</v>
      </c>
      <c r="CK250" s="102" t="str">
        <f>[1]!w_info_lasttradingdate(CH250)</f>
        <v>2021-03-19</v>
      </c>
    </row>
    <row r="251" spans="84:89">
      <c r="CF251" s="39" t="str">
        <f t="shared" si="128"/>
        <v>P2021-03-3300000.CFE</v>
      </c>
      <c r="CG251" s="39" t="str">
        <f t="shared" si="129"/>
        <v>C2021-03-3300000.CFE</v>
      </c>
      <c r="CH251" s="95" t="s">
        <v>366</v>
      </c>
      <c r="CI251" s="100" t="str">
        <f>IF([1]!w_info_callput(CH251)="认购","C","P")</f>
        <v>P</v>
      </c>
      <c r="CJ251" s="104">
        <f>[1]!w_info_strikeprice(CH251,"")</f>
        <v>3300</v>
      </c>
      <c r="CK251" s="102" t="str">
        <f>[1]!w_info_lasttradingdate(CH251)</f>
        <v>2021-03-19</v>
      </c>
    </row>
    <row r="252" spans="84:89">
      <c r="CF252" s="39" t="str">
        <f t="shared" si="128"/>
        <v>P2021-03-3400000.CFE</v>
      </c>
      <c r="CG252" s="39" t="str">
        <f t="shared" si="129"/>
        <v>C2021-03-3400000.CFE</v>
      </c>
      <c r="CH252" s="95" t="s">
        <v>367</v>
      </c>
      <c r="CI252" s="100" t="str">
        <f>IF([1]!w_info_callput(CH252)="认购","C","P")</f>
        <v>P</v>
      </c>
      <c r="CJ252" s="104">
        <f>[1]!w_info_strikeprice(CH252,"")</f>
        <v>3400</v>
      </c>
      <c r="CK252" s="102" t="str">
        <f>[1]!w_info_lasttradingdate(CH252)</f>
        <v>2021-03-19</v>
      </c>
    </row>
    <row r="253" spans="84:89">
      <c r="CF253" s="39" t="str">
        <f t="shared" si="128"/>
        <v>P2021-03-3500000.CFE</v>
      </c>
      <c r="CG253" s="39" t="str">
        <f t="shared" si="129"/>
        <v>C2021-03-3500000.CFE</v>
      </c>
      <c r="CH253" s="95" t="s">
        <v>368</v>
      </c>
      <c r="CI253" s="100" t="str">
        <f>IF([1]!w_info_callput(CH253)="认购","C","P")</f>
        <v>P</v>
      </c>
      <c r="CJ253" s="104">
        <f>[1]!w_info_strikeprice(CH253,"")</f>
        <v>3500</v>
      </c>
      <c r="CK253" s="102" t="str">
        <f>[1]!w_info_lasttradingdate(CH253)</f>
        <v>2021-03-19</v>
      </c>
    </row>
    <row r="254" spans="84:89">
      <c r="CF254" s="39" t="str">
        <f t="shared" si="128"/>
        <v>P2021-03-3600000.CFE</v>
      </c>
      <c r="CG254" s="39" t="str">
        <f t="shared" si="129"/>
        <v>C2021-03-3600000.CFE</v>
      </c>
      <c r="CH254" s="95" t="s">
        <v>369</v>
      </c>
      <c r="CI254" s="100" t="str">
        <f>IF([1]!w_info_callput(CH254)="认购","C","P")</f>
        <v>P</v>
      </c>
      <c r="CJ254" s="104">
        <f>[1]!w_info_strikeprice(CH254,"")</f>
        <v>3600</v>
      </c>
      <c r="CK254" s="102" t="str">
        <f>[1]!w_info_lasttradingdate(CH254)</f>
        <v>2021-03-19</v>
      </c>
    </row>
    <row r="255" spans="84:89">
      <c r="CF255" s="39" t="str">
        <f t="shared" si="128"/>
        <v>P2021-03-3700000.CFE</v>
      </c>
      <c r="CG255" s="39" t="str">
        <f t="shared" si="129"/>
        <v>C2021-03-3700000.CFE</v>
      </c>
      <c r="CH255" s="95" t="s">
        <v>370</v>
      </c>
      <c r="CI255" s="100" t="str">
        <f>IF([1]!w_info_callput(CH255)="认购","C","P")</f>
        <v>P</v>
      </c>
      <c r="CJ255" s="104">
        <f>[1]!w_info_strikeprice(CH255,"")</f>
        <v>3700</v>
      </c>
      <c r="CK255" s="102" t="str">
        <f>[1]!w_info_lasttradingdate(CH255)</f>
        <v>2021-03-19</v>
      </c>
    </row>
    <row r="256" spans="84:89">
      <c r="CF256" s="39" t="str">
        <f t="shared" si="128"/>
        <v>P2021-03-3800000.CFE</v>
      </c>
      <c r="CG256" s="39" t="str">
        <f t="shared" si="129"/>
        <v>C2021-03-3800000.CFE</v>
      </c>
      <c r="CH256" s="95" t="s">
        <v>371</v>
      </c>
      <c r="CI256" s="100" t="str">
        <f>IF([1]!w_info_callput(CH256)="认购","C","P")</f>
        <v>P</v>
      </c>
      <c r="CJ256" s="104">
        <f>[1]!w_info_strikeprice(CH256,"")</f>
        <v>3800</v>
      </c>
      <c r="CK256" s="102" t="str">
        <f>[1]!w_info_lasttradingdate(CH256)</f>
        <v>2021-03-19</v>
      </c>
    </row>
    <row r="257" spans="84:89">
      <c r="CF257" s="39" t="str">
        <f t="shared" si="128"/>
        <v>P2021-03-3900000.CFE</v>
      </c>
      <c r="CG257" s="39" t="str">
        <f t="shared" si="129"/>
        <v>C2021-03-3900000.CFE</v>
      </c>
      <c r="CH257" s="95" t="s">
        <v>372</v>
      </c>
      <c r="CI257" s="100" t="str">
        <f>IF([1]!w_info_callput(CH257)="认购","C","P")</f>
        <v>P</v>
      </c>
      <c r="CJ257" s="104">
        <f>[1]!w_info_strikeprice(CH257,"")</f>
        <v>3900</v>
      </c>
      <c r="CK257" s="102" t="str">
        <f>[1]!w_info_lasttradingdate(CH257)</f>
        <v>2021-03-19</v>
      </c>
    </row>
    <row r="258" spans="84:89">
      <c r="CF258" s="39" t="str">
        <f t="shared" si="128"/>
        <v>P2021-03-4000000.CFE</v>
      </c>
      <c r="CG258" s="39" t="str">
        <f t="shared" si="129"/>
        <v>C2021-03-4000000.CFE</v>
      </c>
      <c r="CH258" s="95" t="s">
        <v>373</v>
      </c>
      <c r="CI258" s="100" t="str">
        <f>IF([1]!w_info_callput(CH258)="认购","C","P")</f>
        <v>P</v>
      </c>
      <c r="CJ258" s="104">
        <f>[1]!w_info_strikeprice(CH258,"")</f>
        <v>4000</v>
      </c>
      <c r="CK258" s="102" t="str">
        <f>[1]!w_info_lasttradingdate(CH258)</f>
        <v>2021-03-19</v>
      </c>
    </row>
    <row r="259" spans="84:89">
      <c r="CF259" s="39" t="str">
        <f t="shared" si="128"/>
        <v>P2021-03-4100000.CFE</v>
      </c>
      <c r="CG259" s="39" t="str">
        <f t="shared" si="129"/>
        <v>C2021-03-4100000.CFE</v>
      </c>
      <c r="CH259" s="95" t="s">
        <v>374</v>
      </c>
      <c r="CI259" s="100" t="str">
        <f>IF([1]!w_info_callput(CH259)="认购","C","P")</f>
        <v>P</v>
      </c>
      <c r="CJ259" s="104">
        <f>[1]!w_info_strikeprice(CH259,"")</f>
        <v>4100</v>
      </c>
      <c r="CK259" s="102" t="str">
        <f>[1]!w_info_lasttradingdate(CH259)</f>
        <v>2021-03-19</v>
      </c>
    </row>
  </sheetData>
  <sortState ref="CF6:CL259">
    <sortCondition ref="CI6:CI259"/>
    <sortCondition ref="CK6:CK259"/>
    <sortCondition ref="CJ6:CJ259"/>
  </sortState>
  <mergeCells count="10">
    <mergeCell ref="BA1:BL1"/>
    <mergeCell ref="BN1:BY1"/>
    <mergeCell ref="B4:R4"/>
    <mergeCell ref="AB4:AR4"/>
    <mergeCell ref="BA4:BD4"/>
    <mergeCell ref="BE4:BH4"/>
    <mergeCell ref="BI4:BL4"/>
    <mergeCell ref="BN4:BQ4"/>
    <mergeCell ref="BR4:BU4"/>
    <mergeCell ref="BV4:BY4"/>
  </mergeCells>
  <phoneticPr fontId="2" type="noConversion"/>
  <conditionalFormatting sqref="BW2 BV133:BY1048576 BI133:BL1048576 BY2">
    <cfRule type="cellIs" dxfId="10" priority="11" operator="greaterThan">
      <formula>0.15</formula>
    </cfRule>
  </conditionalFormatting>
  <conditionalFormatting sqref="BJ2 BL2">
    <cfRule type="cellIs" dxfId="9" priority="9" operator="greaterThan">
      <formula>0.15</formula>
    </cfRule>
  </conditionalFormatting>
  <conditionalFormatting sqref="BI6:BL6 BV6:BY6">
    <cfRule type="cellIs" dxfId="8" priority="10" operator="greaterThan">
      <formula>0.1</formula>
    </cfRule>
  </conditionalFormatting>
  <conditionalFormatting sqref="C1:C4 AC6:AC19 C6:C64 AC133:AC1048576 C133:C1048576">
    <cfRule type="cellIs" dxfId="7" priority="8" operator="equal">
      <formula>"C"</formula>
    </cfRule>
  </conditionalFormatting>
  <conditionalFormatting sqref="AC1:AC4">
    <cfRule type="cellIs" dxfId="6" priority="7" operator="equal">
      <formula>"C"</formula>
    </cfRule>
  </conditionalFormatting>
  <conditionalFormatting sqref="BI7:BL19 BV7:BY19">
    <cfRule type="cellIs" dxfId="5" priority="6" operator="greaterThan">
      <formula>0.1</formula>
    </cfRule>
  </conditionalFormatting>
  <conditionalFormatting sqref="AC20:AC64">
    <cfRule type="cellIs" dxfId="4" priority="5" operator="equal">
      <formula>"C"</formula>
    </cfRule>
  </conditionalFormatting>
  <conditionalFormatting sqref="BI20:BL64 BV20:BY64">
    <cfRule type="cellIs" dxfId="3" priority="4" operator="greaterThan">
      <formula>0.1</formula>
    </cfRule>
  </conditionalFormatting>
  <conditionalFormatting sqref="C65:C132">
    <cfRule type="cellIs" dxfId="2" priority="3" operator="equal">
      <formula>"C"</formula>
    </cfRule>
  </conditionalFormatting>
  <conditionalFormatting sqref="AC65:AC132">
    <cfRule type="cellIs" dxfId="1" priority="2" operator="equal">
      <formula>"C"</formula>
    </cfRule>
  </conditionalFormatting>
  <conditionalFormatting sqref="BI65:BL132 BV65:BY132">
    <cfRule type="cellIs" dxfId="0" priority="1" operator="greaterThan">
      <formula>0.1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>
      <selection activeCell="I45" sqref="I45"/>
    </sheetView>
  </sheetViews>
  <sheetFormatPr defaultRowHeight="14.4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SSE</vt:lpstr>
      <vt:lpstr>CFE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2020-03-27T04:07:20Z</dcterms:modified>
</cp:coreProperties>
</file>