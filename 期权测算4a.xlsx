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codeName="ThisWorkbook" defaultThemeVersion="124226"/>
  <bookViews>
    <workbookView xWindow="-36" yWindow="360" windowWidth="30648" windowHeight="7860"/>
  </bookViews>
  <sheets>
    <sheet name="Sheet1" sheetId="1" r:id="rId1"/>
    <sheet name="Sheet2" sheetId="2" r:id="rId2"/>
    <sheet name="Sheet3" sheetId="3" r:id="rId3"/>
  </sheets>
  <externalReferences>
    <externalReference r:id="rId4"/>
  </externalReferences>
  <calcPr calcId="145621"/>
</workbook>
</file>

<file path=xl/calcChain.xml><?xml version="1.0" encoding="utf-8"?>
<calcChain xmlns="http://schemas.openxmlformats.org/spreadsheetml/2006/main">
  <c r="C95" i="1" l="1"/>
  <c r="C94" i="1"/>
  <c r="C93" i="1"/>
  <c r="C92" i="1"/>
  <c r="C91" i="1"/>
  <c r="C90" i="1"/>
  <c r="C89" i="1"/>
  <c r="C88" i="1"/>
  <c r="C87" i="1"/>
  <c r="C86" i="1"/>
  <c r="C85" i="1"/>
  <c r="C84" i="1"/>
  <c r="C83" i="1"/>
  <c r="C82" i="1"/>
  <c r="AH95" i="1"/>
  <c r="I84" i="1"/>
  <c r="J89" i="1"/>
  <c r="AF83" i="1"/>
  <c r="AG95" i="1"/>
  <c r="I91" i="1"/>
  <c r="AG86" i="1"/>
  <c r="I92" i="1"/>
  <c r="H85" i="1"/>
  <c r="J94" i="1"/>
  <c r="AK90" i="1"/>
  <c r="AI82" i="1"/>
  <c r="AK87" i="1"/>
  <c r="AF91" i="1"/>
  <c r="AG85" i="1"/>
  <c r="K82" i="1"/>
  <c r="AJ84" i="1"/>
  <c r="AK88" i="1"/>
  <c r="AH87" i="1"/>
  <c r="AJ87" i="1"/>
  <c r="AK89" i="1"/>
  <c r="AG90" i="1"/>
  <c r="K92" i="1"/>
  <c r="AJ90" i="1"/>
  <c r="J84" i="1"/>
  <c r="I94" i="1"/>
  <c r="I87" i="1"/>
  <c r="K88" i="1"/>
  <c r="J82" i="1"/>
  <c r="G92" i="1"/>
  <c r="I88" i="1"/>
  <c r="I95" i="1"/>
  <c r="H91" i="1"/>
  <c r="H89" i="1"/>
  <c r="AF89" i="1"/>
  <c r="H95" i="1"/>
  <c r="AH90" i="1"/>
  <c r="G85" i="1"/>
  <c r="J90" i="1"/>
  <c r="AH84" i="1"/>
  <c r="K84" i="1"/>
  <c r="I86" i="1"/>
  <c r="AI83" i="1"/>
  <c r="K89" i="1"/>
  <c r="K94" i="1"/>
  <c r="AG94" i="1"/>
  <c r="J92" i="1"/>
  <c r="AF95" i="1"/>
  <c r="AF93" i="1"/>
  <c r="AF86" i="1"/>
  <c r="AH85" i="1"/>
  <c r="J87" i="1"/>
  <c r="AJ89" i="1"/>
  <c r="G82" i="1"/>
  <c r="AG83" i="1"/>
  <c r="I89" i="1"/>
  <c r="G86" i="1"/>
  <c r="AG92" i="1"/>
  <c r="G83" i="1"/>
  <c r="AH93" i="1"/>
  <c r="AH92" i="1"/>
  <c r="AK84" i="1"/>
  <c r="AG82" i="1"/>
  <c r="AG91" i="1"/>
  <c r="AK86" i="1"/>
  <c r="J86" i="1"/>
  <c r="AF85" i="1"/>
  <c r="J83" i="1"/>
  <c r="AI89" i="1"/>
  <c r="AI91" i="1"/>
  <c r="AH91" i="1"/>
  <c r="AH94" i="1"/>
  <c r="AJ83" i="1"/>
  <c r="H84" i="1"/>
  <c r="AK85" i="1"/>
  <c r="AF90" i="1"/>
  <c r="AJ94" i="1"/>
  <c r="AI93" i="1"/>
  <c r="AH86" i="1"/>
  <c r="G88" i="1"/>
  <c r="AJ85" i="1"/>
  <c r="K87" i="1"/>
  <c r="AF82" i="1"/>
  <c r="I82" i="1"/>
  <c r="H92" i="1"/>
  <c r="J91" i="1"/>
  <c r="J93" i="1"/>
  <c r="AI87" i="1"/>
  <c r="J85" i="1"/>
  <c r="AF84" i="1"/>
  <c r="G91" i="1"/>
  <c r="I83" i="1"/>
  <c r="J88" i="1"/>
  <c r="AI95" i="1"/>
  <c r="AI92" i="1"/>
  <c r="K95" i="1"/>
  <c r="AG89" i="1"/>
  <c r="AK83" i="1"/>
  <c r="H83" i="1"/>
  <c r="AK91" i="1"/>
  <c r="AI90" i="1"/>
  <c r="K90" i="1"/>
  <c r="I93" i="1"/>
  <c r="I90" i="1"/>
  <c r="AI86" i="1"/>
  <c r="H82" i="1"/>
  <c r="AI84" i="1"/>
  <c r="AH88" i="1"/>
  <c r="AJ88" i="1"/>
  <c r="G84" i="1"/>
  <c r="AH82" i="1"/>
  <c r="K86" i="1"/>
  <c r="AF88" i="1"/>
  <c r="K83" i="1"/>
  <c r="AJ93" i="1"/>
  <c r="AJ92" i="1"/>
  <c r="J95" i="1"/>
  <c r="G93" i="1"/>
  <c r="G95" i="1"/>
  <c r="I85" i="1"/>
  <c r="H88" i="1"/>
  <c r="AJ91" i="1"/>
  <c r="AI88" i="1"/>
  <c r="AJ82" i="1"/>
  <c r="AG93" i="1"/>
  <c r="AK92" i="1"/>
  <c r="H93" i="1"/>
  <c r="H87" i="1"/>
  <c r="K91" i="1"/>
  <c r="AK93" i="1"/>
  <c r="AH89" i="1"/>
  <c r="AJ95" i="1"/>
  <c r="G89" i="1"/>
  <c r="AG88" i="1"/>
  <c r="K93" i="1"/>
  <c r="AI85" i="1"/>
  <c r="AG84" i="1"/>
  <c r="AJ86" i="1"/>
  <c r="AK82" i="1"/>
  <c r="AH83" i="1"/>
  <c r="AK95" i="1"/>
  <c r="H86" i="1"/>
  <c r="G90" i="1"/>
  <c r="AF87" i="1"/>
  <c r="K85" i="1"/>
  <c r="AG87" i="1"/>
  <c r="AF94" i="1"/>
  <c r="G94" i="1"/>
  <c r="AF92" i="1"/>
  <c r="AK94" i="1"/>
  <c r="H90" i="1"/>
  <c r="H94" i="1"/>
  <c r="G87" i="1"/>
  <c r="AI94" i="1"/>
  <c r="CE43" i="1"/>
  <c r="CG7" i="1"/>
  <c r="CE21" i="1"/>
  <c r="CG92" i="1"/>
  <c r="CE55" i="1"/>
  <c r="CF62" i="1"/>
  <c r="CF14" i="1"/>
  <c r="CF83" i="1"/>
  <c r="CF39" i="1"/>
  <c r="CF81" i="1"/>
  <c r="CE115" i="1"/>
  <c r="CF52" i="1"/>
  <c r="CG14" i="1"/>
  <c r="CF96" i="1"/>
  <c r="CF112" i="1"/>
  <c r="CG109" i="1"/>
  <c r="E86" i="1"/>
  <c r="CE25" i="1"/>
  <c r="CF91" i="1"/>
  <c r="E82" i="1"/>
  <c r="CF94" i="1"/>
  <c r="CG102" i="1"/>
  <c r="CE74" i="1"/>
  <c r="CF79" i="1"/>
  <c r="CG34" i="1"/>
  <c r="CF23" i="1"/>
  <c r="CE96" i="1"/>
  <c r="CE30" i="1"/>
  <c r="CF18" i="1"/>
  <c r="CF110" i="1"/>
  <c r="CE83" i="1"/>
  <c r="CE81" i="1"/>
  <c r="CF40" i="1"/>
  <c r="CF104" i="1"/>
  <c r="CE11" i="1"/>
  <c r="CF65" i="1"/>
  <c r="L91" i="1"/>
  <c r="CF73" i="1"/>
  <c r="CG65" i="1"/>
  <c r="CE52" i="1"/>
  <c r="CE45" i="1"/>
  <c r="CF84" i="1"/>
  <c r="CE63" i="1"/>
  <c r="CG105" i="1"/>
  <c r="CE92" i="1"/>
  <c r="CE20" i="1"/>
  <c r="CG100" i="1"/>
  <c r="CF56" i="1"/>
  <c r="CG111" i="1"/>
  <c r="CE59" i="1"/>
  <c r="AD90" i="1"/>
  <c r="CG50" i="1"/>
  <c r="CG84" i="1"/>
  <c r="AL95" i="1"/>
  <c r="CE19" i="1"/>
  <c r="AC87" i="1"/>
  <c r="CG80" i="1"/>
  <c r="CG26" i="1"/>
  <c r="CE48" i="1"/>
  <c r="CG67" i="1"/>
  <c r="CE57" i="1"/>
  <c r="L83" i="1"/>
  <c r="CG59" i="1"/>
  <c r="CE110" i="1"/>
  <c r="CE102" i="1"/>
  <c r="CF89" i="1"/>
  <c r="AL93" i="1"/>
  <c r="CF108" i="1"/>
  <c r="CE46" i="1"/>
  <c r="CG17" i="1"/>
  <c r="CF34" i="1"/>
  <c r="L94" i="1"/>
  <c r="D92" i="1"/>
  <c r="CF11" i="1"/>
  <c r="E84" i="1"/>
  <c r="D90" i="1"/>
  <c r="CG85" i="1"/>
  <c r="L88" i="1"/>
  <c r="CE56" i="1"/>
  <c r="CG89" i="1"/>
  <c r="CE86" i="1"/>
  <c r="CF15" i="1"/>
  <c r="AE84" i="1"/>
  <c r="CE15" i="1"/>
  <c r="CF29" i="1"/>
  <c r="CE49" i="1"/>
  <c r="CF115" i="1"/>
  <c r="CE75" i="1"/>
  <c r="CF44" i="1"/>
  <c r="CG91" i="1"/>
  <c r="CG16" i="1"/>
  <c r="CG96" i="1"/>
  <c r="CG48" i="1"/>
  <c r="AE85" i="1"/>
  <c r="CE109" i="1"/>
  <c r="CG36" i="1"/>
  <c r="CE73" i="1"/>
  <c r="CG101" i="1"/>
  <c r="CF28" i="1"/>
  <c r="CF38" i="1"/>
  <c r="CE26" i="1"/>
  <c r="AL90" i="1"/>
  <c r="CF54" i="1"/>
  <c r="CG31" i="1"/>
  <c r="L85" i="1"/>
  <c r="CG103" i="1"/>
  <c r="CF63" i="1"/>
  <c r="CG9" i="1"/>
  <c r="CG40" i="1"/>
  <c r="CF98" i="1"/>
  <c r="CG95" i="1"/>
  <c r="CE51" i="1"/>
  <c r="CF47" i="1"/>
  <c r="CE37" i="1"/>
  <c r="CE111" i="1"/>
  <c r="CG69" i="1"/>
  <c r="CF77" i="1"/>
  <c r="D84" i="1"/>
  <c r="CE9" i="1"/>
  <c r="CE82" i="1"/>
  <c r="CF6" i="1"/>
  <c r="AD89" i="1"/>
  <c r="CE38" i="1"/>
  <c r="CG41" i="1"/>
  <c r="CG61" i="1"/>
  <c r="CG49" i="1"/>
  <c r="CG42" i="1"/>
  <c r="E90" i="1"/>
  <c r="CE100" i="1"/>
  <c r="CF19" i="1"/>
  <c r="CF72" i="1"/>
  <c r="AD88" i="1"/>
  <c r="CE108" i="1"/>
  <c r="D89" i="1"/>
  <c r="CF46" i="1"/>
  <c r="CF105" i="1"/>
  <c r="AE90" i="1"/>
  <c r="CF20" i="1"/>
  <c r="CG77" i="1"/>
  <c r="CG98" i="1"/>
  <c r="L93" i="1"/>
  <c r="CF13" i="1"/>
  <c r="CG35" i="1"/>
  <c r="CG38" i="1"/>
  <c r="CE91" i="1"/>
  <c r="CE44" i="1"/>
  <c r="CF55" i="1"/>
  <c r="CG79" i="1"/>
  <c r="CG68" i="1"/>
  <c r="CG73" i="1"/>
  <c r="CF66" i="1"/>
  <c r="CE97" i="1"/>
  <c r="AD86" i="1"/>
  <c r="CG88" i="1"/>
  <c r="CE104" i="1"/>
  <c r="CE66" i="1"/>
  <c r="CF53" i="1"/>
  <c r="AE86" i="1"/>
  <c r="CF9" i="1"/>
  <c r="CE94" i="1"/>
  <c r="CG45" i="1"/>
  <c r="CE103" i="1"/>
  <c r="CE29" i="1"/>
  <c r="CE34" i="1"/>
  <c r="CG86" i="1"/>
  <c r="CE78" i="1"/>
  <c r="CF24" i="1"/>
  <c r="CE41" i="1"/>
  <c r="AD85" i="1"/>
  <c r="L87" i="1"/>
  <c r="CF80" i="1"/>
  <c r="CF60" i="1"/>
  <c r="CG70" i="1"/>
  <c r="CE105" i="1"/>
  <c r="CE90" i="1"/>
  <c r="CF61" i="1"/>
  <c r="CG94" i="1"/>
  <c r="L92" i="1"/>
  <c r="AE88" i="1"/>
  <c r="CE93" i="1"/>
  <c r="CG63" i="1"/>
  <c r="CF93" i="1"/>
  <c r="AC89" i="1"/>
  <c r="E88" i="1"/>
  <c r="CF31" i="1"/>
  <c r="CF12" i="1"/>
  <c r="CF41" i="1"/>
  <c r="CF64" i="1"/>
  <c r="CG47" i="1"/>
  <c r="CF30" i="1"/>
  <c r="CF69" i="1"/>
  <c r="CG46" i="1"/>
  <c r="CG23" i="1"/>
  <c r="CG21" i="1"/>
  <c r="CF33" i="1"/>
  <c r="AL82" i="1"/>
  <c r="D88" i="1"/>
  <c r="AD92" i="1"/>
  <c r="CG74" i="1"/>
  <c r="CE69" i="1"/>
  <c r="CG97" i="1"/>
  <c r="CF74" i="1"/>
  <c r="CG62" i="1"/>
  <c r="CE27" i="1"/>
  <c r="CE36" i="1"/>
  <c r="CE18" i="1"/>
  <c r="CF67" i="1"/>
  <c r="CG28" i="1"/>
  <c r="CG113" i="1"/>
  <c r="CG10" i="1"/>
  <c r="CE88" i="1"/>
  <c r="CG83" i="1"/>
  <c r="AC88" i="1"/>
  <c r="CF51" i="1"/>
  <c r="CG22" i="1"/>
  <c r="E94" i="1"/>
  <c r="CF111" i="1"/>
  <c r="CE13" i="1"/>
  <c r="AC86" i="1"/>
  <c r="CE72" i="1"/>
  <c r="CF106" i="1"/>
  <c r="D87" i="1"/>
  <c r="CE32" i="1"/>
  <c r="CG66" i="1"/>
  <c r="AL83" i="1"/>
  <c r="CE22" i="1"/>
  <c r="CG24" i="1"/>
  <c r="CE10" i="1"/>
  <c r="CE76" i="1"/>
  <c r="AE82" i="1"/>
  <c r="L95" i="1"/>
  <c r="E91" i="1"/>
  <c r="AE89" i="1"/>
  <c r="AD93" i="1"/>
  <c r="AC93" i="1"/>
  <c r="CF90" i="1"/>
  <c r="CF95" i="1"/>
  <c r="CE106" i="1"/>
  <c r="CG18" i="1"/>
  <c r="CF88" i="1"/>
  <c r="CG20" i="1"/>
  <c r="CE113" i="1"/>
  <c r="CE28" i="1"/>
  <c r="CF7" i="1"/>
  <c r="CF57" i="1"/>
  <c r="CF86" i="1"/>
  <c r="AD82" i="1"/>
  <c r="CG115" i="1"/>
  <c r="AD95" i="1"/>
  <c r="AL85" i="1"/>
  <c r="CF82" i="1"/>
  <c r="D82" i="1"/>
  <c r="CF27" i="1"/>
  <c r="CE87" i="1"/>
  <c r="D94" i="1"/>
  <c r="CE64" i="1"/>
  <c r="AL86" i="1"/>
  <c r="CG32" i="1"/>
  <c r="CE8" i="1"/>
  <c r="CF113" i="1"/>
  <c r="CE79" i="1"/>
  <c r="CF37" i="1"/>
  <c r="CE42" i="1"/>
  <c r="CE98" i="1"/>
  <c r="CG57" i="1"/>
  <c r="CG33" i="1"/>
  <c r="D85" i="1"/>
  <c r="L89" i="1"/>
  <c r="CG8" i="1"/>
  <c r="AE87" i="1"/>
  <c r="CF42" i="1"/>
  <c r="CF22" i="1"/>
  <c r="CF114" i="1"/>
  <c r="AL94" i="1"/>
  <c r="CG71" i="1"/>
  <c r="CF36" i="1"/>
  <c r="CE31" i="1"/>
  <c r="CG82" i="1"/>
  <c r="AE95" i="1"/>
  <c r="AC91" i="1"/>
  <c r="CG55" i="1"/>
  <c r="CG25" i="1"/>
  <c r="AC85" i="1"/>
  <c r="CE84" i="1"/>
  <c r="CG27" i="1"/>
  <c r="CE67" i="1"/>
  <c r="E85" i="1"/>
  <c r="CG60" i="1"/>
  <c r="CG51" i="1"/>
  <c r="AC82" i="1"/>
  <c r="E87" i="1"/>
  <c r="E89" i="1"/>
  <c r="CF70" i="1"/>
  <c r="CE47" i="1"/>
  <c r="CE7" i="1"/>
  <c r="AD87" i="1"/>
  <c r="CF25" i="1"/>
  <c r="CE112" i="1"/>
  <c r="CE40" i="1"/>
  <c r="AD84" i="1"/>
  <c r="CF78" i="1"/>
  <c r="AC84" i="1"/>
  <c r="AL89" i="1"/>
  <c r="CF50" i="1"/>
  <c r="CE50" i="1"/>
  <c r="CE60" i="1"/>
  <c r="CF21" i="1"/>
  <c r="AC95" i="1"/>
  <c r="CG19" i="1"/>
  <c r="CG39" i="1"/>
  <c r="CF32" i="1"/>
  <c r="CF99" i="1"/>
  <c r="CE12" i="1"/>
  <c r="CG53" i="1"/>
  <c r="CG52" i="1"/>
  <c r="L82" i="1"/>
  <c r="CF26" i="1"/>
  <c r="CE99" i="1"/>
  <c r="CF16" i="1"/>
  <c r="CF92" i="1"/>
  <c r="CE114" i="1"/>
  <c r="CE77" i="1"/>
  <c r="CE89" i="1"/>
  <c r="CG37" i="1"/>
  <c r="AD91" i="1"/>
  <c r="CE101" i="1"/>
  <c r="CF43" i="1"/>
  <c r="CF35" i="1"/>
  <c r="CG56" i="1"/>
  <c r="CG87" i="1"/>
  <c r="CF107" i="1"/>
  <c r="D95" i="1"/>
  <c r="CE62" i="1"/>
  <c r="CE39" i="1"/>
  <c r="D91" i="1"/>
  <c r="CF8" i="1"/>
  <c r="CE107" i="1"/>
  <c r="CG107" i="1"/>
  <c r="AC94" i="1"/>
  <c r="CE54" i="1"/>
  <c r="CG104" i="1"/>
  <c r="E92" i="1"/>
  <c r="CF100" i="1"/>
  <c r="AL92" i="1"/>
  <c r="CG72" i="1"/>
  <c r="CE80" i="1"/>
  <c r="CE85" i="1"/>
  <c r="CE23" i="1"/>
  <c r="AL87" i="1"/>
  <c r="CE95" i="1"/>
  <c r="AC90" i="1"/>
  <c r="CE35" i="1"/>
  <c r="CF10" i="1"/>
  <c r="CF103" i="1"/>
  <c r="CG90" i="1"/>
  <c r="CF49" i="1"/>
  <c r="CG81" i="1"/>
  <c r="CG12" i="1"/>
  <c r="AL91" i="1"/>
  <c r="CG64" i="1"/>
  <c r="CE53" i="1"/>
  <c r="CF68" i="1"/>
  <c r="CF48" i="1"/>
  <c r="CF17" i="1"/>
  <c r="CG99" i="1"/>
  <c r="CF102" i="1"/>
  <c r="CF101" i="1"/>
  <c r="CF85" i="1"/>
  <c r="CE33" i="1"/>
  <c r="AG2" i="1"/>
  <c r="CG75" i="1"/>
  <c r="CE71" i="1"/>
  <c r="CF75" i="1"/>
  <c r="CG43" i="1"/>
  <c r="AC92" i="1"/>
  <c r="CG11" i="1"/>
  <c r="CE14" i="1"/>
  <c r="D93" i="1"/>
  <c r="L84" i="1"/>
  <c r="E93" i="1"/>
  <c r="L86" i="1"/>
  <c r="AE83" i="1"/>
  <c r="CG106" i="1"/>
  <c r="D86" i="1"/>
  <c r="CE65" i="1"/>
  <c r="CG110" i="1"/>
  <c r="CE24" i="1"/>
  <c r="CG30" i="1"/>
  <c r="AD94" i="1"/>
  <c r="CF45" i="1"/>
  <c r="CE6" i="1"/>
  <c r="AE94" i="1"/>
  <c r="CF97" i="1"/>
  <c r="CG93" i="1"/>
  <c r="AD83" i="1"/>
  <c r="CG78" i="1"/>
  <c r="CF109" i="1"/>
  <c r="CG108" i="1"/>
  <c r="CF87" i="1"/>
  <c r="CG13" i="1"/>
  <c r="CG54" i="1"/>
  <c r="CG76" i="1"/>
  <c r="CE17" i="1"/>
  <c r="CE70" i="1"/>
  <c r="CE68" i="1"/>
  <c r="AE93" i="1"/>
  <c r="AE92" i="1"/>
  <c r="CG44" i="1"/>
  <c r="CE16" i="1"/>
  <c r="CG112" i="1"/>
  <c r="AE91" i="1"/>
  <c r="AC83" i="1"/>
  <c r="CF76" i="1"/>
  <c r="CE61" i="1"/>
  <c r="CF59" i="1"/>
  <c r="D83" i="1"/>
  <c r="AL88" i="1"/>
  <c r="CF71" i="1"/>
  <c r="CG6" i="1"/>
  <c r="CG29" i="1"/>
  <c r="E83" i="1"/>
  <c r="E95" i="1"/>
  <c r="L90" i="1"/>
  <c r="CG15" i="1"/>
  <c r="CG114" i="1"/>
  <c r="AL84" i="1"/>
  <c r="CH66" i="1" l="1"/>
  <c r="CI66" i="1" s="1"/>
  <c r="CH80" i="1"/>
  <c r="CI80" i="1" s="1"/>
  <c r="CH92" i="1"/>
  <c r="CI92" i="1" s="1"/>
  <c r="CH107" i="1"/>
  <c r="CI107" i="1" s="1"/>
  <c r="CH89" i="1"/>
  <c r="CI89" i="1" s="1"/>
  <c r="CH86" i="1"/>
  <c r="CI86" i="1" s="1"/>
  <c r="CH13" i="1"/>
  <c r="CI13" i="1" s="1"/>
  <c r="CH27" i="1"/>
  <c r="CI27" i="1" s="1"/>
  <c r="CH9" i="1"/>
  <c r="CI9" i="1" s="1"/>
  <c r="CH7" i="1"/>
  <c r="CI7" i="1" s="1"/>
  <c r="CH85" i="1"/>
  <c r="CI85" i="1" s="1"/>
  <c r="CH36" i="1"/>
  <c r="CI36" i="1" s="1"/>
  <c r="CH44" i="1"/>
  <c r="CI44" i="1" s="1"/>
  <c r="CH52" i="1"/>
  <c r="CI52" i="1" s="1"/>
  <c r="CH83" i="1"/>
  <c r="CI83" i="1" s="1"/>
  <c r="CH112" i="1"/>
  <c r="CI112" i="1" s="1"/>
  <c r="CH70" i="1"/>
  <c r="CI70" i="1" s="1"/>
  <c r="CH104" i="1"/>
  <c r="CI104" i="1" s="1"/>
  <c r="CH18" i="1"/>
  <c r="CI18" i="1" s="1"/>
  <c r="CH32" i="1"/>
  <c r="CI32" i="1" s="1"/>
  <c r="CH35" i="1"/>
  <c r="CI35" i="1" s="1"/>
  <c r="CH21" i="1"/>
  <c r="CI21" i="1" s="1"/>
  <c r="CH41" i="1"/>
  <c r="CI41" i="1" s="1"/>
  <c r="CH49" i="1"/>
  <c r="CI49" i="1" s="1"/>
  <c r="CH74" i="1"/>
  <c r="CI74" i="1" s="1"/>
  <c r="CH67" i="1"/>
  <c r="CI67" i="1" s="1"/>
  <c r="CH55" i="1"/>
  <c r="CI55" i="1" s="1"/>
  <c r="CH88" i="1"/>
  <c r="CI88" i="1" s="1"/>
  <c r="CH15" i="1"/>
  <c r="CI15" i="1" s="1"/>
  <c r="CH29" i="1"/>
  <c r="CI29" i="1" s="1"/>
  <c r="CH24" i="1"/>
  <c r="CI24" i="1" s="1"/>
  <c r="CH22" i="1"/>
  <c r="CI22" i="1" s="1"/>
  <c r="CH38" i="1"/>
  <c r="CI38" i="1" s="1"/>
  <c r="CH46" i="1"/>
  <c r="CI46" i="1" s="1"/>
  <c r="CH77" i="1"/>
  <c r="CI77" i="1" s="1"/>
  <c r="CH60" i="1"/>
  <c r="CI60" i="1" s="1"/>
  <c r="CH94" i="1"/>
  <c r="CI94" i="1" s="1"/>
  <c r="CH109" i="1"/>
  <c r="CI109" i="1" s="1"/>
  <c r="CH65" i="1"/>
  <c r="CI65" i="1" s="1"/>
  <c r="CH79" i="1"/>
  <c r="CI79" i="1" s="1"/>
  <c r="CH91" i="1"/>
  <c r="CI91" i="1" s="1"/>
  <c r="CH106" i="1"/>
  <c r="CI106" i="1" s="1"/>
  <c r="CH114" i="1"/>
  <c r="CI114" i="1" s="1"/>
  <c r="CH72" i="1"/>
  <c r="CI72" i="1" s="1"/>
  <c r="CH12" i="1"/>
  <c r="CI12" i="1" s="1"/>
  <c r="CH26" i="1"/>
  <c r="CI26" i="1" s="1"/>
  <c r="CH34" i="1"/>
  <c r="CI34" i="1" s="1"/>
  <c r="CH115" i="1"/>
  <c r="CI115" i="1" s="1"/>
  <c r="CH69" i="1"/>
  <c r="CI69" i="1" s="1"/>
  <c r="CH100" i="1"/>
  <c r="CI100" i="1" s="1"/>
  <c r="CH43" i="1"/>
  <c r="CI43" i="1" s="1"/>
  <c r="CH51" i="1"/>
  <c r="CI51" i="1" s="1"/>
  <c r="CH63" i="1"/>
  <c r="CI63" i="1" s="1"/>
  <c r="CH97" i="1"/>
  <c r="CI97" i="1" s="1"/>
  <c r="CH62" i="1"/>
  <c r="CI62" i="1" s="1"/>
  <c r="CH76" i="1"/>
  <c r="CI76" i="1" s="1"/>
  <c r="CH68" i="1"/>
  <c r="CI68" i="1" s="1"/>
  <c r="CH96" i="1"/>
  <c r="CI96" i="1" s="1"/>
  <c r="CH111" i="1"/>
  <c r="CI111" i="1" s="1"/>
  <c r="CH57" i="1"/>
  <c r="CI57" i="1" s="1"/>
  <c r="CH103" i="1"/>
  <c r="CI103" i="1" s="1"/>
  <c r="CH17" i="1"/>
  <c r="CI17" i="1" s="1"/>
  <c r="CH31" i="1"/>
  <c r="CI31" i="1" s="1"/>
  <c r="CH20" i="1"/>
  <c r="CI20" i="1" s="1"/>
  <c r="CH6" i="1"/>
  <c r="CI6" i="1" s="1"/>
  <c r="CH40" i="1"/>
  <c r="CI40" i="1" s="1"/>
  <c r="CH48" i="1"/>
  <c r="CI48" i="1" s="1"/>
  <c r="CH59" i="1"/>
  <c r="CI59" i="1" s="1"/>
  <c r="CH73" i="1"/>
  <c r="CI73" i="1" s="1"/>
  <c r="CH93" i="1"/>
  <c r="CI93" i="1" s="1"/>
  <c r="CH105" i="1"/>
  <c r="CI105" i="1" s="1"/>
  <c r="CH87" i="1"/>
  <c r="CI87" i="1" s="1"/>
  <c r="CH14" i="1"/>
  <c r="CI14" i="1" s="1"/>
  <c r="CH28" i="1"/>
  <c r="CI28" i="1" s="1"/>
  <c r="CH10" i="1"/>
  <c r="CI10" i="1" s="1"/>
  <c r="CH8" i="1"/>
  <c r="CI8" i="1" s="1"/>
  <c r="CH101" i="1"/>
  <c r="CI101" i="1" s="1"/>
  <c r="CH37" i="1"/>
  <c r="CI37" i="1" s="1"/>
  <c r="CH45" i="1"/>
  <c r="CI45" i="1" s="1"/>
  <c r="CH53" i="1"/>
  <c r="CI53" i="1" s="1"/>
  <c r="CH81" i="1"/>
  <c r="CI81" i="1" s="1"/>
  <c r="CH64" i="1"/>
  <c r="CI64" i="1" s="1"/>
  <c r="CH78" i="1"/>
  <c r="CI78" i="1" s="1"/>
  <c r="CH98" i="1"/>
  <c r="CI98" i="1" s="1"/>
  <c r="CH113" i="1"/>
  <c r="CI113" i="1" s="1"/>
  <c r="CH71" i="1"/>
  <c r="CI71" i="1" s="1"/>
  <c r="CH11" i="1"/>
  <c r="CI11" i="1" s="1"/>
  <c r="CH19" i="1"/>
  <c r="CI19" i="1" s="1"/>
  <c r="CH33" i="1"/>
  <c r="CI33" i="1" s="1"/>
  <c r="CH99" i="1"/>
  <c r="CI99" i="1" s="1"/>
  <c r="CH54" i="1"/>
  <c r="CI54" i="1" s="1"/>
  <c r="CH84" i="1"/>
  <c r="CI84" i="1" s="1"/>
  <c r="CH42" i="1"/>
  <c r="CI42" i="1" s="1"/>
  <c r="CH50" i="1"/>
  <c r="CI50" i="1" s="1"/>
  <c r="CH108" i="1"/>
  <c r="CI108" i="1" s="1"/>
  <c r="CH90" i="1"/>
  <c r="CI90" i="1" s="1"/>
  <c r="CH61" i="1"/>
  <c r="CI61" i="1" s="1"/>
  <c r="CH75" i="1"/>
  <c r="CI75" i="1" s="1"/>
  <c r="CH82" i="1"/>
  <c r="CI82" i="1" s="1"/>
  <c r="CH95" i="1"/>
  <c r="CI95" i="1" s="1"/>
  <c r="CH110" i="1"/>
  <c r="CI110" i="1" s="1"/>
  <c r="CH56" i="1"/>
  <c r="CI56" i="1" s="1"/>
  <c r="CH102" i="1"/>
  <c r="CI102" i="1" s="1"/>
  <c r="CH16" i="1"/>
  <c r="CI16" i="1" s="1"/>
  <c r="CH30" i="1"/>
  <c r="CI30" i="1" s="1"/>
  <c r="CH25" i="1"/>
  <c r="CI25" i="1" s="1"/>
  <c r="CH23" i="1"/>
  <c r="CI23" i="1" s="1"/>
  <c r="CH39" i="1"/>
  <c r="CI39" i="1" s="1"/>
  <c r="CH47" i="1"/>
  <c r="CI47" i="1" s="1"/>
  <c r="AN87" i="1"/>
  <c r="AP88" i="1"/>
  <c r="AN95" i="1"/>
  <c r="AP83" i="1"/>
  <c r="AN90" i="1"/>
  <c r="AP91" i="1"/>
  <c r="AN82" i="1"/>
  <c r="AN85" i="1"/>
  <c r="AP86" i="1"/>
  <c r="AN93" i="1"/>
  <c r="AP94" i="1"/>
  <c r="AN88" i="1"/>
  <c r="AP89" i="1"/>
  <c r="AP82" i="1"/>
  <c r="AN83" i="1"/>
  <c r="AP84" i="1"/>
  <c r="AN91" i="1"/>
  <c r="AP92" i="1"/>
  <c r="AN86" i="1"/>
  <c r="AP87" i="1"/>
  <c r="AN94" i="1"/>
  <c r="AP95" i="1"/>
  <c r="AN89" i="1"/>
  <c r="AP90" i="1"/>
  <c r="AN84" i="1"/>
  <c r="AP85" i="1"/>
  <c r="AN92" i="1"/>
  <c r="AP93" i="1"/>
  <c r="P84" i="1"/>
  <c r="P88" i="1"/>
  <c r="P92" i="1"/>
  <c r="P83" i="1"/>
  <c r="P87" i="1"/>
  <c r="P91" i="1"/>
  <c r="P85" i="1"/>
  <c r="P89" i="1"/>
  <c r="P93" i="1"/>
  <c r="P82" i="1"/>
  <c r="P86" i="1"/>
  <c r="P94" i="1"/>
  <c r="P90" i="1"/>
  <c r="P95" i="1"/>
  <c r="CC95" i="1"/>
  <c r="CC94" i="1"/>
  <c r="CC93" i="1"/>
  <c r="CC92" i="1"/>
  <c r="CC91" i="1"/>
  <c r="CC90" i="1"/>
  <c r="CC89" i="1"/>
  <c r="CC88" i="1"/>
  <c r="CC87" i="1"/>
  <c r="CC86" i="1"/>
  <c r="CC85" i="1"/>
  <c r="CC84" i="1"/>
  <c r="CC83" i="1"/>
  <c r="CC82" i="1"/>
  <c r="F82" i="1"/>
  <c r="F83" i="1"/>
  <c r="F85" i="1"/>
  <c r="F95" i="1"/>
  <c r="F93" i="1"/>
  <c r="F91" i="1"/>
  <c r="F86" i="1"/>
  <c r="F84" i="1"/>
  <c r="F87" i="1"/>
  <c r="F94" i="1"/>
  <c r="F89" i="1"/>
  <c r="F90" i="1"/>
  <c r="F88" i="1"/>
  <c r="F92" i="1"/>
  <c r="R2" i="1"/>
  <c r="R83" i="1"/>
  <c r="R92" i="1"/>
  <c r="R94" i="1"/>
  <c r="R82" i="1"/>
  <c r="CE58" i="1"/>
  <c r="R86" i="1"/>
  <c r="R95" i="1"/>
  <c r="AH3" i="1"/>
  <c r="CG58" i="1"/>
  <c r="CF58" i="1"/>
  <c r="R88" i="1"/>
  <c r="R90" i="1"/>
  <c r="AF2" i="1"/>
  <c r="R85" i="1"/>
  <c r="R93" i="1"/>
  <c r="R91" i="1"/>
  <c r="AL2" i="1"/>
  <c r="R87" i="1"/>
  <c r="R89" i="1"/>
  <c r="AS91" i="1" l="1"/>
  <c r="AT91" i="1" s="1"/>
  <c r="AM86" i="1"/>
  <c r="AO86" i="1" s="1"/>
  <c r="AQ86" i="1" s="1"/>
  <c r="AS82" i="1"/>
  <c r="AT82" i="1" s="1"/>
  <c r="AS90" i="1"/>
  <c r="AT90" i="1" s="1"/>
  <c r="AS86" i="1"/>
  <c r="AT86" i="1" s="1"/>
  <c r="AM82" i="1"/>
  <c r="AO82" i="1" s="1"/>
  <c r="AQ82" i="1" s="1"/>
  <c r="AM87" i="1"/>
  <c r="AO87" i="1" s="1"/>
  <c r="AQ87" i="1" s="1"/>
  <c r="AM83" i="1"/>
  <c r="AO83" i="1" s="1"/>
  <c r="AQ83" i="1" s="1"/>
  <c r="AM92" i="1"/>
  <c r="AO92" i="1" s="1"/>
  <c r="AQ92" i="1" s="1"/>
  <c r="AS87" i="1"/>
  <c r="AT87" i="1" s="1"/>
  <c r="AM95" i="1"/>
  <c r="AO95" i="1" s="1"/>
  <c r="AQ95" i="1" s="1"/>
  <c r="AM90" i="1"/>
  <c r="AO90" i="1" s="1"/>
  <c r="AQ90" i="1" s="1"/>
  <c r="AM88" i="1"/>
  <c r="AO88" i="1" s="1"/>
  <c r="AQ88" i="1" s="1"/>
  <c r="AS83" i="1"/>
  <c r="AT83" i="1" s="1"/>
  <c r="AM89" i="1"/>
  <c r="AO89" i="1" s="1"/>
  <c r="AQ89" i="1" s="1"/>
  <c r="AS92" i="1"/>
  <c r="AT92" i="1" s="1"/>
  <c r="AS95" i="1"/>
  <c r="AT95" i="1" s="1"/>
  <c r="AS93" i="1"/>
  <c r="AT93" i="1" s="1"/>
  <c r="AS88" i="1"/>
  <c r="AT88" i="1" s="1"/>
  <c r="AS89" i="1"/>
  <c r="AT89" i="1" s="1"/>
  <c r="AS84" i="1"/>
  <c r="AT84" i="1" s="1"/>
  <c r="AS85" i="1"/>
  <c r="AT85" i="1" s="1"/>
  <c r="AM93" i="1"/>
  <c r="AO93" i="1" s="1"/>
  <c r="AQ93" i="1" s="1"/>
  <c r="AM94" i="1"/>
  <c r="AO94" i="1" s="1"/>
  <c r="AQ94" i="1" s="1"/>
  <c r="AM84" i="1"/>
  <c r="AO84" i="1" s="1"/>
  <c r="AQ84" i="1" s="1"/>
  <c r="AM91" i="1"/>
  <c r="AO91" i="1" s="1"/>
  <c r="AQ91" i="1" s="1"/>
  <c r="AS94" i="1"/>
  <c r="AT94" i="1" s="1"/>
  <c r="AM85" i="1"/>
  <c r="AO85" i="1" s="1"/>
  <c r="AQ85" i="1" s="1"/>
  <c r="N88" i="1"/>
  <c r="N93" i="1"/>
  <c r="N89" i="1"/>
  <c r="N84" i="1"/>
  <c r="N91" i="1"/>
  <c r="N82" i="1"/>
  <c r="N85" i="1"/>
  <c r="N90" i="1"/>
  <c r="N87" i="1"/>
  <c r="N92" i="1"/>
  <c r="N86" i="1"/>
  <c r="N83" i="1"/>
  <c r="N95" i="1"/>
  <c r="N94" i="1"/>
  <c r="AE2" i="1"/>
  <c r="CH58" i="1"/>
  <c r="CI58" i="1" s="1"/>
  <c r="R84" i="1"/>
  <c r="C81" i="1" l="1"/>
  <c r="C80" i="1"/>
  <c r="C79" i="1"/>
  <c r="C78" i="1"/>
  <c r="AH81" i="1"/>
  <c r="G80" i="1"/>
  <c r="AH78" i="1"/>
  <c r="H78" i="1"/>
  <c r="AG78" i="1"/>
  <c r="I80" i="1"/>
  <c r="AI78" i="1"/>
  <c r="AG81" i="1"/>
  <c r="AJ81" i="1"/>
  <c r="G79" i="1"/>
  <c r="J79" i="1"/>
  <c r="AK78" i="1"/>
  <c r="AJ80" i="1"/>
  <c r="G78" i="1"/>
  <c r="AF79" i="1"/>
  <c r="K80" i="1"/>
  <c r="J81" i="1"/>
  <c r="AK79" i="1"/>
  <c r="H81" i="1"/>
  <c r="I79" i="1"/>
  <c r="AF81" i="1"/>
  <c r="J78" i="1"/>
  <c r="K81" i="1"/>
  <c r="AK81" i="1"/>
  <c r="AH80" i="1"/>
  <c r="J80" i="1"/>
  <c r="G81" i="1"/>
  <c r="AK80" i="1"/>
  <c r="AI81" i="1"/>
  <c r="H80" i="1"/>
  <c r="AF78" i="1"/>
  <c r="AH79" i="1"/>
  <c r="AF80" i="1"/>
  <c r="AI80" i="1"/>
  <c r="K79" i="1"/>
  <c r="I81" i="1"/>
  <c r="AG80" i="1"/>
  <c r="AG79" i="1"/>
  <c r="I78" i="1"/>
  <c r="AI79" i="1"/>
  <c r="AJ79" i="1"/>
  <c r="H79" i="1"/>
  <c r="AJ78" i="1"/>
  <c r="K78" i="1"/>
  <c r="AL80" i="1"/>
  <c r="E80" i="1"/>
  <c r="D80" i="1"/>
  <c r="D78" i="1"/>
  <c r="AD79" i="1"/>
  <c r="L79" i="1"/>
  <c r="AE80" i="1"/>
  <c r="E81" i="1"/>
  <c r="AC78" i="1"/>
  <c r="AE78" i="1"/>
  <c r="AC80" i="1"/>
  <c r="AL78" i="1"/>
  <c r="AD80" i="1"/>
  <c r="L81" i="1"/>
  <c r="AD81" i="1"/>
  <c r="E79" i="1"/>
  <c r="AE79" i="1"/>
  <c r="AE81" i="1"/>
  <c r="D79" i="1"/>
  <c r="AL81" i="1"/>
  <c r="L80" i="1"/>
  <c r="AD78" i="1"/>
  <c r="E78" i="1"/>
  <c r="D81" i="1"/>
  <c r="AC81" i="1"/>
  <c r="AL79" i="1"/>
  <c r="L78" i="1"/>
  <c r="AC79" i="1"/>
  <c r="AN80" i="1" l="1"/>
  <c r="AN78" i="1"/>
  <c r="AP79" i="1"/>
  <c r="AN81" i="1"/>
  <c r="AN79" i="1"/>
  <c r="AP80" i="1"/>
  <c r="AP78" i="1"/>
  <c r="AP81" i="1"/>
  <c r="P80" i="1"/>
  <c r="P81" i="1"/>
  <c r="P78" i="1"/>
  <c r="P79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F81" i="1"/>
  <c r="F80" i="1"/>
  <c r="F79" i="1"/>
  <c r="F78" i="1"/>
  <c r="J67" i="1"/>
  <c r="K68" i="1"/>
  <c r="AK73" i="1"/>
  <c r="AJ73" i="1"/>
  <c r="AH66" i="1"/>
  <c r="H74" i="1"/>
  <c r="AK68" i="1"/>
  <c r="J60" i="1"/>
  <c r="AI66" i="1"/>
  <c r="AF73" i="1"/>
  <c r="H67" i="1"/>
  <c r="AH68" i="1"/>
  <c r="J73" i="1"/>
  <c r="AI69" i="1"/>
  <c r="AK64" i="1"/>
  <c r="AI76" i="1"/>
  <c r="AG75" i="1"/>
  <c r="I71" i="1"/>
  <c r="AH75" i="1"/>
  <c r="K60" i="1"/>
  <c r="AF75" i="1"/>
  <c r="G76" i="1"/>
  <c r="I64" i="1"/>
  <c r="K72" i="1"/>
  <c r="J72" i="1"/>
  <c r="I68" i="1"/>
  <c r="AI62" i="1"/>
  <c r="AF76" i="1"/>
  <c r="AI60" i="1"/>
  <c r="J69" i="1"/>
  <c r="H63" i="1"/>
  <c r="AJ69" i="1"/>
  <c r="I75" i="1"/>
  <c r="AJ60" i="1"/>
  <c r="K63" i="1"/>
  <c r="K70" i="1"/>
  <c r="H72" i="1"/>
  <c r="H75" i="1"/>
  <c r="H61" i="1"/>
  <c r="J74" i="1"/>
  <c r="AH67" i="1"/>
  <c r="I72" i="1"/>
  <c r="I61" i="1"/>
  <c r="G67" i="1"/>
  <c r="K71" i="1"/>
  <c r="K65" i="1"/>
  <c r="AF62" i="1"/>
  <c r="H65" i="1"/>
  <c r="G73" i="1"/>
  <c r="AH70" i="1"/>
  <c r="H76" i="1"/>
  <c r="I63" i="1"/>
  <c r="AH76" i="1"/>
  <c r="AF77" i="1"/>
  <c r="AH69" i="1"/>
  <c r="K61" i="1"/>
  <c r="AJ66" i="1"/>
  <c r="G69" i="1"/>
  <c r="AJ75" i="1"/>
  <c r="AJ63" i="1"/>
  <c r="I74" i="1"/>
  <c r="AJ64" i="1"/>
  <c r="AH64" i="1"/>
  <c r="G74" i="1"/>
  <c r="AG60" i="1"/>
  <c r="J70" i="1"/>
  <c r="AI75" i="1"/>
  <c r="AG72" i="1"/>
  <c r="I73" i="1"/>
  <c r="AG74" i="1"/>
  <c r="AF71" i="1"/>
  <c r="AH74" i="1"/>
  <c r="H60" i="1"/>
  <c r="K76" i="1"/>
  <c r="AH72" i="1"/>
  <c r="AK67" i="1"/>
  <c r="AG62" i="1"/>
  <c r="AK63" i="1"/>
  <c r="AK75" i="1"/>
  <c r="K77" i="1"/>
  <c r="AK65" i="1"/>
  <c r="AI63" i="1"/>
  <c r="J66" i="1"/>
  <c r="K62" i="1"/>
  <c r="AK66" i="1"/>
  <c r="AH60" i="1"/>
  <c r="K64" i="1"/>
  <c r="AJ77" i="1"/>
  <c r="J62" i="1"/>
  <c r="AK76" i="1"/>
  <c r="K69" i="1"/>
  <c r="H69" i="1"/>
  <c r="AI73" i="1"/>
  <c r="AG69" i="1"/>
  <c r="G63" i="1"/>
  <c r="AG66" i="1"/>
  <c r="J68" i="1"/>
  <c r="AJ68" i="1"/>
  <c r="AH77" i="1"/>
  <c r="I66" i="1"/>
  <c r="AG64" i="1"/>
  <c r="AH62" i="1"/>
  <c r="AG67" i="1"/>
  <c r="G66" i="1"/>
  <c r="AH61" i="1"/>
  <c r="AJ71" i="1"/>
  <c r="AJ70" i="1"/>
  <c r="AG73" i="1"/>
  <c r="I77" i="1"/>
  <c r="AK74" i="1"/>
  <c r="AG61" i="1"/>
  <c r="G61" i="1"/>
  <c r="G71" i="1"/>
  <c r="I76" i="1"/>
  <c r="AG63" i="1"/>
  <c r="AJ61" i="1"/>
  <c r="AF70" i="1"/>
  <c r="G75" i="1"/>
  <c r="AG76" i="1"/>
  <c r="AF67" i="1"/>
  <c r="AJ65" i="1"/>
  <c r="AG68" i="1"/>
  <c r="AH71" i="1"/>
  <c r="H66" i="1"/>
  <c r="AK69" i="1"/>
  <c r="H77" i="1"/>
  <c r="K74" i="1"/>
  <c r="AK60" i="1"/>
  <c r="AI61" i="1"/>
  <c r="I69" i="1"/>
  <c r="AK77" i="1"/>
  <c r="AF68" i="1"/>
  <c r="AK61" i="1"/>
  <c r="G62" i="1"/>
  <c r="AF69" i="1"/>
  <c r="AI71" i="1"/>
  <c r="AI65" i="1"/>
  <c r="AJ62" i="1"/>
  <c r="AF61" i="1"/>
  <c r="I62" i="1"/>
  <c r="AF63" i="1"/>
  <c r="H68" i="1"/>
  <c r="J63" i="1"/>
  <c r="H71" i="1"/>
  <c r="J76" i="1"/>
  <c r="J61" i="1"/>
  <c r="K66" i="1"/>
  <c r="AG71" i="1"/>
  <c r="AI72" i="1"/>
  <c r="AG65" i="1"/>
  <c r="J75" i="1"/>
  <c r="G60" i="1"/>
  <c r="AF72" i="1"/>
  <c r="J77" i="1"/>
  <c r="AI64" i="1"/>
  <c r="AF60" i="1"/>
  <c r="I67" i="1"/>
  <c r="J71" i="1"/>
  <c r="AI70" i="1"/>
  <c r="AH63" i="1"/>
  <c r="AK62" i="1"/>
  <c r="K67" i="1"/>
  <c r="G72" i="1"/>
  <c r="AJ74" i="1"/>
  <c r="H62" i="1"/>
  <c r="H64" i="1"/>
  <c r="AI77" i="1"/>
  <c r="AK70" i="1"/>
  <c r="AI68" i="1"/>
  <c r="G68" i="1"/>
  <c r="AJ76" i="1"/>
  <c r="AF66" i="1"/>
  <c r="H73" i="1"/>
  <c r="AF65" i="1"/>
  <c r="G65" i="1"/>
  <c r="AG77" i="1"/>
  <c r="AK71" i="1"/>
  <c r="J64" i="1"/>
  <c r="AH73" i="1"/>
  <c r="AF74" i="1"/>
  <c r="I65" i="1"/>
  <c r="H70" i="1"/>
  <c r="AK72" i="1"/>
  <c r="AH65" i="1"/>
  <c r="AI67" i="1"/>
  <c r="AF64" i="1"/>
  <c r="AG70" i="1"/>
  <c r="AI74" i="1"/>
  <c r="I60" i="1"/>
  <c r="J65" i="1"/>
  <c r="K73" i="1"/>
  <c r="I70" i="1"/>
  <c r="K75" i="1"/>
  <c r="G64" i="1"/>
  <c r="AJ72" i="1"/>
  <c r="G70" i="1"/>
  <c r="G77" i="1"/>
  <c r="AJ67" i="1"/>
  <c r="E60" i="1"/>
  <c r="AL66" i="1"/>
  <c r="AD77" i="1"/>
  <c r="AC66" i="1"/>
  <c r="L75" i="1"/>
  <c r="AD66" i="1"/>
  <c r="D68" i="1"/>
  <c r="AC69" i="1"/>
  <c r="AE71" i="1"/>
  <c r="D71" i="1"/>
  <c r="E71" i="1"/>
  <c r="D63" i="1"/>
  <c r="AC73" i="1"/>
  <c r="AC60" i="1"/>
  <c r="E73" i="1"/>
  <c r="AL70" i="1"/>
  <c r="D72" i="1"/>
  <c r="D65" i="1"/>
  <c r="AC70" i="1"/>
  <c r="AC68" i="1"/>
  <c r="AD70" i="1"/>
  <c r="AC76" i="1"/>
  <c r="D60" i="1"/>
  <c r="AD73" i="1"/>
  <c r="AC75" i="1"/>
  <c r="AE66" i="1"/>
  <c r="D70" i="1"/>
  <c r="AE77" i="1"/>
  <c r="E76" i="1"/>
  <c r="L67" i="1"/>
  <c r="AD60" i="1"/>
  <c r="E61" i="1"/>
  <c r="AD63" i="1"/>
  <c r="AE61" i="1"/>
  <c r="E63" i="1"/>
  <c r="AL65" i="1"/>
  <c r="AD69" i="1"/>
  <c r="AD74" i="1"/>
  <c r="L60" i="1"/>
  <c r="D77" i="1"/>
  <c r="AE67" i="1"/>
  <c r="AC71" i="1"/>
  <c r="D76" i="1"/>
  <c r="AE69" i="1"/>
  <c r="E75" i="1"/>
  <c r="AL67" i="1"/>
  <c r="AD62" i="1"/>
  <c r="D61" i="1"/>
  <c r="L76" i="1"/>
  <c r="D75" i="1"/>
  <c r="D62" i="1"/>
  <c r="AC65" i="1"/>
  <c r="E67" i="1"/>
  <c r="AL63" i="1"/>
  <c r="AD75" i="1"/>
  <c r="AL60" i="1"/>
  <c r="E66" i="1"/>
  <c r="L62" i="1"/>
  <c r="L74" i="1"/>
  <c r="D64" i="1"/>
  <c r="AL72" i="1"/>
  <c r="AC72" i="1"/>
  <c r="AE75" i="1"/>
  <c r="AL73" i="1"/>
  <c r="AC61" i="1"/>
  <c r="E65" i="1"/>
  <c r="L65" i="1"/>
  <c r="E62" i="1"/>
  <c r="E68" i="1"/>
  <c r="E64" i="1"/>
  <c r="E69" i="1"/>
  <c r="L63" i="1"/>
  <c r="AD68" i="1"/>
  <c r="E77" i="1"/>
  <c r="AC64" i="1"/>
  <c r="L68" i="1"/>
  <c r="AC63" i="1"/>
  <c r="AL76" i="1"/>
  <c r="AE70" i="1"/>
  <c r="AE68" i="1"/>
  <c r="AL75" i="1"/>
  <c r="L64" i="1"/>
  <c r="AD67" i="1"/>
  <c r="AL77" i="1"/>
  <c r="L70" i="1"/>
  <c r="AL71" i="1"/>
  <c r="L66" i="1"/>
  <c r="AD61" i="1"/>
  <c r="E70" i="1"/>
  <c r="L61" i="1"/>
  <c r="E72" i="1"/>
  <c r="AE73" i="1"/>
  <c r="AC77" i="1"/>
  <c r="L73" i="1"/>
  <c r="AE72" i="1"/>
  <c r="AL61" i="1"/>
  <c r="D73" i="1"/>
  <c r="AD71" i="1"/>
  <c r="AE64" i="1"/>
  <c r="AL69" i="1"/>
  <c r="L71" i="1"/>
  <c r="AE74" i="1"/>
  <c r="AL74" i="1"/>
  <c r="D74" i="1"/>
  <c r="AE60" i="1"/>
  <c r="AE76" i="1"/>
  <c r="AE62" i="1"/>
  <c r="AC74" i="1"/>
  <c r="L69" i="1"/>
  <c r="AD76" i="1"/>
  <c r="AL64" i="1"/>
  <c r="AD64" i="1"/>
  <c r="L72" i="1"/>
  <c r="L77" i="1"/>
  <c r="AL62" i="1"/>
  <c r="AC62" i="1"/>
  <c r="D69" i="1"/>
  <c r="AE65" i="1"/>
  <c r="AD65" i="1"/>
  <c r="AD72" i="1"/>
  <c r="AL68" i="1"/>
  <c r="D66" i="1"/>
  <c r="AC67" i="1"/>
  <c r="AE63" i="1"/>
  <c r="D67" i="1"/>
  <c r="E74" i="1"/>
  <c r="N79" i="1" l="1"/>
  <c r="N80" i="1"/>
  <c r="N78" i="1"/>
  <c r="N81" i="1"/>
  <c r="AP60" i="1"/>
  <c r="AN71" i="1"/>
  <c r="AN66" i="1"/>
  <c r="AN67" i="1"/>
  <c r="AN68" i="1"/>
  <c r="AN70" i="1"/>
  <c r="AP63" i="1"/>
  <c r="AP64" i="1"/>
  <c r="AP65" i="1"/>
  <c r="AP76" i="1"/>
  <c r="AN60" i="1"/>
  <c r="AP67" i="1"/>
  <c r="AP68" i="1"/>
  <c r="AP69" i="1"/>
  <c r="AN75" i="1"/>
  <c r="AN62" i="1"/>
  <c r="AN63" i="1"/>
  <c r="AN64" i="1"/>
  <c r="AP73" i="1"/>
  <c r="AP72" i="1"/>
  <c r="AP61" i="1"/>
  <c r="AP71" i="1"/>
  <c r="AN72" i="1"/>
  <c r="AN61" i="1"/>
  <c r="AP62" i="1"/>
  <c r="AN69" i="1"/>
  <c r="AP70" i="1"/>
  <c r="AN77" i="1"/>
  <c r="AN65" i="1"/>
  <c r="AP66" i="1"/>
  <c r="AN73" i="1"/>
  <c r="AP74" i="1"/>
  <c r="AN76" i="1"/>
  <c r="AP77" i="1"/>
  <c r="AN74" i="1"/>
  <c r="AP75" i="1"/>
  <c r="P60" i="1"/>
  <c r="P61" i="1"/>
  <c r="P69" i="1"/>
  <c r="P77" i="1"/>
  <c r="P62" i="1"/>
  <c r="P70" i="1"/>
  <c r="P66" i="1"/>
  <c r="P71" i="1"/>
  <c r="P64" i="1"/>
  <c r="P72" i="1"/>
  <c r="P67" i="1"/>
  <c r="P63" i="1"/>
  <c r="P65" i="1"/>
  <c r="P73" i="1"/>
  <c r="P74" i="1"/>
  <c r="P75" i="1"/>
  <c r="P68" i="1"/>
  <c r="P76" i="1"/>
  <c r="CC6" i="1"/>
  <c r="CC7" i="1"/>
  <c r="CC8" i="1"/>
  <c r="CC9" i="1"/>
  <c r="CC10" i="1"/>
  <c r="CC11" i="1"/>
  <c r="CC12" i="1"/>
  <c r="CC13" i="1"/>
  <c r="CC14" i="1"/>
  <c r="CC15" i="1"/>
  <c r="CC16" i="1"/>
  <c r="CC17" i="1"/>
  <c r="CC18" i="1"/>
  <c r="CC19" i="1"/>
  <c r="CC20" i="1"/>
  <c r="CC21" i="1"/>
  <c r="CC22" i="1"/>
  <c r="CC23" i="1"/>
  <c r="CC24" i="1"/>
  <c r="CC25" i="1"/>
  <c r="CC26" i="1"/>
  <c r="CC27" i="1"/>
  <c r="CC28" i="1"/>
  <c r="CC29" i="1"/>
  <c r="CC30" i="1"/>
  <c r="CC31" i="1"/>
  <c r="CC32" i="1"/>
  <c r="CC33" i="1"/>
  <c r="CC34" i="1"/>
  <c r="CC35" i="1"/>
  <c r="CC36" i="1"/>
  <c r="CC37" i="1"/>
  <c r="CC38" i="1"/>
  <c r="CC39" i="1"/>
  <c r="CC40" i="1"/>
  <c r="CC41" i="1"/>
  <c r="CC42" i="1"/>
  <c r="CC43" i="1"/>
  <c r="CC44" i="1"/>
  <c r="CC45" i="1"/>
  <c r="CC46" i="1"/>
  <c r="CC47" i="1"/>
  <c r="CC48" i="1"/>
  <c r="CC49" i="1"/>
  <c r="CC50" i="1"/>
  <c r="CC51" i="1"/>
  <c r="CC52" i="1"/>
  <c r="CC53" i="1"/>
  <c r="CC54" i="1"/>
  <c r="CC55" i="1"/>
  <c r="CC56" i="1"/>
  <c r="CC57" i="1"/>
  <c r="CC58" i="1"/>
  <c r="CC59" i="1"/>
  <c r="CC60" i="1"/>
  <c r="CC61" i="1"/>
  <c r="CC62" i="1"/>
  <c r="CC63" i="1"/>
  <c r="CC64" i="1"/>
  <c r="CC65" i="1"/>
  <c r="CC66" i="1"/>
  <c r="CC67" i="1"/>
  <c r="CC68" i="1"/>
  <c r="CC69" i="1"/>
  <c r="CC70" i="1"/>
  <c r="CC71" i="1"/>
  <c r="CC72" i="1"/>
  <c r="CC73" i="1"/>
  <c r="CC74" i="1"/>
  <c r="CC75" i="1"/>
  <c r="CC76" i="1"/>
  <c r="CC77" i="1"/>
  <c r="CC78" i="1"/>
  <c r="CC79" i="1"/>
  <c r="CC80" i="1"/>
  <c r="CC81" i="1"/>
  <c r="F70" i="1"/>
  <c r="F69" i="1"/>
  <c r="F65" i="1"/>
  <c r="F77" i="1"/>
  <c r="F72" i="1"/>
  <c r="F64" i="1"/>
  <c r="F71" i="1"/>
  <c r="F68" i="1"/>
  <c r="F75" i="1"/>
  <c r="F61" i="1"/>
  <c r="F63" i="1"/>
  <c r="F73" i="1"/>
  <c r="F66" i="1"/>
  <c r="F67" i="1"/>
  <c r="F60" i="1"/>
  <c r="F62" i="1"/>
  <c r="F74" i="1"/>
  <c r="F76" i="1"/>
  <c r="H3" i="1"/>
  <c r="N75" i="1" l="1"/>
  <c r="N74" i="1"/>
  <c r="N65" i="1"/>
  <c r="N64" i="1"/>
  <c r="N60" i="1"/>
  <c r="N69" i="1"/>
  <c r="N72" i="1"/>
  <c r="N62" i="1"/>
  <c r="N76" i="1"/>
  <c r="N63" i="1"/>
  <c r="N67" i="1"/>
  <c r="N66" i="1"/>
  <c r="N73" i="1"/>
  <c r="N77" i="1"/>
  <c r="N61" i="1"/>
  <c r="N68" i="1"/>
  <c r="N71" i="1"/>
  <c r="N70" i="1"/>
  <c r="BC5" i="1"/>
  <c r="BP5" i="1"/>
  <c r="C59" i="1" l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R70" i="1"/>
  <c r="AD37" i="1"/>
  <c r="AL6" i="1"/>
  <c r="AC35" i="1"/>
  <c r="AL14" i="1"/>
  <c r="D19" i="1"/>
  <c r="AL43" i="1"/>
  <c r="R77" i="1"/>
  <c r="D8" i="1"/>
  <c r="D57" i="1"/>
  <c r="AD21" i="1"/>
  <c r="AD59" i="1"/>
  <c r="AD29" i="1"/>
  <c r="AL35" i="1"/>
  <c r="R78" i="1"/>
  <c r="E55" i="1"/>
  <c r="D35" i="1"/>
  <c r="AE35" i="1"/>
  <c r="AE23" i="1"/>
  <c r="AE28" i="1"/>
  <c r="AL37" i="1"/>
  <c r="AD10" i="1"/>
  <c r="E20" i="1"/>
  <c r="E57" i="1"/>
  <c r="D25" i="1"/>
  <c r="AC40" i="1"/>
  <c r="E59" i="1"/>
  <c r="AD33" i="1"/>
  <c r="L21" i="1"/>
  <c r="R71" i="1"/>
  <c r="E48" i="1"/>
  <c r="D12" i="1"/>
  <c r="L51" i="1"/>
  <c r="L38" i="1"/>
  <c r="AE53" i="1"/>
  <c r="AE13" i="1"/>
  <c r="R64" i="1"/>
  <c r="AC25" i="1"/>
  <c r="D26" i="1"/>
  <c r="E47" i="1"/>
  <c r="AE51" i="1"/>
  <c r="AL50" i="1"/>
  <c r="AD6" i="1"/>
  <c r="R75" i="1"/>
  <c r="D50" i="1"/>
  <c r="AL39" i="1"/>
  <c r="AE40" i="1"/>
  <c r="E40" i="1"/>
  <c r="D16" i="1"/>
  <c r="AE10" i="1"/>
  <c r="E15" i="1"/>
  <c r="AC45" i="1"/>
  <c r="D14" i="1"/>
  <c r="E51" i="1"/>
  <c r="E43" i="1"/>
  <c r="AD39" i="1"/>
  <c r="E30" i="1"/>
  <c r="AD11" i="1"/>
  <c r="AL58" i="1"/>
  <c r="D38" i="1"/>
  <c r="E13" i="1"/>
  <c r="R73" i="1"/>
  <c r="AL31" i="1"/>
  <c r="AC49" i="1"/>
  <c r="E37" i="1"/>
  <c r="D48" i="1"/>
  <c r="E17" i="1"/>
  <c r="L40" i="1"/>
  <c r="E9" i="1"/>
  <c r="E25" i="1"/>
  <c r="AL42" i="1"/>
  <c r="AL12" i="1"/>
  <c r="AE47" i="1"/>
  <c r="AE37" i="1"/>
  <c r="AE45" i="1"/>
  <c r="R62" i="1"/>
  <c r="AC47" i="1"/>
  <c r="AL10" i="1"/>
  <c r="AE29" i="1"/>
  <c r="AD40" i="1"/>
  <c r="L39" i="1"/>
  <c r="E35" i="1"/>
  <c r="AE59" i="1"/>
  <c r="AC15" i="1"/>
  <c r="AD42" i="1"/>
  <c r="AC56" i="1"/>
  <c r="AL11" i="1"/>
  <c r="AD53" i="1"/>
  <c r="E28" i="1"/>
  <c r="AE39" i="1"/>
  <c r="AE58" i="1"/>
  <c r="L41" i="1"/>
  <c r="R80" i="1"/>
  <c r="R61" i="1"/>
  <c r="AC33" i="1"/>
  <c r="AC41" i="1"/>
  <c r="L30" i="1"/>
  <c r="D44" i="1"/>
  <c r="E49" i="1"/>
  <c r="AD16" i="1"/>
  <c r="R66" i="1"/>
  <c r="E33" i="1"/>
  <c r="AC14" i="1"/>
  <c r="AD9" i="1"/>
  <c r="AL47" i="1"/>
  <c r="AL9" i="1"/>
  <c r="AD13" i="1"/>
  <c r="AD31" i="1"/>
  <c r="D53" i="1"/>
  <c r="AD46" i="1"/>
  <c r="E45" i="1"/>
  <c r="E24" i="1"/>
  <c r="R72" i="1"/>
  <c r="AC27" i="1"/>
  <c r="AE22" i="1"/>
  <c r="E39" i="1"/>
  <c r="E54" i="1"/>
  <c r="AE12" i="1"/>
  <c r="AE14" i="1"/>
  <c r="R69" i="1"/>
  <c r="L19" i="1"/>
  <c r="AE55" i="1"/>
  <c r="AD7" i="1"/>
  <c r="AL40" i="1"/>
  <c r="D10" i="1"/>
  <c r="R63" i="1"/>
  <c r="R76" i="1"/>
  <c r="D42" i="1"/>
  <c r="E29" i="1"/>
  <c r="D34" i="1"/>
  <c r="AC12" i="1"/>
  <c r="AC53" i="1"/>
  <c r="AL26" i="1"/>
  <c r="L8" i="1"/>
  <c r="L48" i="1"/>
  <c r="AD19" i="1"/>
  <c r="E6" i="1"/>
  <c r="AC54" i="1"/>
  <c r="AL18" i="1"/>
  <c r="L16" i="1"/>
  <c r="AD27" i="1"/>
  <c r="AD43" i="1"/>
  <c r="AC58" i="1"/>
  <c r="AD20" i="1"/>
  <c r="L52" i="1"/>
  <c r="AD49" i="1"/>
  <c r="AC9" i="1"/>
  <c r="D20" i="1"/>
  <c r="R74" i="1"/>
  <c r="D13" i="1"/>
  <c r="AC32" i="1"/>
  <c r="AE33" i="1"/>
  <c r="E44" i="1"/>
  <c r="D52" i="1"/>
  <c r="L24" i="1"/>
  <c r="AD55" i="1"/>
  <c r="AE27" i="1"/>
  <c r="AD52" i="1"/>
  <c r="AD35" i="1"/>
  <c r="L14" i="1"/>
  <c r="D27" i="1"/>
  <c r="D23" i="1"/>
  <c r="D55" i="1"/>
  <c r="AD32" i="1"/>
  <c r="AL52" i="1"/>
  <c r="AL25" i="1"/>
  <c r="AD45" i="1"/>
  <c r="AC16" i="1"/>
  <c r="E42" i="1"/>
  <c r="AD48" i="1"/>
  <c r="D47" i="1"/>
  <c r="R68" i="1"/>
  <c r="E31" i="1"/>
  <c r="E23" i="1"/>
  <c r="L27" i="1"/>
  <c r="E53" i="1"/>
  <c r="D7" i="1"/>
  <c r="AL20" i="1"/>
  <c r="AD34" i="1"/>
  <c r="R79" i="1"/>
  <c r="AC11" i="1"/>
  <c r="AE24" i="1"/>
  <c r="L43" i="1"/>
  <c r="AC34" i="1"/>
  <c r="AL54" i="1"/>
  <c r="AC42" i="1"/>
  <c r="AD22" i="1"/>
  <c r="D24" i="1"/>
  <c r="L6" i="1"/>
  <c r="AE52" i="1"/>
  <c r="E46" i="1"/>
  <c r="AL55" i="1"/>
  <c r="AD28" i="1"/>
  <c r="L35" i="1"/>
  <c r="AC24" i="1"/>
  <c r="L17" i="1"/>
  <c r="E21" i="1"/>
  <c r="L46" i="1"/>
  <c r="D56" i="1"/>
  <c r="AC50" i="1"/>
  <c r="AE9" i="1"/>
  <c r="AE16" i="1"/>
  <c r="AL46" i="1"/>
  <c r="AC43" i="1"/>
  <c r="AD38" i="1"/>
  <c r="AC20" i="1"/>
  <c r="AC6" i="1"/>
  <c r="E10" i="1"/>
  <c r="AE41" i="1"/>
  <c r="AE6" i="1"/>
  <c r="D40" i="1"/>
  <c r="E27" i="1"/>
  <c r="AC10" i="1"/>
  <c r="D31" i="1"/>
  <c r="D58" i="1"/>
  <c r="AC48" i="1"/>
  <c r="L59" i="1"/>
  <c r="L36" i="1"/>
  <c r="AE20" i="1"/>
  <c r="AE56" i="1"/>
  <c r="E50" i="1"/>
  <c r="AL23" i="1"/>
  <c r="AL22" i="1"/>
  <c r="D11" i="1"/>
  <c r="AD18" i="1"/>
  <c r="AL17" i="1"/>
  <c r="AD57" i="1"/>
  <c r="AC38" i="1"/>
  <c r="AL13" i="1"/>
  <c r="AE54" i="1"/>
  <c r="AL36" i="1"/>
  <c r="L44" i="1"/>
  <c r="E52" i="1"/>
  <c r="AL15" i="1"/>
  <c r="AC30" i="1"/>
  <c r="AE30" i="1"/>
  <c r="AE32" i="1"/>
  <c r="E58" i="1"/>
  <c r="AE46" i="1"/>
  <c r="AC57" i="1"/>
  <c r="E19" i="1"/>
  <c r="AE57" i="1"/>
  <c r="AE7" i="1"/>
  <c r="D37" i="1"/>
  <c r="AC31" i="1"/>
  <c r="D41" i="1"/>
  <c r="AE44" i="1"/>
  <c r="AD23" i="1"/>
  <c r="E26" i="1"/>
  <c r="E56" i="1"/>
  <c r="E16" i="1"/>
  <c r="E11" i="1"/>
  <c r="E18" i="1"/>
  <c r="L13" i="1"/>
  <c r="AL8" i="1"/>
  <c r="L12" i="1"/>
  <c r="AE50" i="1"/>
  <c r="AL21" i="1"/>
  <c r="R67" i="1"/>
  <c r="AE18" i="1"/>
  <c r="AC17" i="1"/>
  <c r="D15" i="1"/>
  <c r="AE8" i="1"/>
  <c r="L56" i="1"/>
  <c r="D39" i="1"/>
  <c r="E32" i="1"/>
  <c r="D29" i="1"/>
  <c r="AD54" i="1"/>
  <c r="AC29" i="1"/>
  <c r="AL51" i="1"/>
  <c r="AC51" i="1"/>
  <c r="AD24" i="1"/>
  <c r="AD8" i="1"/>
  <c r="AC19" i="1"/>
  <c r="AC23" i="1"/>
  <c r="AE34" i="1"/>
  <c r="AL48" i="1"/>
  <c r="E12" i="1"/>
  <c r="AE17" i="1"/>
  <c r="AE15" i="1"/>
  <c r="D43" i="1"/>
  <c r="L20" i="1"/>
  <c r="AL28" i="1"/>
  <c r="D49" i="1"/>
  <c r="L28" i="1"/>
  <c r="AC18" i="1"/>
  <c r="L11" i="1"/>
  <c r="D46" i="1"/>
  <c r="AC13" i="1"/>
  <c r="D6" i="1"/>
  <c r="D18" i="1"/>
  <c r="AD30" i="1"/>
  <c r="AC28" i="1"/>
  <c r="AC39" i="1"/>
  <c r="AD26" i="1"/>
  <c r="CF4" i="1"/>
  <c r="AC22" i="1"/>
  <c r="D22" i="1"/>
  <c r="AE42" i="1"/>
  <c r="AL45" i="1"/>
  <c r="AE49" i="1"/>
  <c r="L55" i="1"/>
  <c r="L2" i="1"/>
  <c r="L45" i="1"/>
  <c r="D51" i="1"/>
  <c r="AC36" i="1"/>
  <c r="AL56" i="1"/>
  <c r="AC21" i="1"/>
  <c r="AC55" i="1"/>
  <c r="AD50" i="1"/>
  <c r="E7" i="1"/>
  <c r="D28" i="1"/>
  <c r="L33" i="1"/>
  <c r="AL7" i="1"/>
  <c r="L7" i="1"/>
  <c r="L23" i="1"/>
  <c r="AD41" i="1"/>
  <c r="AD15" i="1"/>
  <c r="D54" i="1"/>
  <c r="L31" i="1"/>
  <c r="AE19" i="1"/>
  <c r="E41" i="1"/>
  <c r="D45" i="1"/>
  <c r="AC46" i="1"/>
  <c r="AE36" i="1"/>
  <c r="AL49" i="1"/>
  <c r="AC7" i="1"/>
  <c r="E34" i="1"/>
  <c r="L54" i="1"/>
  <c r="AL57" i="1"/>
  <c r="E38" i="1"/>
  <c r="D30" i="1"/>
  <c r="L29" i="1"/>
  <c r="AL53" i="1"/>
  <c r="L58" i="1"/>
  <c r="AD51" i="1"/>
  <c r="AL59" i="1"/>
  <c r="D17" i="1"/>
  <c r="AD12" i="1"/>
  <c r="AL24" i="1"/>
  <c r="D59" i="1"/>
  <c r="L18" i="1"/>
  <c r="AL44" i="1"/>
  <c r="AL19" i="1"/>
  <c r="AE31" i="1"/>
  <c r="AL41" i="1"/>
  <c r="E8" i="1"/>
  <c r="CE4" i="1"/>
  <c r="L42" i="1"/>
  <c r="AD36" i="1"/>
  <c r="D9" i="1"/>
  <c r="AL29" i="1"/>
  <c r="AD17" i="1"/>
  <c r="AD44" i="1"/>
  <c r="AC26" i="1"/>
  <c r="AL32" i="1"/>
  <c r="AD56" i="1"/>
  <c r="AE43" i="1"/>
  <c r="AE26" i="1"/>
  <c r="AD25" i="1"/>
  <c r="AD14" i="1"/>
  <c r="AC59" i="1"/>
  <c r="AD47" i="1"/>
  <c r="AL16" i="1"/>
  <c r="AC37" i="1"/>
  <c r="L10" i="1"/>
  <c r="AL27" i="1"/>
  <c r="AE38" i="1"/>
  <c r="L26" i="1"/>
  <c r="L34" i="1"/>
  <c r="AL38" i="1"/>
  <c r="E14" i="1"/>
  <c r="AE25" i="1"/>
  <c r="AD58" i="1"/>
  <c r="AL30" i="1"/>
  <c r="L22" i="1"/>
  <c r="E36" i="1"/>
  <c r="AE21" i="1"/>
  <c r="D21" i="1"/>
  <c r="L57" i="1"/>
  <c r="D32" i="1"/>
  <c r="L32" i="1"/>
  <c r="AE11" i="1"/>
  <c r="AC44" i="1"/>
  <c r="D36" i="1"/>
  <c r="L50" i="1"/>
  <c r="L53" i="1"/>
  <c r="L37" i="1"/>
  <c r="AE48" i="1"/>
  <c r="AL34" i="1"/>
  <c r="L9" i="1"/>
  <c r="E22" i="1"/>
  <c r="L49" i="1"/>
  <c r="R81" i="1"/>
  <c r="L25" i="1"/>
  <c r="D33" i="1"/>
  <c r="CG4" i="1"/>
  <c r="AC52" i="1"/>
  <c r="L15" i="1"/>
  <c r="L47" i="1"/>
  <c r="R65" i="1"/>
  <c r="AL33" i="1"/>
  <c r="AC8" i="1"/>
  <c r="R60" i="1"/>
  <c r="A22" i="1" l="1"/>
  <c r="A24" i="1"/>
  <c r="A25" i="1"/>
  <c r="AP22" i="1"/>
  <c r="AP23" i="1"/>
  <c r="AP21" i="1"/>
  <c r="A40" i="1"/>
  <c r="AP51" i="1"/>
  <c r="A6" i="1"/>
  <c r="A29" i="1"/>
  <c r="A8" i="1"/>
  <c r="A12" i="1"/>
  <c r="A15" i="1"/>
  <c r="A10" i="1"/>
  <c r="A14" i="1"/>
  <c r="A19" i="1"/>
  <c r="A11" i="1"/>
  <c r="A28" i="1"/>
  <c r="A7" i="1"/>
  <c r="A9" i="1"/>
  <c r="A18" i="1"/>
  <c r="A23" i="1"/>
  <c r="A27" i="1"/>
  <c r="A30" i="1"/>
  <c r="A26" i="1"/>
  <c r="A31" i="1"/>
  <c r="A13" i="1"/>
  <c r="A17" i="1"/>
  <c r="A21" i="1"/>
  <c r="A32" i="1"/>
  <c r="A33" i="1"/>
  <c r="A16" i="1"/>
  <c r="A20" i="1"/>
  <c r="A34" i="1"/>
  <c r="A36" i="1"/>
  <c r="A35" i="1"/>
  <c r="A39" i="1"/>
  <c r="A38" i="1"/>
  <c r="A37" i="1"/>
  <c r="A41" i="1"/>
  <c r="A45" i="1"/>
  <c r="A44" i="1"/>
  <c r="A51" i="1"/>
  <c r="A42" i="1"/>
  <c r="A43" i="1"/>
  <c r="A49" i="1"/>
  <c r="A47" i="1"/>
  <c r="A50" i="1"/>
  <c r="A54" i="1"/>
  <c r="A57" i="1"/>
  <c r="A59" i="1"/>
  <c r="A53" i="1"/>
  <c r="A58" i="1"/>
  <c r="A46" i="1"/>
  <c r="A48" i="1"/>
  <c r="A52" i="1"/>
  <c r="A56" i="1"/>
  <c r="A55" i="1"/>
  <c r="CH4" i="1"/>
  <c r="CI4" i="1" s="1"/>
  <c r="BY5" i="1"/>
  <c r="BW5" i="1"/>
  <c r="BV5" i="1"/>
  <c r="BU5" i="1"/>
  <c r="BS5" i="1"/>
  <c r="BR5" i="1"/>
  <c r="BT5" i="1"/>
  <c r="BP3" i="1"/>
  <c r="BP2" i="1"/>
  <c r="BX5" i="1" l="1"/>
  <c r="AP25" i="1" l="1"/>
  <c r="AP31" i="1"/>
  <c r="AP24" i="1"/>
  <c r="AP30" i="1"/>
  <c r="AP27" i="1"/>
  <c r="AP29" i="1"/>
  <c r="AP53" i="1"/>
  <c r="AP26" i="1"/>
  <c r="AP33" i="1"/>
  <c r="AP32" i="1"/>
  <c r="AP52" i="1"/>
  <c r="AP28" i="1"/>
  <c r="AP34" i="1"/>
  <c r="AP35" i="1"/>
  <c r="BG5" i="1"/>
  <c r="BC3" i="1"/>
  <c r="BC2" i="1"/>
  <c r="BL5" i="1"/>
  <c r="BJ5" i="1"/>
  <c r="BI5" i="1"/>
  <c r="BH5" i="1"/>
  <c r="BF5" i="1"/>
  <c r="BE5" i="1"/>
  <c r="AG26" i="1"/>
  <c r="G33" i="1"/>
  <c r="G14" i="1"/>
  <c r="J30" i="1"/>
  <c r="AG44" i="1"/>
  <c r="I59" i="1"/>
  <c r="AK54" i="1"/>
  <c r="K30" i="1"/>
  <c r="AK35" i="1"/>
  <c r="AF38" i="1"/>
  <c r="K19" i="1"/>
  <c r="AK31" i="1"/>
  <c r="AF46" i="1"/>
  <c r="AF14" i="1"/>
  <c r="AG39" i="1"/>
  <c r="K22" i="1"/>
  <c r="K59" i="1"/>
  <c r="K55" i="1"/>
  <c r="AG35" i="1"/>
  <c r="G21" i="1"/>
  <c r="AG58" i="1"/>
  <c r="AH41" i="1"/>
  <c r="AF31" i="1"/>
  <c r="K57" i="1"/>
  <c r="G50" i="1"/>
  <c r="I11" i="1"/>
  <c r="J47" i="1"/>
  <c r="AF10" i="1"/>
  <c r="I36" i="1"/>
  <c r="AH27" i="1"/>
  <c r="AF34" i="1"/>
  <c r="AF49" i="1"/>
  <c r="AI53" i="1"/>
  <c r="AF52" i="1"/>
  <c r="AH20" i="1"/>
  <c r="I29" i="1"/>
  <c r="AK45" i="1"/>
  <c r="AH25" i="1"/>
  <c r="H55" i="1"/>
  <c r="J44" i="1"/>
  <c r="I35" i="1"/>
  <c r="AF21" i="1"/>
  <c r="G23" i="1"/>
  <c r="AF19" i="1"/>
  <c r="AG10" i="1"/>
  <c r="AF17" i="1"/>
  <c r="H45" i="1"/>
  <c r="H47" i="1"/>
  <c r="AF15" i="1"/>
  <c r="AI41" i="1"/>
  <c r="AG41" i="1"/>
  <c r="G53" i="1"/>
  <c r="AJ7" i="1"/>
  <c r="AJ25" i="1"/>
  <c r="AG6" i="1"/>
  <c r="AG19" i="1"/>
  <c r="AI38" i="1"/>
  <c r="AG12" i="1"/>
  <c r="AH50" i="1"/>
  <c r="AH9" i="1"/>
  <c r="AI16" i="1"/>
  <c r="AI6" i="1"/>
  <c r="AH11" i="1"/>
  <c r="G19" i="1"/>
  <c r="J11" i="1"/>
  <c r="H37" i="1"/>
  <c r="AF55" i="1"/>
  <c r="I8" i="1"/>
  <c r="AF24" i="1"/>
  <c r="G8" i="1"/>
  <c r="AK17" i="1"/>
  <c r="AH28" i="1"/>
  <c r="AF23" i="1"/>
  <c r="H15" i="1"/>
  <c r="I42" i="1"/>
  <c r="AI7" i="1"/>
  <c r="G27" i="1"/>
  <c r="AI23" i="1"/>
  <c r="I28" i="1"/>
  <c r="G31" i="1"/>
  <c r="H11" i="1"/>
  <c r="J14" i="1"/>
  <c r="J43" i="1"/>
  <c r="AJ35" i="1"/>
  <c r="J34" i="1"/>
  <c r="K52" i="1"/>
  <c r="AI56" i="1"/>
  <c r="J6" i="1"/>
  <c r="AJ48" i="1"/>
  <c r="AK39" i="1"/>
  <c r="H49" i="1"/>
  <c r="AI12" i="1"/>
  <c r="AJ27" i="1"/>
  <c r="K20" i="1"/>
  <c r="AH48" i="1"/>
  <c r="AG54" i="1"/>
  <c r="AG24" i="1"/>
  <c r="AG50" i="1"/>
  <c r="AI11" i="1"/>
  <c r="AG36" i="1"/>
  <c r="K56" i="1"/>
  <c r="AF44" i="1"/>
  <c r="AK37" i="1"/>
  <c r="AI19" i="1"/>
  <c r="AH55" i="1"/>
  <c r="K41" i="1"/>
  <c r="G55" i="1"/>
  <c r="K12" i="1"/>
  <c r="J23" i="1"/>
  <c r="AJ54" i="1"/>
  <c r="AI15" i="1"/>
  <c r="AF41" i="1"/>
  <c r="J9" i="1"/>
  <c r="AH47" i="1"/>
  <c r="I43" i="1"/>
  <c r="AJ24" i="1"/>
  <c r="G43" i="1"/>
  <c r="AG28" i="1"/>
  <c r="I56" i="1"/>
  <c r="G58" i="1"/>
  <c r="I30" i="1"/>
  <c r="AG21" i="1"/>
  <c r="AF16" i="1"/>
  <c r="AJ29" i="1"/>
  <c r="G10" i="1"/>
  <c r="K33" i="1"/>
  <c r="AK33" i="1"/>
  <c r="H29" i="1"/>
  <c r="AG37" i="1"/>
  <c r="AH59" i="1"/>
  <c r="H57" i="1"/>
  <c r="I12" i="1"/>
  <c r="AJ43" i="1"/>
  <c r="G37" i="1"/>
  <c r="AG14" i="1"/>
  <c r="AK41" i="1"/>
  <c r="AI55" i="1"/>
  <c r="J54" i="1"/>
  <c r="AF50" i="1"/>
  <c r="I52" i="1"/>
  <c r="AK16" i="1"/>
  <c r="AG20" i="1"/>
  <c r="AG48" i="1"/>
  <c r="AH10" i="1"/>
  <c r="J31" i="1"/>
  <c r="K46" i="1"/>
  <c r="K15" i="1"/>
  <c r="AJ30" i="1"/>
  <c r="AG40" i="1"/>
  <c r="AF18" i="1"/>
  <c r="AK13" i="1"/>
  <c r="AK9" i="1"/>
  <c r="AK12" i="1"/>
  <c r="AK46" i="1"/>
  <c r="J10" i="1"/>
  <c r="AH38" i="1"/>
  <c r="AK15" i="1"/>
  <c r="AJ12" i="1"/>
  <c r="AJ36" i="1"/>
  <c r="K7" i="1"/>
  <c r="H9" i="1"/>
  <c r="G39" i="1"/>
  <c r="J13" i="1"/>
  <c r="AH24" i="1"/>
  <c r="I58" i="1"/>
  <c r="AF51" i="1"/>
  <c r="K13" i="1"/>
  <c r="AI20" i="1"/>
  <c r="I17" i="1"/>
  <c r="AJ19" i="1"/>
  <c r="AH12" i="1"/>
  <c r="K31" i="1"/>
  <c r="H41" i="1"/>
  <c r="G11" i="1"/>
  <c r="AJ59" i="1"/>
  <c r="AJ33" i="1"/>
  <c r="J27" i="1"/>
  <c r="AH43" i="1"/>
  <c r="I22" i="1"/>
  <c r="AK36" i="1"/>
  <c r="AI32" i="1"/>
  <c r="AH37" i="1"/>
  <c r="AI14" i="1"/>
  <c r="G59" i="1"/>
  <c r="I27" i="1"/>
  <c r="AJ17" i="1"/>
  <c r="AK55" i="1"/>
  <c r="J8" i="1"/>
  <c r="K34" i="1"/>
  <c r="AF22" i="1"/>
  <c r="AK8" i="1"/>
  <c r="J7" i="1"/>
  <c r="AH13" i="1"/>
  <c r="I32" i="1"/>
  <c r="G22" i="1"/>
  <c r="H35" i="1"/>
  <c r="K48" i="1"/>
  <c r="H19" i="1"/>
  <c r="G35" i="1"/>
  <c r="AI35" i="1"/>
  <c r="AK58" i="1"/>
  <c r="I20" i="1"/>
  <c r="I34" i="1"/>
  <c r="J29" i="1"/>
  <c r="AK44" i="1"/>
  <c r="J35" i="1"/>
  <c r="I38" i="1"/>
  <c r="G40" i="1"/>
  <c r="AJ18" i="1"/>
  <c r="I46" i="1"/>
  <c r="AK22" i="1"/>
  <c r="G46" i="1"/>
  <c r="AK19" i="1"/>
  <c r="AF57" i="1"/>
  <c r="AF48" i="1"/>
  <c r="I41" i="1"/>
  <c r="K10" i="1"/>
  <c r="H30" i="1"/>
  <c r="AI29" i="1"/>
  <c r="J42" i="1"/>
  <c r="AK30" i="1"/>
  <c r="H56" i="1"/>
  <c r="AF6" i="1"/>
  <c r="K45" i="1"/>
  <c r="AI45" i="1"/>
  <c r="AG55" i="1"/>
  <c r="AF40" i="1"/>
  <c r="K35" i="1"/>
  <c r="H39" i="1"/>
  <c r="J51" i="1"/>
  <c r="AI54" i="1"/>
  <c r="AK53" i="1"/>
  <c r="AK56" i="1"/>
  <c r="AI31" i="1"/>
  <c r="AG38" i="1"/>
  <c r="K49" i="1"/>
  <c r="AJ51" i="1"/>
  <c r="AG45" i="1"/>
  <c r="AK20" i="1"/>
  <c r="G18" i="1"/>
  <c r="AF58" i="1"/>
  <c r="AF13" i="1"/>
  <c r="G56" i="1"/>
  <c r="AK29" i="1"/>
  <c r="AF27" i="1"/>
  <c r="AI21" i="1"/>
  <c r="AH15" i="1"/>
  <c r="G26" i="1"/>
  <c r="AH51" i="1"/>
  <c r="AK52" i="1"/>
  <c r="J52" i="1"/>
  <c r="I19" i="1"/>
  <c r="AF25" i="1"/>
  <c r="AJ56" i="1"/>
  <c r="AJ52" i="1"/>
  <c r="AJ42" i="1"/>
  <c r="I13" i="1"/>
  <c r="AF37" i="1"/>
  <c r="H42" i="1"/>
  <c r="I7" i="1"/>
  <c r="AF11" i="1"/>
  <c r="AI26" i="1"/>
  <c r="I57" i="1"/>
  <c r="AG30" i="1"/>
  <c r="K38" i="1"/>
  <c r="G38" i="1"/>
  <c r="AK10" i="1"/>
  <c r="J39" i="1"/>
  <c r="G25" i="1"/>
  <c r="K26" i="1"/>
  <c r="K6" i="1"/>
  <c r="AK24" i="1"/>
  <c r="AH52" i="1"/>
  <c r="K58" i="1"/>
  <c r="AH35" i="1"/>
  <c r="AG53" i="1"/>
  <c r="K44" i="1"/>
  <c r="H7" i="1"/>
  <c r="AK40" i="1"/>
  <c r="AK34" i="1"/>
  <c r="AF9" i="1"/>
  <c r="J20" i="1"/>
  <c r="AJ37" i="1"/>
  <c r="AJ40" i="1"/>
  <c r="AF45" i="1"/>
  <c r="AK51" i="1"/>
  <c r="H27" i="1"/>
  <c r="AJ47" i="1"/>
  <c r="J45" i="1"/>
  <c r="J15" i="1"/>
  <c r="AG15" i="1"/>
  <c r="AK7" i="1"/>
  <c r="AK38" i="1"/>
  <c r="AI13" i="1"/>
  <c r="AF36" i="1"/>
  <c r="AG57" i="1"/>
  <c r="AG32" i="1"/>
  <c r="AJ31" i="1"/>
  <c r="AJ6" i="1"/>
  <c r="K16" i="1"/>
  <c r="G48" i="1"/>
  <c r="AJ26" i="1"/>
  <c r="AF7" i="1"/>
  <c r="AG13" i="1"/>
  <c r="J58" i="1"/>
  <c r="AJ58" i="1"/>
  <c r="J37" i="1"/>
  <c r="J28" i="1"/>
  <c r="AJ16" i="1"/>
  <c r="AG31" i="1"/>
  <c r="J26" i="1"/>
  <c r="G9" i="1"/>
  <c r="AF53" i="1"/>
  <c r="AI44" i="1"/>
  <c r="G45" i="1"/>
  <c r="G16" i="1"/>
  <c r="J19" i="1"/>
  <c r="AH31" i="1"/>
  <c r="H17" i="1"/>
  <c r="J21" i="1"/>
  <c r="I10" i="1"/>
  <c r="H13" i="1"/>
  <c r="H34" i="1"/>
  <c r="I45" i="1"/>
  <c r="AJ22" i="1"/>
  <c r="J40" i="1"/>
  <c r="G34" i="1"/>
  <c r="AG27" i="1"/>
  <c r="AK23" i="1"/>
  <c r="I51" i="1"/>
  <c r="G47" i="1"/>
  <c r="AF42" i="1"/>
  <c r="K9" i="1"/>
  <c r="I47" i="1"/>
  <c r="AK21" i="1"/>
  <c r="AK49" i="1"/>
  <c r="AJ23" i="1"/>
  <c r="AG16" i="1"/>
  <c r="K32" i="1"/>
  <c r="AG47" i="1"/>
  <c r="I16" i="1"/>
  <c r="AJ38" i="1"/>
  <c r="G7" i="1"/>
  <c r="G20" i="1"/>
  <c r="K43" i="1"/>
  <c r="G30" i="1"/>
  <c r="AF30" i="1"/>
  <c r="AK28" i="1"/>
  <c r="AG34" i="1"/>
  <c r="K23" i="1"/>
  <c r="AJ28" i="1"/>
  <c r="H31" i="1"/>
  <c r="G44" i="1"/>
  <c r="AH39" i="1"/>
  <c r="G28" i="1"/>
  <c r="AI30" i="1"/>
  <c r="AH17" i="1"/>
  <c r="J25" i="1"/>
  <c r="AH8" i="1"/>
  <c r="K47" i="1"/>
  <c r="I54" i="1"/>
  <c r="G49" i="1"/>
  <c r="AG43" i="1"/>
  <c r="AK50" i="1"/>
  <c r="AI24" i="1"/>
  <c r="AH57" i="1"/>
  <c r="AH40" i="1"/>
  <c r="AG18" i="1"/>
  <c r="K51" i="1"/>
  <c r="AJ15" i="1"/>
  <c r="K28" i="1"/>
  <c r="AJ45" i="1"/>
  <c r="AI37" i="1"/>
  <c r="AJ21" i="1"/>
  <c r="K42" i="1"/>
  <c r="H58" i="1"/>
  <c r="AJ57" i="1"/>
  <c r="AK18" i="1"/>
  <c r="AI40" i="1"/>
  <c r="AF54" i="1"/>
  <c r="J53" i="1"/>
  <c r="K54" i="1"/>
  <c r="K40" i="1"/>
  <c r="J38" i="1"/>
  <c r="AI9" i="1"/>
  <c r="AH56" i="1"/>
  <c r="I48" i="1"/>
  <c r="G36" i="1"/>
  <c r="K27" i="1"/>
  <c r="AH54" i="1"/>
  <c r="AH19" i="1"/>
  <c r="AF39" i="1"/>
  <c r="AG7" i="1"/>
  <c r="AI34" i="1"/>
  <c r="H24" i="1"/>
  <c r="AH42" i="1"/>
  <c r="AK59" i="1"/>
  <c r="AF12" i="1"/>
  <c r="AH53" i="1"/>
  <c r="AI57" i="1"/>
  <c r="AH21" i="1"/>
  <c r="I9" i="1"/>
  <c r="AJ50" i="1"/>
  <c r="I50" i="1"/>
  <c r="AF35" i="1"/>
  <c r="K36" i="1"/>
  <c r="H25" i="1"/>
  <c r="AJ20" i="1"/>
  <c r="AH22" i="1"/>
  <c r="AH44" i="1"/>
  <c r="AJ34" i="1"/>
  <c r="G24" i="1"/>
  <c r="AJ10" i="1"/>
  <c r="AI49" i="1"/>
  <c r="H38" i="1"/>
  <c r="H14" i="1"/>
  <c r="J55" i="1"/>
  <c r="H21" i="1"/>
  <c r="AH6" i="1"/>
  <c r="I44" i="1"/>
  <c r="J24" i="1"/>
  <c r="AI25" i="1"/>
  <c r="AK57" i="1"/>
  <c r="AF26" i="1"/>
  <c r="H36" i="1"/>
  <c r="AI33" i="1"/>
  <c r="G15" i="1"/>
  <c r="AG59" i="1"/>
  <c r="AJ41" i="1"/>
  <c r="H54" i="1"/>
  <c r="H20" i="1"/>
  <c r="K39" i="1"/>
  <c r="AI50" i="1"/>
  <c r="H6" i="1"/>
  <c r="AH45" i="1"/>
  <c r="AK47" i="1"/>
  <c r="AG51" i="1"/>
  <c r="H44" i="1"/>
  <c r="AI58" i="1"/>
  <c r="AI48" i="1"/>
  <c r="G29" i="1"/>
  <c r="K17" i="1"/>
  <c r="J59" i="1"/>
  <c r="K37" i="1"/>
  <c r="AK48" i="1"/>
  <c r="H33" i="1"/>
  <c r="AK14" i="1"/>
  <c r="J33" i="1"/>
  <c r="J50" i="1"/>
  <c r="AH58" i="1"/>
  <c r="H10" i="1"/>
  <c r="AK6" i="1"/>
  <c r="AH23" i="1"/>
  <c r="AG33" i="1"/>
  <c r="AH30" i="1"/>
  <c r="AJ44" i="1"/>
  <c r="J57" i="1"/>
  <c r="I26" i="1"/>
  <c r="AJ9" i="1"/>
  <c r="AJ11" i="1"/>
  <c r="AH29" i="1"/>
  <c r="H26" i="1"/>
  <c r="AI39" i="1"/>
  <c r="G12" i="1"/>
  <c r="K21" i="1"/>
  <c r="AH46" i="1"/>
  <c r="AF20" i="1"/>
  <c r="AH7" i="1"/>
  <c r="H50" i="1"/>
  <c r="AH33" i="1"/>
  <c r="I39" i="1"/>
  <c r="AJ8" i="1"/>
  <c r="AG25" i="1"/>
  <c r="AK25" i="1"/>
  <c r="J16" i="1"/>
  <c r="J18" i="1"/>
  <c r="AI42" i="1"/>
  <c r="I24" i="1"/>
  <c r="AH32" i="1"/>
  <c r="H59" i="1"/>
  <c r="G51" i="1"/>
  <c r="G54" i="1"/>
  <c r="K8" i="1"/>
  <c r="AG56" i="1"/>
  <c r="AJ39" i="1"/>
  <c r="H52" i="1"/>
  <c r="I37" i="1"/>
  <c r="K29" i="1"/>
  <c r="I21" i="1"/>
  <c r="H16" i="1"/>
  <c r="H40" i="1"/>
  <c r="G41" i="1"/>
  <c r="I15" i="1"/>
  <c r="J22" i="1"/>
  <c r="AH49" i="1"/>
  <c r="AG8" i="1"/>
  <c r="J56" i="1"/>
  <c r="AF43" i="1"/>
  <c r="AF28" i="1"/>
  <c r="AI27" i="1"/>
  <c r="J41" i="1"/>
  <c r="AI22" i="1"/>
  <c r="AJ14" i="1"/>
  <c r="AG11" i="1"/>
  <c r="AH34" i="1"/>
  <c r="G6" i="1"/>
  <c r="K24" i="1"/>
  <c r="AG23" i="1"/>
  <c r="I23" i="1"/>
  <c r="AG9" i="1"/>
  <c r="AK42" i="1"/>
  <c r="K11" i="1"/>
  <c r="AK27" i="1"/>
  <c r="AJ53" i="1"/>
  <c r="H51" i="1"/>
  <c r="J46" i="1"/>
  <c r="G52" i="1"/>
  <c r="AF32" i="1"/>
  <c r="I25" i="1"/>
  <c r="K25" i="1"/>
  <c r="AG29" i="1"/>
  <c r="H48" i="1"/>
  <c r="H18" i="1"/>
  <c r="I55" i="1"/>
  <c r="K18" i="1"/>
  <c r="AI59" i="1"/>
  <c r="H32" i="1"/>
  <c r="AF29" i="1"/>
  <c r="G42" i="1"/>
  <c r="H28" i="1"/>
  <c r="AK43" i="1"/>
  <c r="AI47" i="1"/>
  <c r="AI51" i="1"/>
  <c r="I40" i="1"/>
  <c r="J48" i="1"/>
  <c r="AF59" i="1"/>
  <c r="AG22" i="1"/>
  <c r="AF8" i="1"/>
  <c r="I6" i="1"/>
  <c r="AH14" i="1"/>
  <c r="G57" i="1"/>
  <c r="AI28" i="1"/>
  <c r="AG46" i="1"/>
  <c r="AI43" i="1"/>
  <c r="K14" i="1"/>
  <c r="I14" i="1"/>
  <c r="J32" i="1"/>
  <c r="I53" i="1"/>
  <c r="G32" i="1"/>
  <c r="H8" i="1"/>
  <c r="G17" i="1"/>
  <c r="AI52" i="1"/>
  <c r="AI17" i="1"/>
  <c r="J12" i="1"/>
  <c r="AI18" i="1"/>
  <c r="AG52" i="1"/>
  <c r="AI36" i="1"/>
  <c r="AK26" i="1"/>
  <c r="J17" i="1"/>
  <c r="AJ46" i="1"/>
  <c r="AI8" i="1"/>
  <c r="H22" i="1"/>
  <c r="H23" i="1"/>
  <c r="AK32" i="1"/>
  <c r="AG42" i="1"/>
  <c r="J36" i="1"/>
  <c r="AI46" i="1"/>
  <c r="AH18" i="1"/>
  <c r="I33" i="1"/>
  <c r="K53" i="1"/>
  <c r="AF33" i="1"/>
  <c r="I18" i="1"/>
  <c r="AJ32" i="1"/>
  <c r="AJ49" i="1"/>
  <c r="AH16" i="1"/>
  <c r="H12" i="1"/>
  <c r="I49" i="1"/>
  <c r="H43" i="1"/>
  <c r="AI10" i="1"/>
  <c r="AF47" i="1"/>
  <c r="AF56" i="1"/>
  <c r="H46" i="1"/>
  <c r="I31" i="1"/>
  <c r="G13" i="1"/>
  <c r="AJ13" i="1"/>
  <c r="AJ55" i="1"/>
  <c r="H53" i="1"/>
  <c r="AK11" i="1"/>
  <c r="AG49" i="1"/>
  <c r="K50" i="1"/>
  <c r="AH36" i="1"/>
  <c r="J49" i="1"/>
  <c r="AG17" i="1"/>
  <c r="AH26" i="1"/>
  <c r="G2" i="1"/>
  <c r="AP58" i="1" l="1"/>
  <c r="AP55" i="1"/>
  <c r="AP59" i="1"/>
  <c r="AP56" i="1"/>
  <c r="AP54" i="1"/>
  <c r="AP57" i="1"/>
  <c r="AK3" i="1"/>
  <c r="AP16" i="1"/>
  <c r="AP8" i="1"/>
  <c r="AP49" i="1"/>
  <c r="AP36" i="1"/>
  <c r="AP18" i="1"/>
  <c r="AP6" i="1"/>
  <c r="AP15" i="1"/>
  <c r="AP37" i="1"/>
  <c r="AP17" i="1"/>
  <c r="AP39" i="1"/>
  <c r="AP9" i="1"/>
  <c r="AP19" i="1"/>
  <c r="AP11" i="1"/>
  <c r="AP7" i="1"/>
  <c r="AP20" i="1"/>
  <c r="AP38" i="1"/>
  <c r="AP43" i="1"/>
  <c r="AP10" i="1"/>
  <c r="AP41" i="1"/>
  <c r="AP50" i="1"/>
  <c r="AP44" i="1"/>
  <c r="AP42" i="1"/>
  <c r="AP45" i="1"/>
  <c r="AP46" i="1"/>
  <c r="AP40" i="1"/>
  <c r="AP13" i="1"/>
  <c r="AP48" i="1"/>
  <c r="AP47" i="1"/>
  <c r="AP12" i="1"/>
  <c r="AP14" i="1"/>
  <c r="AD2" i="1"/>
  <c r="AR2" i="1"/>
  <c r="BK5" i="1"/>
  <c r="F36" i="1"/>
  <c r="F53" i="1"/>
  <c r="F34" i="1"/>
  <c r="F35" i="1"/>
  <c r="F32" i="1"/>
  <c r="F55" i="1"/>
  <c r="F33" i="1"/>
  <c r="F56" i="1"/>
  <c r="F54" i="1"/>
  <c r="F50" i="1"/>
  <c r="F45" i="1"/>
  <c r="F21" i="1"/>
  <c r="F14" i="1"/>
  <c r="F27" i="1"/>
  <c r="F58" i="1"/>
  <c r="F46" i="1"/>
  <c r="F43" i="1"/>
  <c r="F24" i="1"/>
  <c r="F6" i="1"/>
  <c r="F30" i="1"/>
  <c r="F7" i="1"/>
  <c r="F40" i="1"/>
  <c r="F22" i="1"/>
  <c r="F44" i="1"/>
  <c r="F13" i="1"/>
  <c r="F18" i="1"/>
  <c r="F25" i="1"/>
  <c r="F42" i="1"/>
  <c r="F51" i="1"/>
  <c r="F8" i="1"/>
  <c r="F23" i="1"/>
  <c r="F59" i="1"/>
  <c r="F52" i="1"/>
  <c r="F29" i="1"/>
  <c r="F17" i="1"/>
  <c r="F41" i="1"/>
  <c r="F38" i="1"/>
  <c r="F11" i="1"/>
  <c r="F57" i="1"/>
  <c r="F31" i="1"/>
  <c r="F48" i="1"/>
  <c r="F47" i="1"/>
  <c r="F20" i="1"/>
  <c r="F19" i="1"/>
  <c r="F9" i="1"/>
  <c r="F49" i="1"/>
  <c r="F39" i="1"/>
  <c r="F16" i="1"/>
  <c r="F28" i="1"/>
  <c r="F12" i="1"/>
  <c r="F26" i="1"/>
  <c r="F15" i="1"/>
  <c r="F37" i="1"/>
  <c r="F10" i="1"/>
  <c r="AR7" i="1"/>
  <c r="AR86" i="1"/>
  <c r="AR49" i="1"/>
  <c r="R21" i="1"/>
  <c r="AR57" i="1"/>
  <c r="AR82" i="1"/>
  <c r="R51" i="1"/>
  <c r="AR45" i="1"/>
  <c r="R34" i="1"/>
  <c r="AR37" i="1"/>
  <c r="R49" i="1"/>
  <c r="AR73" i="1"/>
  <c r="R11" i="1"/>
  <c r="AR72" i="1"/>
  <c r="AR63" i="1"/>
  <c r="R20" i="1"/>
  <c r="R23" i="1"/>
  <c r="R28" i="1"/>
  <c r="R32" i="1"/>
  <c r="AR43" i="1"/>
  <c r="AR68" i="1"/>
  <c r="AR13" i="1"/>
  <c r="R55" i="1"/>
  <c r="AR38" i="1"/>
  <c r="AR42" i="1"/>
  <c r="AR12" i="1"/>
  <c r="R42" i="1"/>
  <c r="AR48" i="1"/>
  <c r="AR69" i="1"/>
  <c r="R26" i="1"/>
  <c r="AR53" i="1"/>
  <c r="R39" i="1"/>
  <c r="AR20" i="1"/>
  <c r="AR94" i="1"/>
  <c r="AR25" i="1"/>
  <c r="AR34" i="1"/>
  <c r="R13" i="1"/>
  <c r="R46" i="1"/>
  <c r="R45" i="1"/>
  <c r="R25" i="1"/>
  <c r="R50" i="1"/>
  <c r="R53" i="1"/>
  <c r="R29" i="1"/>
  <c r="R9" i="1"/>
  <c r="AR44" i="1"/>
  <c r="AR65" i="1"/>
  <c r="AR40" i="1"/>
  <c r="AR52" i="1"/>
  <c r="R38" i="1"/>
  <c r="AR77" i="1"/>
  <c r="R30" i="1"/>
  <c r="AR31" i="1"/>
  <c r="AR56" i="1"/>
  <c r="AR84" i="1"/>
  <c r="AR35" i="1"/>
  <c r="AR22" i="1"/>
  <c r="AR15" i="1"/>
  <c r="AR83" i="1"/>
  <c r="R43" i="1"/>
  <c r="AR36" i="1"/>
  <c r="R44" i="1"/>
  <c r="AR23" i="1"/>
  <c r="R14" i="1"/>
  <c r="AR18" i="1"/>
  <c r="AR74" i="1"/>
  <c r="AR8" i="1"/>
  <c r="AR54" i="1"/>
  <c r="F2" i="1"/>
  <c r="R57" i="1"/>
  <c r="AR26" i="1"/>
  <c r="R59" i="1"/>
  <c r="AR64" i="1"/>
  <c r="AR91" i="1"/>
  <c r="AR90" i="1"/>
  <c r="AR70" i="1"/>
  <c r="AR30" i="1"/>
  <c r="AR33" i="1"/>
  <c r="R22" i="1"/>
  <c r="AR88" i="1"/>
  <c r="R37" i="1"/>
  <c r="R7" i="1"/>
  <c r="AR89" i="1"/>
  <c r="R41" i="1"/>
  <c r="R52" i="1"/>
  <c r="AR10" i="1"/>
  <c r="AR51" i="1"/>
  <c r="R56" i="1"/>
  <c r="AR50" i="1"/>
  <c r="AR14" i="1"/>
  <c r="AR39" i="1"/>
  <c r="R18" i="1"/>
  <c r="R10" i="1"/>
  <c r="AR93" i="1"/>
  <c r="AR81" i="1"/>
  <c r="R40" i="1"/>
  <c r="R58" i="1"/>
  <c r="AR62" i="1"/>
  <c r="R15" i="1"/>
  <c r="R54" i="1"/>
  <c r="AR66" i="1"/>
  <c r="R19" i="1"/>
  <c r="AR92" i="1"/>
  <c r="R48" i="1"/>
  <c r="R36" i="1"/>
  <c r="AR16" i="1"/>
  <c r="AR61" i="1"/>
  <c r="AR59" i="1"/>
  <c r="AR85" i="1"/>
  <c r="AR21" i="1"/>
  <c r="R31" i="1"/>
  <c r="AR76" i="1"/>
  <c r="R47" i="1"/>
  <c r="R16" i="1"/>
  <c r="R8" i="1"/>
  <c r="AR78" i="1"/>
  <c r="AR9" i="1"/>
  <c r="AR11" i="1"/>
  <c r="AR41" i="1"/>
  <c r="AR80" i="1"/>
  <c r="AR28" i="1"/>
  <c r="AR71" i="1"/>
  <c r="AR47" i="1"/>
  <c r="R24" i="1"/>
  <c r="AR17" i="1"/>
  <c r="AR55" i="1"/>
  <c r="AR87" i="1"/>
  <c r="R17" i="1"/>
  <c r="R12" i="1"/>
  <c r="AR6" i="1"/>
  <c r="AR29" i="1"/>
  <c r="AR60" i="1"/>
  <c r="AR58" i="1"/>
  <c r="R35" i="1"/>
  <c r="AR79" i="1"/>
  <c r="R33" i="1"/>
  <c r="AR95" i="1"/>
  <c r="AR19" i="1"/>
  <c r="R6" i="1"/>
  <c r="AR75" i="1"/>
  <c r="AR46" i="1"/>
  <c r="R27" i="1"/>
  <c r="AR27" i="1"/>
  <c r="AR67" i="1"/>
  <c r="AR24" i="1"/>
  <c r="AR32" i="1"/>
  <c r="S94" i="1" l="1"/>
  <c r="T94" i="1" s="1"/>
  <c r="S84" i="1"/>
  <c r="T84" i="1" s="1"/>
  <c r="M86" i="1"/>
  <c r="O86" i="1" s="1"/>
  <c r="Q86" i="1" s="1"/>
  <c r="S82" i="1"/>
  <c r="T82" i="1" s="1"/>
  <c r="M92" i="1"/>
  <c r="O92" i="1" s="1"/>
  <c r="Q92" i="1" s="1"/>
  <c r="S91" i="1"/>
  <c r="T91" i="1" s="1"/>
  <c r="S92" i="1"/>
  <c r="T92" i="1" s="1"/>
  <c r="M83" i="1"/>
  <c r="O83" i="1" s="1"/>
  <c r="Q83" i="1" s="1"/>
  <c r="M94" i="1"/>
  <c r="O94" i="1" s="1"/>
  <c r="Q94" i="1" s="1"/>
  <c r="M95" i="1"/>
  <c r="O95" i="1" s="1"/>
  <c r="Q95" i="1" s="1"/>
  <c r="M93" i="1"/>
  <c r="O93" i="1" s="1"/>
  <c r="Q93" i="1" s="1"/>
  <c r="M84" i="1"/>
  <c r="O84" i="1" s="1"/>
  <c r="Q84" i="1" s="1"/>
  <c r="M85" i="1"/>
  <c r="O85" i="1" s="1"/>
  <c r="Q85" i="1" s="1"/>
  <c r="S87" i="1"/>
  <c r="T87" i="1" s="1"/>
  <c r="S85" i="1"/>
  <c r="T85" i="1" s="1"/>
  <c r="M87" i="1"/>
  <c r="O87" i="1" s="1"/>
  <c r="Q87" i="1" s="1"/>
  <c r="M90" i="1"/>
  <c r="O90" i="1" s="1"/>
  <c r="Q90" i="1" s="1"/>
  <c r="S86" i="1"/>
  <c r="T86" i="1" s="1"/>
  <c r="S88" i="1"/>
  <c r="T88" i="1" s="1"/>
  <c r="M88" i="1"/>
  <c r="O88" i="1" s="1"/>
  <c r="Q88" i="1" s="1"/>
  <c r="S95" i="1"/>
  <c r="T95" i="1" s="1"/>
  <c r="S90" i="1"/>
  <c r="T90" i="1" s="1"/>
  <c r="S89" i="1"/>
  <c r="T89" i="1" s="1"/>
  <c r="M91" i="1"/>
  <c r="O91" i="1" s="1"/>
  <c r="Q91" i="1" s="1"/>
  <c r="M82" i="1"/>
  <c r="O82" i="1" s="1"/>
  <c r="Q82" i="1" s="1"/>
  <c r="M89" i="1"/>
  <c r="O89" i="1" s="1"/>
  <c r="Q89" i="1" s="1"/>
  <c r="S83" i="1"/>
  <c r="T83" i="1" s="1"/>
  <c r="S93" i="1"/>
  <c r="T93" i="1" s="1"/>
  <c r="AG3" i="1"/>
  <c r="AI3" i="1"/>
  <c r="E2" i="1"/>
  <c r="AF3" i="1" s="1"/>
  <c r="AM80" i="1"/>
  <c r="AO80" i="1" s="1"/>
  <c r="AQ80" i="1" s="1"/>
  <c r="AS80" i="1"/>
  <c r="AM78" i="1"/>
  <c r="AO78" i="1" s="1"/>
  <c r="AQ78" i="1" s="1"/>
  <c r="AM79" i="1"/>
  <c r="AO79" i="1" s="1"/>
  <c r="AQ79" i="1" s="1"/>
  <c r="AS78" i="1"/>
  <c r="AS81" i="1"/>
  <c r="AS79" i="1"/>
  <c r="AM81" i="1"/>
  <c r="AO81" i="1" s="1"/>
  <c r="AQ81" i="1" s="1"/>
  <c r="M78" i="1"/>
  <c r="O78" i="1" s="1"/>
  <c r="Q78" i="1" s="1"/>
  <c r="S80" i="1"/>
  <c r="M79" i="1"/>
  <c r="O79" i="1" s="1"/>
  <c r="Q79" i="1" s="1"/>
  <c r="S81" i="1"/>
  <c r="M80" i="1"/>
  <c r="O80" i="1" s="1"/>
  <c r="Q80" i="1" s="1"/>
  <c r="S78" i="1"/>
  <c r="M81" i="1"/>
  <c r="O81" i="1" s="1"/>
  <c r="Q81" i="1" s="1"/>
  <c r="S79" i="1"/>
  <c r="AM60" i="1"/>
  <c r="AO60" i="1" s="1"/>
  <c r="AQ60" i="1" s="1"/>
  <c r="AM76" i="1"/>
  <c r="AO76" i="1" s="1"/>
  <c r="AQ76" i="1" s="1"/>
  <c r="AM69" i="1"/>
  <c r="AO69" i="1" s="1"/>
  <c r="AQ69" i="1" s="1"/>
  <c r="AS73" i="1"/>
  <c r="AS70" i="1"/>
  <c r="AS65" i="1"/>
  <c r="AS76" i="1"/>
  <c r="AM71" i="1"/>
  <c r="AO71" i="1" s="1"/>
  <c r="AQ71" i="1" s="1"/>
  <c r="AM70" i="1"/>
  <c r="AO70" i="1" s="1"/>
  <c r="AQ70" i="1" s="1"/>
  <c r="AM77" i="1"/>
  <c r="AO77" i="1" s="1"/>
  <c r="AQ77" i="1" s="1"/>
  <c r="AS60" i="1"/>
  <c r="AM65" i="1"/>
  <c r="AO65" i="1" s="1"/>
  <c r="AQ65" i="1" s="1"/>
  <c r="AS67" i="1"/>
  <c r="AM72" i="1"/>
  <c r="AO72" i="1" s="1"/>
  <c r="AQ72" i="1" s="1"/>
  <c r="AS61" i="1"/>
  <c r="AS62" i="1"/>
  <c r="AS77" i="1"/>
  <c r="AS75" i="1"/>
  <c r="AS63" i="1"/>
  <c r="AM67" i="1"/>
  <c r="AO67" i="1" s="1"/>
  <c r="AQ67" i="1" s="1"/>
  <c r="AS72" i="1"/>
  <c r="AM61" i="1"/>
  <c r="AO61" i="1" s="1"/>
  <c r="AQ61" i="1" s="1"/>
  <c r="AS74" i="1"/>
  <c r="AM63" i="1"/>
  <c r="AO63" i="1" s="1"/>
  <c r="AQ63" i="1" s="1"/>
  <c r="AM68" i="1"/>
  <c r="AO68" i="1" s="1"/>
  <c r="AQ68" i="1" s="1"/>
  <c r="AM62" i="1"/>
  <c r="AO62" i="1" s="1"/>
  <c r="AQ62" i="1" s="1"/>
  <c r="AM64" i="1"/>
  <c r="AO64" i="1" s="1"/>
  <c r="AQ64" i="1" s="1"/>
  <c r="AS68" i="1"/>
  <c r="AS66" i="1"/>
  <c r="AM75" i="1"/>
  <c r="AO75" i="1" s="1"/>
  <c r="AQ75" i="1" s="1"/>
  <c r="AS71" i="1"/>
  <c r="AM74" i="1"/>
  <c r="AO74" i="1" s="1"/>
  <c r="AQ74" i="1" s="1"/>
  <c r="AS64" i="1"/>
  <c r="AS69" i="1"/>
  <c r="AM73" i="1"/>
  <c r="AO73" i="1" s="1"/>
  <c r="AQ73" i="1" s="1"/>
  <c r="AM66" i="1"/>
  <c r="AO66" i="1" s="1"/>
  <c r="AQ66" i="1" s="1"/>
  <c r="M70" i="1"/>
  <c r="O70" i="1" s="1"/>
  <c r="Q70" i="1" s="1"/>
  <c r="S69" i="1"/>
  <c r="S73" i="1"/>
  <c r="M68" i="1"/>
  <c r="O68" i="1" s="1"/>
  <c r="Q68" i="1" s="1"/>
  <c r="S67" i="1"/>
  <c r="S76" i="1"/>
  <c r="S62" i="1"/>
  <c r="S66" i="1"/>
  <c r="M76" i="1"/>
  <c r="O76" i="1" s="1"/>
  <c r="Q76" i="1" s="1"/>
  <c r="S75" i="1"/>
  <c r="M73" i="1"/>
  <c r="O73" i="1" s="1"/>
  <c r="Q73" i="1" s="1"/>
  <c r="M65" i="1"/>
  <c r="O65" i="1" s="1"/>
  <c r="Q65" i="1" s="1"/>
  <c r="M74" i="1"/>
  <c r="O74" i="1" s="1"/>
  <c r="Q74" i="1" s="1"/>
  <c r="M63" i="1"/>
  <c r="O63" i="1" s="1"/>
  <c r="Q63" i="1" s="1"/>
  <c r="S74" i="1"/>
  <c r="S63" i="1"/>
  <c r="M62" i="1"/>
  <c r="O62" i="1" s="1"/>
  <c r="Q62" i="1" s="1"/>
  <c r="M71" i="1"/>
  <c r="O71" i="1" s="1"/>
  <c r="Q71" i="1" s="1"/>
  <c r="S60" i="1"/>
  <c r="M69" i="1"/>
  <c r="O69" i="1" s="1"/>
  <c r="Q69" i="1" s="1"/>
  <c r="M72" i="1"/>
  <c r="O72" i="1" s="1"/>
  <c r="Q72" i="1" s="1"/>
  <c r="M61" i="1"/>
  <c r="O61" i="1" s="1"/>
  <c r="Q61" i="1" s="1"/>
  <c r="M66" i="1"/>
  <c r="O66" i="1" s="1"/>
  <c r="Q66" i="1" s="1"/>
  <c r="S68" i="1"/>
  <c r="M67" i="1"/>
  <c r="O67" i="1" s="1"/>
  <c r="Q67" i="1" s="1"/>
  <c r="S71" i="1"/>
  <c r="S77" i="1"/>
  <c r="S61" i="1"/>
  <c r="M64" i="1"/>
  <c r="O64" i="1" s="1"/>
  <c r="Q64" i="1" s="1"/>
  <c r="M75" i="1"/>
  <c r="O75" i="1" s="1"/>
  <c r="Q75" i="1" s="1"/>
  <c r="M77" i="1"/>
  <c r="O77" i="1" s="1"/>
  <c r="Q77" i="1" s="1"/>
  <c r="S70" i="1"/>
  <c r="S65" i="1"/>
  <c r="M60" i="1"/>
  <c r="O60" i="1" s="1"/>
  <c r="Q60" i="1" s="1"/>
  <c r="S72" i="1"/>
  <c r="S64" i="1"/>
  <c r="AS21" i="1"/>
  <c r="AT21" i="1" s="1"/>
  <c r="AS54" i="1"/>
  <c r="AT54" i="1" s="1"/>
  <c r="AS44" i="1"/>
  <c r="AT44" i="1" s="1"/>
  <c r="AS6" i="1"/>
  <c r="AT6" i="1" s="1"/>
  <c r="AS47" i="1"/>
  <c r="AT47" i="1" s="1"/>
  <c r="AS7" i="1"/>
  <c r="AT7" i="1" s="1"/>
  <c r="AS18" i="1"/>
  <c r="AT18" i="1" s="1"/>
  <c r="AS59" i="1"/>
  <c r="AT59" i="1" s="1"/>
  <c r="AS28" i="1"/>
  <c r="AT28" i="1" s="1"/>
  <c r="AS31" i="1"/>
  <c r="AT31" i="1" s="1"/>
  <c r="AS46" i="1"/>
  <c r="AT46" i="1" s="1"/>
  <c r="AS45" i="1"/>
  <c r="AT45" i="1" s="1"/>
  <c r="AS19" i="1"/>
  <c r="AT19" i="1" s="1"/>
  <c r="AS58" i="1"/>
  <c r="AT58" i="1" s="1"/>
  <c r="AS41" i="1"/>
  <c r="AT41" i="1" s="1"/>
  <c r="AS43" i="1"/>
  <c r="AT43" i="1" s="1"/>
  <c r="AS15" i="1"/>
  <c r="AT15" i="1" s="1"/>
  <c r="AS22" i="1"/>
  <c r="AT22" i="1" s="1"/>
  <c r="AS56" i="1"/>
  <c r="AT56" i="1" s="1"/>
  <c r="AS35" i="1"/>
  <c r="AT35" i="1" s="1"/>
  <c r="AS36" i="1"/>
  <c r="AT36" i="1" s="1"/>
  <c r="AS39" i="1"/>
  <c r="AT39" i="1" s="1"/>
  <c r="AS34" i="1"/>
  <c r="AT34" i="1" s="1"/>
  <c r="AS17" i="1"/>
  <c r="AT17" i="1" s="1"/>
  <c r="AS53" i="1"/>
  <c r="AT53" i="1" s="1"/>
  <c r="AS51" i="1"/>
  <c r="AT51" i="1" s="1"/>
  <c r="AS20" i="1"/>
  <c r="AT20" i="1" s="1"/>
  <c r="AS10" i="1"/>
  <c r="AT10" i="1" s="1"/>
  <c r="AS57" i="1"/>
  <c r="AT57" i="1" s="1"/>
  <c r="AS40" i="1"/>
  <c r="AT40" i="1" s="1"/>
  <c r="AS38" i="1"/>
  <c r="AT38" i="1" s="1"/>
  <c r="AS16" i="1"/>
  <c r="AT16" i="1" s="1"/>
  <c r="AS12" i="1"/>
  <c r="AT12" i="1" s="1"/>
  <c r="AS37" i="1"/>
  <c r="AT37" i="1" s="1"/>
  <c r="AS8" i="1"/>
  <c r="AT8" i="1" s="1"/>
  <c r="AS50" i="1"/>
  <c r="AT50" i="1" s="1"/>
  <c r="AS33" i="1"/>
  <c r="AT33" i="1" s="1"/>
  <c r="AS48" i="1"/>
  <c r="AT48" i="1" s="1"/>
  <c r="AS14" i="1"/>
  <c r="AT14" i="1" s="1"/>
  <c r="AS13" i="1"/>
  <c r="AT13" i="1" s="1"/>
  <c r="AS52" i="1"/>
  <c r="AT52" i="1" s="1"/>
  <c r="AS23" i="1"/>
  <c r="AT23" i="1" s="1"/>
  <c r="AS26" i="1"/>
  <c r="AT26" i="1" s="1"/>
  <c r="AS9" i="1"/>
  <c r="AT9" i="1" s="1"/>
  <c r="AS11" i="1"/>
  <c r="AT11" i="1" s="1"/>
  <c r="AS49" i="1"/>
  <c r="AT49" i="1" s="1"/>
  <c r="AS32" i="1"/>
  <c r="AT32" i="1" s="1"/>
  <c r="AS24" i="1"/>
  <c r="AT24" i="1" s="1"/>
  <c r="AS27" i="1"/>
  <c r="AT27" i="1" s="1"/>
  <c r="AS30" i="1"/>
  <c r="AT30" i="1" s="1"/>
  <c r="AS29" i="1"/>
  <c r="AT29" i="1" s="1"/>
  <c r="AS55" i="1"/>
  <c r="AT55" i="1" s="1"/>
  <c r="AS42" i="1"/>
  <c r="AT42" i="1" s="1"/>
  <c r="AS25" i="1"/>
  <c r="AT25" i="1" s="1"/>
  <c r="S50" i="1"/>
  <c r="S34" i="1"/>
  <c r="S7" i="1"/>
  <c r="S23" i="1"/>
  <c r="S39" i="1"/>
  <c r="S55" i="1"/>
  <c r="S16" i="1"/>
  <c r="S32" i="1"/>
  <c r="S48" i="1"/>
  <c r="S22" i="1"/>
  <c r="S13" i="1"/>
  <c r="S29" i="1"/>
  <c r="S45" i="1"/>
  <c r="S10" i="1"/>
  <c r="S42" i="1"/>
  <c r="S11" i="1"/>
  <c r="S27" i="1"/>
  <c r="S43" i="1"/>
  <c r="S59" i="1"/>
  <c r="S20" i="1"/>
  <c r="S36" i="1"/>
  <c r="S52" i="1"/>
  <c r="S38" i="1"/>
  <c r="S17" i="1"/>
  <c r="S33" i="1"/>
  <c r="S49" i="1"/>
  <c r="S6" i="1"/>
  <c r="S18" i="1"/>
  <c r="S46" i="1"/>
  <c r="S15" i="1"/>
  <c r="S31" i="1"/>
  <c r="S47" i="1"/>
  <c r="S8" i="1"/>
  <c r="S24" i="1"/>
  <c r="S40" i="1"/>
  <c r="S56" i="1"/>
  <c r="S54" i="1"/>
  <c r="S21" i="1"/>
  <c r="S37" i="1"/>
  <c r="S53" i="1"/>
  <c r="S26" i="1"/>
  <c r="S30" i="1"/>
  <c r="S58" i="1"/>
  <c r="S19" i="1"/>
  <c r="S35" i="1"/>
  <c r="S51" i="1"/>
  <c r="S12" i="1"/>
  <c r="S28" i="1"/>
  <c r="S44" i="1"/>
  <c r="S14" i="1"/>
  <c r="S9" i="1"/>
  <c r="S25" i="1"/>
  <c r="S41" i="1"/>
  <c r="S57" i="1"/>
  <c r="AN26" i="1"/>
  <c r="AN34" i="1"/>
  <c r="AN46" i="1"/>
  <c r="AN6" i="1"/>
  <c r="AN49" i="1"/>
  <c r="AN7" i="1"/>
  <c r="AN20" i="1"/>
  <c r="AN13" i="1"/>
  <c r="AN27" i="1"/>
  <c r="AN35" i="1"/>
  <c r="AN54" i="1"/>
  <c r="AN41" i="1"/>
  <c r="AN51" i="1"/>
  <c r="AN10" i="1"/>
  <c r="AN28" i="1"/>
  <c r="AN36" i="1"/>
  <c r="AN40" i="1"/>
  <c r="AN22" i="1"/>
  <c r="AN47" i="1"/>
  <c r="AN53" i="1"/>
  <c r="AN45" i="1"/>
  <c r="AN19" i="1"/>
  <c r="AN29" i="1"/>
  <c r="AN37" i="1"/>
  <c r="AN58" i="1"/>
  <c r="AN9" i="1"/>
  <c r="AN48" i="1"/>
  <c r="AN11" i="1"/>
  <c r="AN57" i="1"/>
  <c r="AN24" i="1"/>
  <c r="AN42" i="1"/>
  <c r="AN43" i="1"/>
  <c r="AN18" i="1"/>
  <c r="AN25" i="1"/>
  <c r="AN55" i="1"/>
  <c r="AN16" i="1"/>
  <c r="AN15" i="1"/>
  <c r="AN32" i="1"/>
  <c r="AN33" i="1"/>
  <c r="AN59" i="1"/>
  <c r="AN30" i="1"/>
  <c r="AN56" i="1"/>
  <c r="AN44" i="1"/>
  <c r="AN31" i="1"/>
  <c r="AN50" i="1"/>
  <c r="AN8" i="1"/>
  <c r="AN52" i="1"/>
  <c r="AN17" i="1"/>
  <c r="AN39" i="1"/>
  <c r="AN23" i="1"/>
  <c r="AN14" i="1"/>
  <c r="AN21" i="1"/>
  <c r="AN12" i="1"/>
  <c r="AN38" i="1"/>
  <c r="K3" i="1"/>
  <c r="G3" i="1"/>
  <c r="P46" i="1"/>
  <c r="P9" i="1"/>
  <c r="N8" i="1"/>
  <c r="N15" i="1"/>
  <c r="P16" i="1"/>
  <c r="N54" i="1"/>
  <c r="P29" i="1"/>
  <c r="N29" i="1"/>
  <c r="N37" i="1"/>
  <c r="P57" i="1"/>
  <c r="N10" i="1"/>
  <c r="P31" i="1"/>
  <c r="P40" i="1"/>
  <c r="N59" i="1"/>
  <c r="P10" i="1"/>
  <c r="N17" i="1"/>
  <c r="P54" i="1"/>
  <c r="P14" i="1"/>
  <c r="N24" i="1"/>
  <c r="N32" i="1"/>
  <c r="P45" i="1"/>
  <c r="N48" i="1"/>
  <c r="P25" i="1"/>
  <c r="N40" i="1"/>
  <c r="N46" i="1"/>
  <c r="N19" i="1"/>
  <c r="N45" i="1"/>
  <c r="N9" i="1"/>
  <c r="P42" i="1"/>
  <c r="P11" i="1"/>
  <c r="P22" i="1"/>
  <c r="P37" i="1"/>
  <c r="P47" i="1"/>
  <c r="N7" i="1"/>
  <c r="N23" i="1"/>
  <c r="N31" i="1"/>
  <c r="N39" i="1"/>
  <c r="N56" i="1"/>
  <c r="N16" i="1"/>
  <c r="N43" i="1"/>
  <c r="P59" i="1"/>
  <c r="P23" i="1"/>
  <c r="P26" i="1"/>
  <c r="N53" i="1"/>
  <c r="P21" i="1"/>
  <c r="N26" i="1"/>
  <c r="N34" i="1"/>
  <c r="N44" i="1"/>
  <c r="P32" i="1"/>
  <c r="N47" i="1"/>
  <c r="P7" i="1"/>
  <c r="P17" i="1"/>
  <c r="P49" i="1"/>
  <c r="P52" i="1"/>
  <c r="P12" i="1"/>
  <c r="N22" i="1"/>
  <c r="N27" i="1"/>
  <c r="N51" i="1"/>
  <c r="P6" i="1"/>
  <c r="P44" i="1"/>
  <c r="P24" i="1"/>
  <c r="P35" i="1"/>
  <c r="N38" i="1"/>
  <c r="P33" i="1"/>
  <c r="N42" i="1"/>
  <c r="P28" i="1"/>
  <c r="N35" i="1"/>
  <c r="N52" i="1"/>
  <c r="P50" i="1"/>
  <c r="N30" i="1"/>
  <c r="P27" i="1"/>
  <c r="P15" i="1"/>
  <c r="N6" i="1"/>
  <c r="N20" i="1"/>
  <c r="P39" i="1"/>
  <c r="N21" i="1"/>
  <c r="N33" i="1"/>
  <c r="N58" i="1"/>
  <c r="P18" i="1"/>
  <c r="N50" i="1"/>
  <c r="P8" i="1"/>
  <c r="P34" i="1"/>
  <c r="N12" i="1"/>
  <c r="N28" i="1"/>
  <c r="N49" i="1"/>
  <c r="N11" i="1"/>
  <c r="P58" i="1"/>
  <c r="P51" i="1"/>
  <c r="P41" i="1"/>
  <c r="P43" i="1"/>
  <c r="P30" i="1"/>
  <c r="N18" i="1"/>
  <c r="N13" i="1"/>
  <c r="P19" i="1"/>
  <c r="P53" i="1"/>
  <c r="P56" i="1"/>
  <c r="P55" i="1"/>
  <c r="N25" i="1"/>
  <c r="N41" i="1"/>
  <c r="P36" i="1"/>
  <c r="N55" i="1"/>
  <c r="P38" i="1"/>
  <c r="P13" i="1"/>
  <c r="P48" i="1"/>
  <c r="N36" i="1"/>
  <c r="P20" i="1"/>
  <c r="N14" i="1"/>
  <c r="N57" i="1"/>
  <c r="I3" i="1"/>
  <c r="AM36" i="1"/>
  <c r="AM9" i="1"/>
  <c r="AO9" i="1" s="1"/>
  <c r="AQ9" i="1" s="1"/>
  <c r="AM17" i="1"/>
  <c r="AO17" i="1" s="1"/>
  <c r="AQ17" i="1" s="1"/>
  <c r="AM21" i="1"/>
  <c r="AM27" i="1"/>
  <c r="AM32" i="1"/>
  <c r="AM40" i="1"/>
  <c r="AO40" i="1" s="1"/>
  <c r="AQ40" i="1" s="1"/>
  <c r="AM25" i="1"/>
  <c r="AO25" i="1" s="1"/>
  <c r="AQ25" i="1" s="1"/>
  <c r="AM10" i="1"/>
  <c r="AM14" i="1"/>
  <c r="AM18" i="1"/>
  <c r="AM22" i="1"/>
  <c r="AO22" i="1" s="1"/>
  <c r="AQ22" i="1" s="1"/>
  <c r="AM35" i="1"/>
  <c r="AO35" i="1" s="1"/>
  <c r="AQ35" i="1" s="1"/>
  <c r="AM41" i="1"/>
  <c r="AO41" i="1" s="1"/>
  <c r="AQ41" i="1" s="1"/>
  <c r="AM50" i="1"/>
  <c r="AO50" i="1" s="1"/>
  <c r="AQ50" i="1" s="1"/>
  <c r="AM26" i="1"/>
  <c r="AM34" i="1"/>
  <c r="AM44" i="1"/>
  <c r="AO44" i="1" s="1"/>
  <c r="AQ44" i="1" s="1"/>
  <c r="AM59" i="1"/>
  <c r="AO59" i="1" s="1"/>
  <c r="AQ59" i="1" s="1"/>
  <c r="AM6" i="1"/>
  <c r="AM28" i="1"/>
  <c r="AO28" i="1" s="1"/>
  <c r="AQ28" i="1" s="1"/>
  <c r="AM33" i="1"/>
  <c r="AM11" i="1"/>
  <c r="AM43" i="1"/>
  <c r="AO43" i="1" s="1"/>
  <c r="AQ43" i="1" s="1"/>
  <c r="AM54" i="1"/>
  <c r="AO54" i="1" s="1"/>
  <c r="AQ54" i="1" s="1"/>
  <c r="AM58" i="1"/>
  <c r="AM47" i="1"/>
  <c r="AM51" i="1"/>
  <c r="AO51" i="1" s="1"/>
  <c r="AQ51" i="1" s="1"/>
  <c r="AM55" i="1"/>
  <c r="AM7" i="1"/>
  <c r="AO7" i="1" s="1"/>
  <c r="AQ7" i="1" s="1"/>
  <c r="AM15" i="1"/>
  <c r="AM19" i="1"/>
  <c r="AM38" i="1"/>
  <c r="AM37" i="1"/>
  <c r="AM42" i="1"/>
  <c r="AO42" i="1" s="1"/>
  <c r="AQ42" i="1" s="1"/>
  <c r="AM48" i="1"/>
  <c r="AO48" i="1" s="1"/>
  <c r="AQ48" i="1" s="1"/>
  <c r="AM8" i="1"/>
  <c r="AO8" i="1" s="1"/>
  <c r="AQ8" i="1" s="1"/>
  <c r="AM12" i="1"/>
  <c r="AM16" i="1"/>
  <c r="AM20" i="1"/>
  <c r="AM23" i="1"/>
  <c r="AM39" i="1"/>
  <c r="AO39" i="1" s="1"/>
  <c r="AQ39" i="1" s="1"/>
  <c r="AM46" i="1"/>
  <c r="AM52" i="1"/>
  <c r="AO52" i="1" s="1"/>
  <c r="AQ52" i="1" s="1"/>
  <c r="AM53" i="1"/>
  <c r="AO53" i="1" s="1"/>
  <c r="AQ53" i="1" s="1"/>
  <c r="AM24" i="1"/>
  <c r="AM31" i="1"/>
  <c r="AM30" i="1"/>
  <c r="AM13" i="1"/>
  <c r="AM29" i="1"/>
  <c r="AO29" i="1" s="1"/>
  <c r="AQ29" i="1" s="1"/>
  <c r="AM45" i="1"/>
  <c r="AO45" i="1" s="1"/>
  <c r="AQ45" i="1" s="1"/>
  <c r="AM56" i="1"/>
  <c r="AO56" i="1" s="1"/>
  <c r="AQ56" i="1" s="1"/>
  <c r="AM49" i="1"/>
  <c r="AO49" i="1" s="1"/>
  <c r="AQ49" i="1" s="1"/>
  <c r="AM57" i="1"/>
  <c r="M9" i="1"/>
  <c r="O9" i="1" s="1"/>
  <c r="M15" i="1"/>
  <c r="O15" i="1" s="1"/>
  <c r="M13" i="1"/>
  <c r="O13" i="1" s="1"/>
  <c r="M17" i="1"/>
  <c r="O17" i="1" s="1"/>
  <c r="M16" i="1"/>
  <c r="O16" i="1" s="1"/>
  <c r="M49" i="1"/>
  <c r="O49" i="1" s="1"/>
  <c r="M51" i="1"/>
  <c r="O51" i="1" s="1"/>
  <c r="M25" i="1"/>
  <c r="O25" i="1" s="1"/>
  <c r="M29" i="1"/>
  <c r="O29" i="1" s="1"/>
  <c r="M31" i="1"/>
  <c r="O31" i="1" s="1"/>
  <c r="M37" i="1"/>
  <c r="O37" i="1" s="1"/>
  <c r="M46" i="1"/>
  <c r="O46" i="1" s="1"/>
  <c r="M48" i="1"/>
  <c r="O48" i="1" s="1"/>
  <c r="M57" i="1"/>
  <c r="O57" i="1" s="1"/>
  <c r="M52" i="1"/>
  <c r="O52" i="1" s="1"/>
  <c r="M26" i="1"/>
  <c r="O26" i="1" s="1"/>
  <c r="M12" i="1"/>
  <c r="O12" i="1" s="1"/>
  <c r="M11" i="1"/>
  <c r="O11" i="1" s="1"/>
  <c r="M43" i="1"/>
  <c r="O43" i="1" s="1"/>
  <c r="M47" i="1"/>
  <c r="O47" i="1" s="1"/>
  <c r="M34" i="1"/>
  <c r="O34" i="1" s="1"/>
  <c r="M38" i="1"/>
  <c r="O38" i="1" s="1"/>
  <c r="M22" i="1"/>
  <c r="O22" i="1" s="1"/>
  <c r="M50" i="1"/>
  <c r="O50" i="1" s="1"/>
  <c r="M35" i="1"/>
  <c r="O35" i="1" s="1"/>
  <c r="M18" i="1"/>
  <c r="O18" i="1" s="1"/>
  <c r="M44" i="1"/>
  <c r="O44" i="1" s="1"/>
  <c r="M59" i="1"/>
  <c r="O59" i="1" s="1"/>
  <c r="M6" i="1"/>
  <c r="O6" i="1" s="1"/>
  <c r="M7" i="1"/>
  <c r="O7" i="1" s="1"/>
  <c r="M27" i="1"/>
  <c r="O27" i="1" s="1"/>
  <c r="M41" i="1"/>
  <c r="O41" i="1" s="1"/>
  <c r="M8" i="1"/>
  <c r="O8" i="1" s="1"/>
  <c r="M10" i="1"/>
  <c r="O10" i="1" s="1"/>
  <c r="M24" i="1"/>
  <c r="O24" i="1" s="1"/>
  <c r="M54" i="1"/>
  <c r="O54" i="1" s="1"/>
  <c r="M32" i="1"/>
  <c r="O32" i="1" s="1"/>
  <c r="M39" i="1"/>
  <c r="O39" i="1" s="1"/>
  <c r="M33" i="1"/>
  <c r="O33" i="1" s="1"/>
  <c r="M19" i="1"/>
  <c r="O19" i="1" s="1"/>
  <c r="M14" i="1"/>
  <c r="O14" i="1" s="1"/>
  <c r="M21" i="1"/>
  <c r="O21" i="1" s="1"/>
  <c r="M20" i="1"/>
  <c r="O20" i="1" s="1"/>
  <c r="M45" i="1"/>
  <c r="O45" i="1" s="1"/>
  <c r="M53" i="1"/>
  <c r="O53" i="1" s="1"/>
  <c r="M55" i="1"/>
  <c r="O55" i="1" s="1"/>
  <c r="M36" i="1"/>
  <c r="O36" i="1" s="1"/>
  <c r="M40" i="1"/>
  <c r="O40" i="1" s="1"/>
  <c r="M42" i="1"/>
  <c r="O42" i="1" s="1"/>
  <c r="M58" i="1"/>
  <c r="O58" i="1" s="1"/>
  <c r="M56" i="1"/>
  <c r="O56" i="1" s="1"/>
  <c r="M28" i="1"/>
  <c r="O28" i="1" s="1"/>
  <c r="M23" i="1"/>
  <c r="O23" i="1" s="1"/>
  <c r="M30" i="1"/>
  <c r="O30" i="1" s="1"/>
  <c r="AV90" i="1" l="1"/>
  <c r="AV82" i="1"/>
  <c r="AV88" i="1"/>
  <c r="AV91" i="1"/>
  <c r="AV83" i="1"/>
  <c r="AV85" i="1"/>
  <c r="AV93" i="1"/>
  <c r="AV84" i="1"/>
  <c r="AV92" i="1"/>
  <c r="AV87" i="1"/>
  <c r="AV95" i="1"/>
  <c r="AV89" i="1"/>
  <c r="AV86" i="1"/>
  <c r="AV94" i="1"/>
  <c r="AD3" i="1"/>
  <c r="AV21" i="1"/>
  <c r="AV49" i="1"/>
  <c r="AV50" i="1"/>
  <c r="AV72" i="1"/>
  <c r="AV77" i="1"/>
  <c r="AV19" i="1"/>
  <c r="AV47" i="1"/>
  <c r="AV16" i="1"/>
  <c r="AV60" i="1"/>
  <c r="AV73" i="1"/>
  <c r="AV28" i="1"/>
  <c r="AV30" i="1"/>
  <c r="AV56" i="1"/>
  <c r="AV27" i="1"/>
  <c r="AV13" i="1"/>
  <c r="AV39" i="1"/>
  <c r="AV70" i="1"/>
  <c r="AV68" i="1"/>
  <c r="AV63" i="1"/>
  <c r="AV66" i="1"/>
  <c r="AV81" i="1"/>
  <c r="AV57" i="1"/>
  <c r="AV12" i="1"/>
  <c r="AV26" i="1"/>
  <c r="AV40" i="1"/>
  <c r="AV46" i="1"/>
  <c r="AV38" i="1"/>
  <c r="AV11" i="1"/>
  <c r="AV23" i="1"/>
  <c r="AV41" i="1"/>
  <c r="AV24" i="1"/>
  <c r="AV18" i="1"/>
  <c r="AV52" i="1"/>
  <c r="AV22" i="1"/>
  <c r="AV7" i="1"/>
  <c r="AV25" i="1"/>
  <c r="AV51" i="1"/>
  <c r="AV53" i="1"/>
  <c r="AV8" i="1"/>
  <c r="AV6" i="1"/>
  <c r="BA6" i="1" s="1"/>
  <c r="AV36" i="1"/>
  <c r="AV42" i="1"/>
  <c r="AV48" i="1"/>
  <c r="AV9" i="1"/>
  <c r="AV35" i="1"/>
  <c r="AV37" i="1"/>
  <c r="AV20" i="1"/>
  <c r="AV10" i="1"/>
  <c r="AV32" i="1"/>
  <c r="AV34" i="1"/>
  <c r="AV14" i="1"/>
  <c r="AV31" i="1"/>
  <c r="AV33" i="1"/>
  <c r="AV59" i="1"/>
  <c r="AV45" i="1"/>
  <c r="AV44" i="1"/>
  <c r="AV58" i="1"/>
  <c r="AV54" i="1"/>
  <c r="AV15" i="1"/>
  <c r="AV17" i="1"/>
  <c r="AV43" i="1"/>
  <c r="AV29" i="1"/>
  <c r="AV55" i="1"/>
  <c r="AV74" i="1"/>
  <c r="AV64" i="1"/>
  <c r="AV62" i="1"/>
  <c r="AV61" i="1"/>
  <c r="AV76" i="1"/>
  <c r="AV80" i="1"/>
  <c r="AV67" i="1"/>
  <c r="AV79" i="1"/>
  <c r="AV71" i="1"/>
  <c r="AV75" i="1"/>
  <c r="AV69" i="1"/>
  <c r="AV65" i="1"/>
  <c r="AV78" i="1"/>
  <c r="AB3" i="1"/>
  <c r="T65" i="1"/>
  <c r="T70" i="1"/>
  <c r="T68" i="1"/>
  <c r="T63" i="1"/>
  <c r="T66" i="1"/>
  <c r="T81" i="1"/>
  <c r="T74" i="1"/>
  <c r="T62" i="1"/>
  <c r="T76" i="1"/>
  <c r="T80" i="1"/>
  <c r="T67" i="1"/>
  <c r="T64" i="1"/>
  <c r="T61" i="1"/>
  <c r="T79" i="1"/>
  <c r="T72" i="1"/>
  <c r="T77" i="1"/>
  <c r="T60" i="1"/>
  <c r="T73" i="1"/>
  <c r="T71" i="1"/>
  <c r="T75" i="1"/>
  <c r="T69" i="1"/>
  <c r="T78" i="1"/>
  <c r="AT79" i="1"/>
  <c r="AT81" i="1"/>
  <c r="AT78" i="1"/>
  <c r="AT80" i="1"/>
  <c r="AT62" i="1"/>
  <c r="AT71" i="1"/>
  <c r="AT74" i="1"/>
  <c r="AT61" i="1"/>
  <c r="AT76" i="1"/>
  <c r="AT65" i="1"/>
  <c r="AT66" i="1"/>
  <c r="AT72" i="1"/>
  <c r="AT67" i="1"/>
  <c r="AT70" i="1"/>
  <c r="AT68" i="1"/>
  <c r="AT73" i="1"/>
  <c r="AT63" i="1"/>
  <c r="AT60" i="1"/>
  <c r="AT69" i="1"/>
  <c r="AT75" i="1"/>
  <c r="AT64" i="1"/>
  <c r="AT77" i="1"/>
  <c r="Q11" i="1"/>
  <c r="Q46" i="1"/>
  <c r="Q26" i="1"/>
  <c r="Q42" i="1"/>
  <c r="Q23" i="1"/>
  <c r="T9" i="1"/>
  <c r="T35" i="1"/>
  <c r="T56" i="1"/>
  <c r="T27" i="1"/>
  <c r="T45" i="1"/>
  <c r="Q54" i="1"/>
  <c r="T57" i="1"/>
  <c r="T12" i="1"/>
  <c r="T19" i="1"/>
  <c r="T26" i="1"/>
  <c r="T21" i="1"/>
  <c r="T40" i="1"/>
  <c r="T47" i="1"/>
  <c r="T46" i="1"/>
  <c r="T49" i="1"/>
  <c r="T38" i="1"/>
  <c r="T11" i="1"/>
  <c r="T29" i="1"/>
  <c r="T48" i="1"/>
  <c r="T55" i="1"/>
  <c r="Q40" i="1"/>
  <c r="Q35" i="1"/>
  <c r="Q51" i="1"/>
  <c r="T41" i="1"/>
  <c r="T14" i="1"/>
  <c r="T24" i="1"/>
  <c r="T31" i="1"/>
  <c r="T18" i="1"/>
  <c r="T33" i="1"/>
  <c r="T52" i="1"/>
  <c r="T59" i="1"/>
  <c r="T13" i="1"/>
  <c r="T32" i="1"/>
  <c r="T39" i="1"/>
  <c r="T34" i="1"/>
  <c r="T28" i="1"/>
  <c r="T30" i="1"/>
  <c r="T37" i="1"/>
  <c r="T20" i="1"/>
  <c r="T10" i="1"/>
  <c r="T22" i="1"/>
  <c r="T7" i="1"/>
  <c r="Q6" i="1"/>
  <c r="Q22" i="1"/>
  <c r="T25" i="1"/>
  <c r="T44" i="1"/>
  <c r="T51" i="1"/>
  <c r="T58" i="1"/>
  <c r="T53" i="1"/>
  <c r="T54" i="1"/>
  <c r="T8" i="1"/>
  <c r="T15" i="1"/>
  <c r="T6" i="1"/>
  <c r="T17" i="1"/>
  <c r="T36" i="1"/>
  <c r="T43" i="1"/>
  <c r="T42" i="1"/>
  <c r="T16" i="1"/>
  <c r="T23" i="1"/>
  <c r="T50" i="1"/>
  <c r="Q14" i="1"/>
  <c r="Q56" i="1"/>
  <c r="Q45" i="1"/>
  <c r="Q10" i="1"/>
  <c r="Q44" i="1"/>
  <c r="Q38" i="1"/>
  <c r="Q49" i="1"/>
  <c r="Q36" i="1"/>
  <c r="Q47" i="1"/>
  <c r="Q30" i="1"/>
  <c r="Q58" i="1"/>
  <c r="Q8" i="1"/>
  <c r="Q7" i="1"/>
  <c r="Q18" i="1"/>
  <c r="Q43" i="1"/>
  <c r="Q48" i="1"/>
  <c r="Q31" i="1"/>
  <c r="Q16" i="1"/>
  <c r="AR3" i="1"/>
  <c r="R3" i="1"/>
  <c r="Q19" i="1"/>
  <c r="Q32" i="1"/>
  <c r="Q27" i="1"/>
  <c r="Q57" i="1"/>
  <c r="Q37" i="1"/>
  <c r="Q15" i="1"/>
  <c r="Q50" i="1"/>
  <c r="Q55" i="1"/>
  <c r="Q33" i="1"/>
  <c r="Q17" i="1"/>
  <c r="Q9" i="1"/>
  <c r="Q20" i="1"/>
  <c r="Q34" i="1"/>
  <c r="Q21" i="1"/>
  <c r="Q29" i="1"/>
  <c r="Q28" i="1"/>
  <c r="Q53" i="1"/>
  <c r="Q39" i="1"/>
  <c r="Q24" i="1"/>
  <c r="Q41" i="1"/>
  <c r="Q59" i="1"/>
  <c r="Q12" i="1"/>
  <c r="Q52" i="1"/>
  <c r="Q25" i="1"/>
  <c r="Q13" i="1"/>
  <c r="AO14" i="1"/>
  <c r="AQ14" i="1" s="1"/>
  <c r="AO33" i="1"/>
  <c r="AQ33" i="1" s="1"/>
  <c r="AO55" i="1"/>
  <c r="AQ55" i="1" s="1"/>
  <c r="AO34" i="1"/>
  <c r="AQ34" i="1" s="1"/>
  <c r="AO11" i="1"/>
  <c r="AQ11" i="1" s="1"/>
  <c r="AO26" i="1"/>
  <c r="AQ26" i="1" s="1"/>
  <c r="AO20" i="1"/>
  <c r="AQ20" i="1" s="1"/>
  <c r="AO31" i="1"/>
  <c r="AQ31" i="1" s="1"/>
  <c r="AO37" i="1"/>
  <c r="AQ37" i="1" s="1"/>
  <c r="AO12" i="1"/>
  <c r="AQ12" i="1" s="1"/>
  <c r="AO18" i="1"/>
  <c r="AQ18" i="1" s="1"/>
  <c r="AO30" i="1"/>
  <c r="AQ30" i="1" s="1"/>
  <c r="AO38" i="1"/>
  <c r="AQ38" i="1" s="1"/>
  <c r="AO10" i="1"/>
  <c r="AQ10" i="1" s="1"/>
  <c r="AO47" i="1"/>
  <c r="AQ47" i="1" s="1"/>
  <c r="AO32" i="1"/>
  <c r="AQ32" i="1" s="1"/>
  <c r="AO21" i="1"/>
  <c r="AQ21" i="1" s="1"/>
  <c r="AO27" i="1"/>
  <c r="AQ27" i="1" s="1"/>
  <c r="AO23" i="1"/>
  <c r="AQ23" i="1" s="1"/>
  <c r="AO46" i="1"/>
  <c r="AQ46" i="1" s="1"/>
  <c r="AO24" i="1"/>
  <c r="AQ24" i="1" s="1"/>
  <c r="AO13" i="1"/>
  <c r="AQ13" i="1" s="1"/>
  <c r="AO15" i="1"/>
  <c r="AQ15" i="1" s="1"/>
  <c r="AO36" i="1"/>
  <c r="AQ36" i="1" s="1"/>
  <c r="AO58" i="1"/>
  <c r="AQ58" i="1" s="1"/>
  <c r="AO19" i="1"/>
  <c r="AQ19" i="1" s="1"/>
  <c r="AO6" i="1"/>
  <c r="AQ6" i="1" s="1"/>
  <c r="AO57" i="1"/>
  <c r="AQ57" i="1" s="1"/>
  <c r="AO16" i="1"/>
  <c r="AQ16" i="1" s="1"/>
  <c r="BN94" i="1" l="1"/>
  <c r="BR94" i="1" s="1"/>
  <c r="BV94" i="1" s="1"/>
  <c r="BA94" i="1"/>
  <c r="BE94" i="1" s="1"/>
  <c r="BI94" i="1" s="1"/>
  <c r="BN95" i="1"/>
  <c r="BR95" i="1" s="1"/>
  <c r="BV95" i="1" s="1"/>
  <c r="BA95" i="1"/>
  <c r="BE95" i="1" s="1"/>
  <c r="BI95" i="1" s="1"/>
  <c r="BO84" i="1"/>
  <c r="BS84" i="1" s="1"/>
  <c r="BW84" i="1" s="1"/>
  <c r="BP84" i="1"/>
  <c r="BT84" i="1" s="1"/>
  <c r="BX84" i="1" s="1"/>
  <c r="BA84" i="1"/>
  <c r="BE84" i="1" s="1"/>
  <c r="BI84" i="1" s="1"/>
  <c r="BD84" i="1"/>
  <c r="BH84" i="1" s="1"/>
  <c r="BL84" i="1" s="1"/>
  <c r="BB84" i="1"/>
  <c r="BF84" i="1" s="1"/>
  <c r="BJ84" i="1" s="1"/>
  <c r="BQ84" i="1"/>
  <c r="BU84" i="1" s="1"/>
  <c r="BY84" i="1" s="1"/>
  <c r="BN84" i="1"/>
  <c r="BR84" i="1" s="1"/>
  <c r="BV84" i="1" s="1"/>
  <c r="BC84" i="1"/>
  <c r="BG84" i="1" s="1"/>
  <c r="BK84" i="1" s="1"/>
  <c r="BO93" i="1"/>
  <c r="BS93" i="1" s="1"/>
  <c r="BW93" i="1" s="1"/>
  <c r="BP93" i="1"/>
  <c r="BT93" i="1" s="1"/>
  <c r="BX93" i="1" s="1"/>
  <c r="BN93" i="1"/>
  <c r="BR93" i="1" s="1"/>
  <c r="BV93" i="1" s="1"/>
  <c r="BD93" i="1"/>
  <c r="BH93" i="1" s="1"/>
  <c r="BL93" i="1" s="1"/>
  <c r="BB93" i="1"/>
  <c r="BF93" i="1" s="1"/>
  <c r="BJ93" i="1" s="1"/>
  <c r="BA93" i="1"/>
  <c r="BE93" i="1" s="1"/>
  <c r="BI93" i="1" s="1"/>
  <c r="BC93" i="1"/>
  <c r="BG93" i="1" s="1"/>
  <c r="BK93" i="1" s="1"/>
  <c r="BQ93" i="1"/>
  <c r="BU93" i="1" s="1"/>
  <c r="BY93" i="1" s="1"/>
  <c r="BB94" i="1"/>
  <c r="BF94" i="1" s="1"/>
  <c r="BJ94" i="1" s="1"/>
  <c r="BQ94" i="1"/>
  <c r="BU94" i="1" s="1"/>
  <c r="BY94" i="1" s="1"/>
  <c r="BC94" i="1"/>
  <c r="BG94" i="1" s="1"/>
  <c r="BK94" i="1" s="1"/>
  <c r="BP94" i="1"/>
  <c r="BT94" i="1" s="1"/>
  <c r="BX94" i="1" s="1"/>
  <c r="BO94" i="1"/>
  <c r="BS94" i="1" s="1"/>
  <c r="BW94" i="1" s="1"/>
  <c r="BD94" i="1"/>
  <c r="BH94" i="1" s="1"/>
  <c r="BL94" i="1" s="1"/>
  <c r="BO85" i="1"/>
  <c r="BS85" i="1" s="1"/>
  <c r="BW85" i="1" s="1"/>
  <c r="BB85" i="1"/>
  <c r="BF85" i="1" s="1"/>
  <c r="BJ85" i="1" s="1"/>
  <c r="BQ85" i="1"/>
  <c r="BU85" i="1" s="1"/>
  <c r="BY85" i="1" s="1"/>
  <c r="BN85" i="1"/>
  <c r="BR85" i="1" s="1"/>
  <c r="BV85" i="1" s="1"/>
  <c r="BD85" i="1"/>
  <c r="BH85" i="1" s="1"/>
  <c r="BL85" i="1" s="1"/>
  <c r="BA85" i="1"/>
  <c r="BE85" i="1" s="1"/>
  <c r="BI85" i="1" s="1"/>
  <c r="BC85" i="1"/>
  <c r="BG85" i="1" s="1"/>
  <c r="BK85" i="1" s="1"/>
  <c r="BP85" i="1"/>
  <c r="BT85" i="1" s="1"/>
  <c r="BX85" i="1" s="1"/>
  <c r="BB86" i="1"/>
  <c r="BF86" i="1" s="1"/>
  <c r="BJ86" i="1" s="1"/>
  <c r="BA86" i="1"/>
  <c r="BE86" i="1" s="1"/>
  <c r="BI86" i="1" s="1"/>
  <c r="BQ86" i="1"/>
  <c r="BU86" i="1" s="1"/>
  <c r="BY86" i="1" s="1"/>
  <c r="BP86" i="1"/>
  <c r="BT86" i="1" s="1"/>
  <c r="BX86" i="1" s="1"/>
  <c r="BN86" i="1"/>
  <c r="BR86" i="1" s="1"/>
  <c r="BV86" i="1" s="1"/>
  <c r="BC86" i="1"/>
  <c r="BG86" i="1" s="1"/>
  <c r="BK86" i="1" s="1"/>
  <c r="BD86" i="1"/>
  <c r="BH86" i="1" s="1"/>
  <c r="BL86" i="1" s="1"/>
  <c r="BO86" i="1"/>
  <c r="BS86" i="1" s="1"/>
  <c r="BW86" i="1" s="1"/>
  <c r="BQ83" i="1"/>
  <c r="BU83" i="1" s="1"/>
  <c r="BY83" i="1" s="1"/>
  <c r="BO83" i="1"/>
  <c r="BS83" i="1" s="1"/>
  <c r="BW83" i="1" s="1"/>
  <c r="BA83" i="1"/>
  <c r="BE83" i="1" s="1"/>
  <c r="BI83" i="1" s="1"/>
  <c r="BP83" i="1"/>
  <c r="BT83" i="1" s="1"/>
  <c r="BX83" i="1" s="1"/>
  <c r="BC83" i="1"/>
  <c r="BG83" i="1" s="1"/>
  <c r="BK83" i="1" s="1"/>
  <c r="BB83" i="1"/>
  <c r="BF83" i="1" s="1"/>
  <c r="BJ83" i="1" s="1"/>
  <c r="BN83" i="1"/>
  <c r="BR83" i="1" s="1"/>
  <c r="BV83" i="1" s="1"/>
  <c r="BD83" i="1"/>
  <c r="BH83" i="1" s="1"/>
  <c r="BL83" i="1" s="1"/>
  <c r="BP89" i="1"/>
  <c r="BT89" i="1" s="1"/>
  <c r="BX89" i="1" s="1"/>
  <c r="BA89" i="1"/>
  <c r="BE89" i="1" s="1"/>
  <c r="BI89" i="1" s="1"/>
  <c r="BN89" i="1"/>
  <c r="BR89" i="1" s="1"/>
  <c r="BV89" i="1" s="1"/>
  <c r="BO89" i="1"/>
  <c r="BS89" i="1" s="1"/>
  <c r="BW89" i="1" s="1"/>
  <c r="BD89" i="1"/>
  <c r="BH89" i="1" s="1"/>
  <c r="BL89" i="1" s="1"/>
  <c r="BB89" i="1"/>
  <c r="BF89" i="1" s="1"/>
  <c r="BJ89" i="1" s="1"/>
  <c r="BC89" i="1"/>
  <c r="BG89" i="1" s="1"/>
  <c r="BK89" i="1" s="1"/>
  <c r="BQ89" i="1"/>
  <c r="BU89" i="1" s="1"/>
  <c r="BY89" i="1" s="1"/>
  <c r="BB91" i="1"/>
  <c r="BF91" i="1" s="1"/>
  <c r="BJ91" i="1" s="1"/>
  <c r="BA91" i="1"/>
  <c r="BE91" i="1" s="1"/>
  <c r="BI91" i="1" s="1"/>
  <c r="BQ91" i="1"/>
  <c r="BU91" i="1" s="1"/>
  <c r="BY91" i="1" s="1"/>
  <c r="BP91" i="1"/>
  <c r="BT91" i="1" s="1"/>
  <c r="BX91" i="1" s="1"/>
  <c r="BD91" i="1"/>
  <c r="BH91" i="1" s="1"/>
  <c r="BL91" i="1" s="1"/>
  <c r="BN91" i="1"/>
  <c r="BR91" i="1" s="1"/>
  <c r="BV91" i="1" s="1"/>
  <c r="BC91" i="1"/>
  <c r="BG91" i="1" s="1"/>
  <c r="BK91" i="1" s="1"/>
  <c r="BO91" i="1"/>
  <c r="BS91" i="1" s="1"/>
  <c r="BW91" i="1" s="1"/>
  <c r="BC95" i="1"/>
  <c r="BG95" i="1" s="1"/>
  <c r="BK95" i="1" s="1"/>
  <c r="BP95" i="1"/>
  <c r="BT95" i="1" s="1"/>
  <c r="BX95" i="1" s="1"/>
  <c r="BO95" i="1"/>
  <c r="BS95" i="1" s="1"/>
  <c r="BW95" i="1" s="1"/>
  <c r="BD95" i="1"/>
  <c r="BH95" i="1" s="1"/>
  <c r="BL95" i="1" s="1"/>
  <c r="BQ95" i="1"/>
  <c r="BU95" i="1" s="1"/>
  <c r="BY95" i="1" s="1"/>
  <c r="BB95" i="1"/>
  <c r="BF95" i="1" s="1"/>
  <c r="BJ95" i="1" s="1"/>
  <c r="BB88" i="1"/>
  <c r="BF88" i="1" s="1"/>
  <c r="BJ88" i="1" s="1"/>
  <c r="BD88" i="1"/>
  <c r="BH88" i="1" s="1"/>
  <c r="BL88" i="1" s="1"/>
  <c r="BQ88" i="1"/>
  <c r="BU88" i="1" s="1"/>
  <c r="BY88" i="1" s="1"/>
  <c r="BC88" i="1"/>
  <c r="BG88" i="1" s="1"/>
  <c r="BK88" i="1" s="1"/>
  <c r="BP88" i="1"/>
  <c r="BT88" i="1" s="1"/>
  <c r="BX88" i="1" s="1"/>
  <c r="BN88" i="1"/>
  <c r="BR88" i="1" s="1"/>
  <c r="BV88" i="1" s="1"/>
  <c r="BA88" i="1"/>
  <c r="BE88" i="1" s="1"/>
  <c r="BI88" i="1" s="1"/>
  <c r="BO88" i="1"/>
  <c r="BS88" i="1" s="1"/>
  <c r="BW88" i="1" s="1"/>
  <c r="BP87" i="1"/>
  <c r="BT87" i="1" s="1"/>
  <c r="BX87" i="1" s="1"/>
  <c r="BO87" i="1"/>
  <c r="BS87" i="1" s="1"/>
  <c r="BW87" i="1" s="1"/>
  <c r="BN87" i="1"/>
  <c r="BR87" i="1" s="1"/>
  <c r="BV87" i="1" s="1"/>
  <c r="BD87" i="1"/>
  <c r="BH87" i="1" s="1"/>
  <c r="BL87" i="1" s="1"/>
  <c r="BQ87" i="1"/>
  <c r="BU87" i="1" s="1"/>
  <c r="BY87" i="1" s="1"/>
  <c r="BC87" i="1"/>
  <c r="BG87" i="1" s="1"/>
  <c r="BK87" i="1" s="1"/>
  <c r="BA87" i="1"/>
  <c r="BE87" i="1" s="1"/>
  <c r="BI87" i="1" s="1"/>
  <c r="BB87" i="1"/>
  <c r="BF87" i="1" s="1"/>
  <c r="BJ87" i="1" s="1"/>
  <c r="BQ82" i="1"/>
  <c r="BU82" i="1" s="1"/>
  <c r="BY82" i="1" s="1"/>
  <c r="BD82" i="1"/>
  <c r="BH82" i="1" s="1"/>
  <c r="BL82" i="1" s="1"/>
  <c r="BC82" i="1"/>
  <c r="BG82" i="1" s="1"/>
  <c r="BK82" i="1" s="1"/>
  <c r="BA82" i="1"/>
  <c r="BE82" i="1" s="1"/>
  <c r="BI82" i="1" s="1"/>
  <c r="BO82" i="1"/>
  <c r="BS82" i="1" s="1"/>
  <c r="BW82" i="1" s="1"/>
  <c r="BN82" i="1"/>
  <c r="BR82" i="1" s="1"/>
  <c r="BV82" i="1" s="1"/>
  <c r="BB82" i="1"/>
  <c r="BF82" i="1" s="1"/>
  <c r="BJ82" i="1" s="1"/>
  <c r="BP82" i="1"/>
  <c r="BT82" i="1" s="1"/>
  <c r="BX82" i="1" s="1"/>
  <c r="BB92" i="1"/>
  <c r="BF92" i="1" s="1"/>
  <c r="BJ92" i="1" s="1"/>
  <c r="BP92" i="1"/>
  <c r="BT92" i="1" s="1"/>
  <c r="BX92" i="1" s="1"/>
  <c r="BN92" i="1"/>
  <c r="BR92" i="1" s="1"/>
  <c r="BV92" i="1" s="1"/>
  <c r="BA92" i="1"/>
  <c r="BE92" i="1" s="1"/>
  <c r="BI92" i="1" s="1"/>
  <c r="BO92" i="1"/>
  <c r="BS92" i="1" s="1"/>
  <c r="BW92" i="1" s="1"/>
  <c r="BD92" i="1"/>
  <c r="BH92" i="1" s="1"/>
  <c r="BL92" i="1" s="1"/>
  <c r="BQ92" i="1"/>
  <c r="BU92" i="1" s="1"/>
  <c r="BY92" i="1" s="1"/>
  <c r="BC92" i="1"/>
  <c r="BG92" i="1" s="1"/>
  <c r="BK92" i="1" s="1"/>
  <c r="BN90" i="1"/>
  <c r="BR90" i="1" s="1"/>
  <c r="BV90" i="1" s="1"/>
  <c r="BB90" i="1"/>
  <c r="BF90" i="1" s="1"/>
  <c r="BJ90" i="1" s="1"/>
  <c r="BO90" i="1"/>
  <c r="BS90" i="1" s="1"/>
  <c r="BW90" i="1" s="1"/>
  <c r="BC90" i="1"/>
  <c r="BG90" i="1" s="1"/>
  <c r="BK90" i="1" s="1"/>
  <c r="BD90" i="1"/>
  <c r="BH90" i="1" s="1"/>
  <c r="BL90" i="1" s="1"/>
  <c r="BP90" i="1"/>
  <c r="BT90" i="1" s="1"/>
  <c r="BX90" i="1" s="1"/>
  <c r="BA90" i="1"/>
  <c r="BE90" i="1" s="1"/>
  <c r="BI90" i="1" s="1"/>
  <c r="BQ90" i="1"/>
  <c r="BU90" i="1" s="1"/>
  <c r="BY90" i="1" s="1"/>
  <c r="BN78" i="1"/>
  <c r="BR78" i="1" s="1"/>
  <c r="BV78" i="1" s="1"/>
  <c r="BA78" i="1"/>
  <c r="BE78" i="1" s="1"/>
  <c r="BI78" i="1" s="1"/>
  <c r="BN80" i="1"/>
  <c r="BR80" i="1" s="1"/>
  <c r="BV80" i="1" s="1"/>
  <c r="BA80" i="1"/>
  <c r="BE80" i="1" s="1"/>
  <c r="BI80" i="1" s="1"/>
  <c r="BD80" i="1"/>
  <c r="BH80" i="1" s="1"/>
  <c r="BL80" i="1" s="1"/>
  <c r="BB80" i="1"/>
  <c r="BF80" i="1" s="1"/>
  <c r="BJ80" i="1" s="1"/>
  <c r="BC80" i="1"/>
  <c r="BG80" i="1" s="1"/>
  <c r="BK80" i="1" s="1"/>
  <c r="BQ80" i="1"/>
  <c r="BU80" i="1" s="1"/>
  <c r="BY80" i="1" s="1"/>
  <c r="BO80" i="1"/>
  <c r="BS80" i="1" s="1"/>
  <c r="BW80" i="1" s="1"/>
  <c r="BP80" i="1"/>
  <c r="BT80" i="1" s="1"/>
  <c r="BX80" i="1" s="1"/>
  <c r="BB78" i="1"/>
  <c r="BF78" i="1" s="1"/>
  <c r="BJ78" i="1" s="1"/>
  <c r="BQ78" i="1"/>
  <c r="BU78" i="1" s="1"/>
  <c r="BY78" i="1" s="1"/>
  <c r="BO78" i="1"/>
  <c r="BS78" i="1" s="1"/>
  <c r="BW78" i="1" s="1"/>
  <c r="BP78" i="1"/>
  <c r="BT78" i="1" s="1"/>
  <c r="BX78" i="1" s="1"/>
  <c r="BC78" i="1"/>
  <c r="BG78" i="1" s="1"/>
  <c r="BK78" i="1" s="1"/>
  <c r="BD78" i="1"/>
  <c r="BH78" i="1" s="1"/>
  <c r="BL78" i="1" s="1"/>
  <c r="BB81" i="1"/>
  <c r="BF81" i="1" s="1"/>
  <c r="BJ81" i="1" s="1"/>
  <c r="BN81" i="1"/>
  <c r="BR81" i="1" s="1"/>
  <c r="BV81" i="1" s="1"/>
  <c r="BQ81" i="1"/>
  <c r="BU81" i="1" s="1"/>
  <c r="BY81" i="1" s="1"/>
  <c r="BA81" i="1"/>
  <c r="BE81" i="1" s="1"/>
  <c r="BI81" i="1" s="1"/>
  <c r="BP81" i="1"/>
  <c r="BT81" i="1" s="1"/>
  <c r="BX81" i="1" s="1"/>
  <c r="BD81" i="1"/>
  <c r="BH81" i="1" s="1"/>
  <c r="BL81" i="1" s="1"/>
  <c r="BC81" i="1"/>
  <c r="BG81" i="1" s="1"/>
  <c r="BK81" i="1" s="1"/>
  <c r="BO81" i="1"/>
  <c r="BS81" i="1" s="1"/>
  <c r="BW81" i="1" s="1"/>
  <c r="BN79" i="1"/>
  <c r="BR79" i="1" s="1"/>
  <c r="BV79" i="1" s="1"/>
  <c r="BO79" i="1"/>
  <c r="BS79" i="1" s="1"/>
  <c r="BW79" i="1" s="1"/>
  <c r="BB79" i="1"/>
  <c r="BF79" i="1" s="1"/>
  <c r="BJ79" i="1" s="1"/>
  <c r="BD79" i="1"/>
  <c r="BH79" i="1" s="1"/>
  <c r="BL79" i="1" s="1"/>
  <c r="BQ79" i="1"/>
  <c r="BU79" i="1" s="1"/>
  <c r="BY79" i="1" s="1"/>
  <c r="BP79" i="1"/>
  <c r="BT79" i="1" s="1"/>
  <c r="BX79" i="1" s="1"/>
  <c r="BA79" i="1"/>
  <c r="BE79" i="1" s="1"/>
  <c r="BI79" i="1" s="1"/>
  <c r="BC79" i="1"/>
  <c r="BG79" i="1" s="1"/>
  <c r="BK79" i="1" s="1"/>
  <c r="BN75" i="1"/>
  <c r="BR75" i="1" s="1"/>
  <c r="BV75" i="1" s="1"/>
  <c r="BA75" i="1"/>
  <c r="BE75" i="1" s="1"/>
  <c r="BI75" i="1" s="1"/>
  <c r="BA74" i="1"/>
  <c r="BE74" i="1" s="1"/>
  <c r="BI74" i="1" s="1"/>
  <c r="BN74" i="1"/>
  <c r="BR74" i="1" s="1"/>
  <c r="BV74" i="1" s="1"/>
  <c r="BD75" i="1"/>
  <c r="BH75" i="1" s="1"/>
  <c r="BL75" i="1" s="1"/>
  <c r="BB75" i="1"/>
  <c r="BF75" i="1" s="1"/>
  <c r="BJ75" i="1" s="1"/>
  <c r="BQ75" i="1"/>
  <c r="BU75" i="1" s="1"/>
  <c r="BY75" i="1" s="1"/>
  <c r="BO75" i="1"/>
  <c r="BS75" i="1" s="1"/>
  <c r="BW75" i="1" s="1"/>
  <c r="BC75" i="1"/>
  <c r="BG75" i="1" s="1"/>
  <c r="BK75" i="1" s="1"/>
  <c r="BP75" i="1"/>
  <c r="BT75" i="1" s="1"/>
  <c r="BX75" i="1" s="1"/>
  <c r="BB73" i="1"/>
  <c r="BF73" i="1" s="1"/>
  <c r="BJ73" i="1" s="1"/>
  <c r="BD73" i="1"/>
  <c r="BH73" i="1" s="1"/>
  <c r="BL73" i="1" s="1"/>
  <c r="BO73" i="1"/>
  <c r="BS73" i="1" s="1"/>
  <c r="BW73" i="1" s="1"/>
  <c r="BQ73" i="1"/>
  <c r="BU73" i="1" s="1"/>
  <c r="BY73" i="1" s="1"/>
  <c r="BN73" i="1"/>
  <c r="BR73" i="1" s="1"/>
  <c r="BV73" i="1" s="1"/>
  <c r="BA73" i="1"/>
  <c r="BE73" i="1" s="1"/>
  <c r="BI73" i="1" s="1"/>
  <c r="BC73" i="1"/>
  <c r="BG73" i="1" s="1"/>
  <c r="BK73" i="1" s="1"/>
  <c r="BP73" i="1"/>
  <c r="BT73" i="1" s="1"/>
  <c r="BX73" i="1" s="1"/>
  <c r="BQ72" i="1"/>
  <c r="BU72" i="1" s="1"/>
  <c r="BY72" i="1" s="1"/>
  <c r="BB72" i="1"/>
  <c r="BF72" i="1" s="1"/>
  <c r="BJ72" i="1" s="1"/>
  <c r="BD72" i="1"/>
  <c r="BH72" i="1" s="1"/>
  <c r="BL72" i="1" s="1"/>
  <c r="BO72" i="1"/>
  <c r="BS72" i="1" s="1"/>
  <c r="BW72" i="1" s="1"/>
  <c r="BA72" i="1"/>
  <c r="BE72" i="1" s="1"/>
  <c r="BI72" i="1" s="1"/>
  <c r="BN72" i="1"/>
  <c r="BR72" i="1" s="1"/>
  <c r="BV72" i="1" s="1"/>
  <c r="BC72" i="1"/>
  <c r="BG72" i="1" s="1"/>
  <c r="BK72" i="1" s="1"/>
  <c r="BP72" i="1"/>
  <c r="BT72" i="1" s="1"/>
  <c r="BX72" i="1" s="1"/>
  <c r="BQ61" i="1"/>
  <c r="BU61" i="1" s="1"/>
  <c r="BY61" i="1" s="1"/>
  <c r="BB61" i="1"/>
  <c r="BF61" i="1" s="1"/>
  <c r="BJ61" i="1" s="1"/>
  <c r="BO61" i="1"/>
  <c r="BS61" i="1" s="1"/>
  <c r="BW61" i="1" s="1"/>
  <c r="BD61" i="1"/>
  <c r="BH61" i="1" s="1"/>
  <c r="BL61" i="1" s="1"/>
  <c r="BN61" i="1"/>
  <c r="BR61" i="1" s="1"/>
  <c r="BV61" i="1" s="1"/>
  <c r="BA61" i="1"/>
  <c r="BE61" i="1" s="1"/>
  <c r="BI61" i="1" s="1"/>
  <c r="BP61" i="1"/>
  <c r="BT61" i="1" s="1"/>
  <c r="BX61" i="1" s="1"/>
  <c r="BC61" i="1"/>
  <c r="BG61" i="1" s="1"/>
  <c r="BK61" i="1" s="1"/>
  <c r="BD69" i="1"/>
  <c r="BH69" i="1" s="1"/>
  <c r="BL69" i="1" s="1"/>
  <c r="BO69" i="1"/>
  <c r="BS69" i="1" s="1"/>
  <c r="BW69" i="1" s="1"/>
  <c r="BQ69" i="1"/>
  <c r="BU69" i="1" s="1"/>
  <c r="BY69" i="1" s="1"/>
  <c r="BB69" i="1"/>
  <c r="BF69" i="1" s="1"/>
  <c r="BJ69" i="1" s="1"/>
  <c r="BA69" i="1"/>
  <c r="BE69" i="1" s="1"/>
  <c r="BI69" i="1" s="1"/>
  <c r="BN69" i="1"/>
  <c r="BR69" i="1" s="1"/>
  <c r="BV69" i="1" s="1"/>
  <c r="BP69" i="1"/>
  <c r="BT69" i="1" s="1"/>
  <c r="BX69" i="1" s="1"/>
  <c r="BC69" i="1"/>
  <c r="BG69" i="1" s="1"/>
  <c r="BK69" i="1" s="1"/>
  <c r="BD68" i="1"/>
  <c r="BH68" i="1" s="1"/>
  <c r="BL68" i="1" s="1"/>
  <c r="BO68" i="1"/>
  <c r="BS68" i="1" s="1"/>
  <c r="BW68" i="1" s="1"/>
  <c r="BQ68" i="1"/>
  <c r="BU68" i="1" s="1"/>
  <c r="BY68" i="1" s="1"/>
  <c r="BB68" i="1"/>
  <c r="BF68" i="1" s="1"/>
  <c r="BJ68" i="1" s="1"/>
  <c r="BN68" i="1"/>
  <c r="BR68" i="1" s="1"/>
  <c r="BV68" i="1" s="1"/>
  <c r="BA68" i="1"/>
  <c r="BE68" i="1" s="1"/>
  <c r="BI68" i="1" s="1"/>
  <c r="BC68" i="1"/>
  <c r="BG68" i="1" s="1"/>
  <c r="BK68" i="1" s="1"/>
  <c r="BP68" i="1"/>
  <c r="BT68" i="1" s="1"/>
  <c r="BX68" i="1" s="1"/>
  <c r="BO66" i="1"/>
  <c r="BS66" i="1" s="1"/>
  <c r="BW66" i="1" s="1"/>
  <c r="BD66" i="1"/>
  <c r="BH66" i="1" s="1"/>
  <c r="BL66" i="1" s="1"/>
  <c r="BB66" i="1"/>
  <c r="BF66" i="1" s="1"/>
  <c r="BJ66" i="1" s="1"/>
  <c r="BQ66" i="1"/>
  <c r="BU66" i="1" s="1"/>
  <c r="BY66" i="1" s="1"/>
  <c r="BN66" i="1"/>
  <c r="BR66" i="1" s="1"/>
  <c r="BV66" i="1" s="1"/>
  <c r="BA66" i="1"/>
  <c r="BE66" i="1" s="1"/>
  <c r="BI66" i="1" s="1"/>
  <c r="BC66" i="1"/>
  <c r="BG66" i="1" s="1"/>
  <c r="BK66" i="1" s="1"/>
  <c r="BP66" i="1"/>
  <c r="BT66" i="1" s="1"/>
  <c r="BX66" i="1" s="1"/>
  <c r="BO74" i="1"/>
  <c r="BS74" i="1" s="1"/>
  <c r="BW74" i="1" s="1"/>
  <c r="BD74" i="1"/>
  <c r="BH74" i="1" s="1"/>
  <c r="BL74" i="1" s="1"/>
  <c r="BB74" i="1"/>
  <c r="BF74" i="1" s="1"/>
  <c r="BJ74" i="1" s="1"/>
  <c r="BQ74" i="1"/>
  <c r="BU74" i="1" s="1"/>
  <c r="BY74" i="1" s="1"/>
  <c r="BP74" i="1"/>
  <c r="BT74" i="1" s="1"/>
  <c r="BX74" i="1" s="1"/>
  <c r="BC74" i="1"/>
  <c r="BG74" i="1" s="1"/>
  <c r="BK74" i="1" s="1"/>
  <c r="BD77" i="1"/>
  <c r="BH77" i="1" s="1"/>
  <c r="BL77" i="1" s="1"/>
  <c r="BQ77" i="1"/>
  <c r="BU77" i="1" s="1"/>
  <c r="BY77" i="1" s="1"/>
  <c r="BB77" i="1"/>
  <c r="BF77" i="1" s="1"/>
  <c r="BJ77" i="1" s="1"/>
  <c r="BO77" i="1"/>
  <c r="BS77" i="1" s="1"/>
  <c r="BW77" i="1" s="1"/>
  <c r="BN77" i="1"/>
  <c r="BR77" i="1" s="1"/>
  <c r="BV77" i="1" s="1"/>
  <c r="BA77" i="1"/>
  <c r="BE77" i="1" s="1"/>
  <c r="BI77" i="1" s="1"/>
  <c r="BC77" i="1"/>
  <c r="BG77" i="1" s="1"/>
  <c r="BK77" i="1" s="1"/>
  <c r="BP77" i="1"/>
  <c r="BT77" i="1" s="1"/>
  <c r="BX77" i="1" s="1"/>
  <c r="BQ60" i="1"/>
  <c r="BU60" i="1" s="1"/>
  <c r="BY60" i="1" s="1"/>
  <c r="BB60" i="1"/>
  <c r="BF60" i="1" s="1"/>
  <c r="BJ60" i="1" s="1"/>
  <c r="BD60" i="1"/>
  <c r="BH60" i="1" s="1"/>
  <c r="BL60" i="1" s="1"/>
  <c r="BO60" i="1"/>
  <c r="BS60" i="1" s="1"/>
  <c r="BW60" i="1" s="1"/>
  <c r="BA60" i="1"/>
  <c r="BE60" i="1" s="1"/>
  <c r="BI60" i="1" s="1"/>
  <c r="BN60" i="1"/>
  <c r="BR60" i="1" s="1"/>
  <c r="BV60" i="1" s="1"/>
  <c r="BP60" i="1"/>
  <c r="BT60" i="1" s="1"/>
  <c r="BX60" i="1" s="1"/>
  <c r="BC60" i="1"/>
  <c r="BG60" i="1" s="1"/>
  <c r="BK60" i="1" s="1"/>
  <c r="BB70" i="1"/>
  <c r="BF70" i="1" s="1"/>
  <c r="BJ70" i="1" s="1"/>
  <c r="BQ70" i="1"/>
  <c r="BU70" i="1" s="1"/>
  <c r="BY70" i="1" s="1"/>
  <c r="BO70" i="1"/>
  <c r="BS70" i="1" s="1"/>
  <c r="BW70" i="1" s="1"/>
  <c r="BD70" i="1"/>
  <c r="BH70" i="1" s="1"/>
  <c r="BL70" i="1" s="1"/>
  <c r="BN70" i="1"/>
  <c r="BR70" i="1" s="1"/>
  <c r="BV70" i="1" s="1"/>
  <c r="BA70" i="1"/>
  <c r="BE70" i="1" s="1"/>
  <c r="BI70" i="1" s="1"/>
  <c r="BP70" i="1"/>
  <c r="BT70" i="1" s="1"/>
  <c r="BX70" i="1" s="1"/>
  <c r="BC70" i="1"/>
  <c r="BG70" i="1" s="1"/>
  <c r="BK70" i="1" s="1"/>
  <c r="BQ65" i="1"/>
  <c r="BU65" i="1" s="1"/>
  <c r="BY65" i="1" s="1"/>
  <c r="BB65" i="1"/>
  <c r="BF65" i="1" s="1"/>
  <c r="BJ65" i="1" s="1"/>
  <c r="BO65" i="1"/>
  <c r="BS65" i="1" s="1"/>
  <c r="BW65" i="1" s="1"/>
  <c r="BD65" i="1"/>
  <c r="BH65" i="1" s="1"/>
  <c r="BL65" i="1" s="1"/>
  <c r="BA65" i="1"/>
  <c r="BE65" i="1" s="1"/>
  <c r="BI65" i="1" s="1"/>
  <c r="BN65" i="1"/>
  <c r="BR65" i="1" s="1"/>
  <c r="BV65" i="1" s="1"/>
  <c r="BP65" i="1"/>
  <c r="BT65" i="1" s="1"/>
  <c r="BX65" i="1" s="1"/>
  <c r="BC65" i="1"/>
  <c r="BG65" i="1" s="1"/>
  <c r="BK65" i="1" s="1"/>
  <c r="BO71" i="1"/>
  <c r="BS71" i="1" s="1"/>
  <c r="BW71" i="1" s="1"/>
  <c r="BB71" i="1"/>
  <c r="BF71" i="1" s="1"/>
  <c r="BJ71" i="1" s="1"/>
  <c r="BD71" i="1"/>
  <c r="BH71" i="1" s="1"/>
  <c r="BL71" i="1" s="1"/>
  <c r="BQ71" i="1"/>
  <c r="BU71" i="1" s="1"/>
  <c r="BY71" i="1" s="1"/>
  <c r="BA71" i="1"/>
  <c r="BE71" i="1" s="1"/>
  <c r="BI71" i="1" s="1"/>
  <c r="BN71" i="1"/>
  <c r="BR71" i="1" s="1"/>
  <c r="BV71" i="1" s="1"/>
  <c r="BC71" i="1"/>
  <c r="BG71" i="1" s="1"/>
  <c r="BK71" i="1" s="1"/>
  <c r="BP71" i="1"/>
  <c r="BT71" i="1" s="1"/>
  <c r="BX71" i="1" s="1"/>
  <c r="BD64" i="1"/>
  <c r="BH64" i="1" s="1"/>
  <c r="BL64" i="1" s="1"/>
  <c r="BQ64" i="1"/>
  <c r="BU64" i="1" s="1"/>
  <c r="BY64" i="1" s="1"/>
  <c r="BO64" i="1"/>
  <c r="BS64" i="1" s="1"/>
  <c r="BW64" i="1" s="1"/>
  <c r="BB64" i="1"/>
  <c r="BF64" i="1" s="1"/>
  <c r="BJ64" i="1" s="1"/>
  <c r="BA64" i="1"/>
  <c r="BE64" i="1" s="1"/>
  <c r="BI64" i="1" s="1"/>
  <c r="BN64" i="1"/>
  <c r="BR64" i="1" s="1"/>
  <c r="BV64" i="1" s="1"/>
  <c r="BC64" i="1"/>
  <c r="BG64" i="1" s="1"/>
  <c r="BK64" i="1" s="1"/>
  <c r="BP64" i="1"/>
  <c r="BT64" i="1" s="1"/>
  <c r="BX64" i="1" s="1"/>
  <c r="BB63" i="1"/>
  <c r="BF63" i="1" s="1"/>
  <c r="BJ63" i="1" s="1"/>
  <c r="BO63" i="1"/>
  <c r="BS63" i="1" s="1"/>
  <c r="BW63" i="1" s="1"/>
  <c r="BQ63" i="1"/>
  <c r="BU63" i="1" s="1"/>
  <c r="BY63" i="1" s="1"/>
  <c r="BD63" i="1"/>
  <c r="BH63" i="1" s="1"/>
  <c r="BL63" i="1" s="1"/>
  <c r="BN63" i="1"/>
  <c r="BR63" i="1" s="1"/>
  <c r="BV63" i="1" s="1"/>
  <c r="BA63" i="1"/>
  <c r="BE63" i="1" s="1"/>
  <c r="BI63" i="1" s="1"/>
  <c r="BC63" i="1"/>
  <c r="BG63" i="1" s="1"/>
  <c r="BK63" i="1" s="1"/>
  <c r="BP63" i="1"/>
  <c r="BT63" i="1" s="1"/>
  <c r="BX63" i="1" s="1"/>
  <c r="BQ67" i="1"/>
  <c r="BU67" i="1" s="1"/>
  <c r="BY67" i="1" s="1"/>
  <c r="BO67" i="1"/>
  <c r="BS67" i="1" s="1"/>
  <c r="BW67" i="1" s="1"/>
  <c r="BB67" i="1"/>
  <c r="BF67" i="1" s="1"/>
  <c r="BJ67" i="1" s="1"/>
  <c r="BD67" i="1"/>
  <c r="BH67" i="1" s="1"/>
  <c r="BL67" i="1" s="1"/>
  <c r="BN67" i="1"/>
  <c r="BR67" i="1" s="1"/>
  <c r="BV67" i="1" s="1"/>
  <c r="BA67" i="1"/>
  <c r="BE67" i="1" s="1"/>
  <c r="BI67" i="1" s="1"/>
  <c r="BP67" i="1"/>
  <c r="BT67" i="1" s="1"/>
  <c r="BX67" i="1" s="1"/>
  <c r="BC67" i="1"/>
  <c r="BG67" i="1" s="1"/>
  <c r="BK67" i="1" s="1"/>
  <c r="BO76" i="1"/>
  <c r="BS76" i="1" s="1"/>
  <c r="BW76" i="1" s="1"/>
  <c r="BB76" i="1"/>
  <c r="BF76" i="1" s="1"/>
  <c r="BJ76" i="1" s="1"/>
  <c r="BQ76" i="1"/>
  <c r="BU76" i="1" s="1"/>
  <c r="BY76" i="1" s="1"/>
  <c r="BD76" i="1"/>
  <c r="BH76" i="1" s="1"/>
  <c r="BL76" i="1" s="1"/>
  <c r="BA76" i="1"/>
  <c r="BE76" i="1" s="1"/>
  <c r="BI76" i="1" s="1"/>
  <c r="BN76" i="1"/>
  <c r="BR76" i="1" s="1"/>
  <c r="BV76" i="1" s="1"/>
  <c r="BP76" i="1"/>
  <c r="BT76" i="1" s="1"/>
  <c r="BX76" i="1" s="1"/>
  <c r="BC76" i="1"/>
  <c r="BG76" i="1" s="1"/>
  <c r="BK76" i="1" s="1"/>
  <c r="BB62" i="1"/>
  <c r="BF62" i="1" s="1"/>
  <c r="BJ62" i="1" s="1"/>
  <c r="BO62" i="1"/>
  <c r="BS62" i="1" s="1"/>
  <c r="BW62" i="1" s="1"/>
  <c r="BD62" i="1"/>
  <c r="BH62" i="1" s="1"/>
  <c r="BL62" i="1" s="1"/>
  <c r="BQ62" i="1"/>
  <c r="BU62" i="1" s="1"/>
  <c r="BY62" i="1" s="1"/>
  <c r="BA62" i="1"/>
  <c r="BE62" i="1" s="1"/>
  <c r="BI62" i="1" s="1"/>
  <c r="BN62" i="1"/>
  <c r="BR62" i="1" s="1"/>
  <c r="BV62" i="1" s="1"/>
  <c r="BC62" i="1"/>
  <c r="BG62" i="1" s="1"/>
  <c r="BK62" i="1" s="1"/>
  <c r="BP62" i="1"/>
  <c r="BT62" i="1" s="1"/>
  <c r="BX62" i="1" s="1"/>
  <c r="BP43" i="1"/>
  <c r="BT43" i="1" s="1"/>
  <c r="BX43" i="1" s="1"/>
  <c r="BQ43" i="1"/>
  <c r="BU43" i="1" s="1"/>
  <c r="BY43" i="1" s="1"/>
  <c r="BB43" i="1"/>
  <c r="BF43" i="1" s="1"/>
  <c r="BJ43" i="1" s="1"/>
  <c r="BA43" i="1"/>
  <c r="BE43" i="1" s="1"/>
  <c r="BI43" i="1" s="1"/>
  <c r="BC43" i="1"/>
  <c r="BG43" i="1" s="1"/>
  <c r="BK43" i="1" s="1"/>
  <c r="BO43" i="1"/>
  <c r="BS43" i="1" s="1"/>
  <c r="BW43" i="1" s="1"/>
  <c r="BN43" i="1"/>
  <c r="BR43" i="1" s="1"/>
  <c r="BV43" i="1" s="1"/>
  <c r="BD43" i="1"/>
  <c r="BH43" i="1" s="1"/>
  <c r="BL43" i="1" s="1"/>
  <c r="BO25" i="1"/>
  <c r="BS25" i="1" s="1"/>
  <c r="BW25" i="1" s="1"/>
  <c r="BQ25" i="1"/>
  <c r="BU25" i="1" s="1"/>
  <c r="BY25" i="1" s="1"/>
  <c r="BN25" i="1"/>
  <c r="BR25" i="1" s="1"/>
  <c r="BV25" i="1" s="1"/>
  <c r="BD25" i="1"/>
  <c r="BH25" i="1" s="1"/>
  <c r="BL25" i="1" s="1"/>
  <c r="BP25" i="1"/>
  <c r="BT25" i="1" s="1"/>
  <c r="BX25" i="1" s="1"/>
  <c r="BC25" i="1"/>
  <c r="BG25" i="1" s="1"/>
  <c r="BK25" i="1" s="1"/>
  <c r="BB25" i="1"/>
  <c r="BF25" i="1" s="1"/>
  <c r="BJ25" i="1" s="1"/>
  <c r="BA25" i="1"/>
  <c r="BE25" i="1" s="1"/>
  <c r="BI25" i="1" s="1"/>
  <c r="BO22" i="1"/>
  <c r="BS22" i="1" s="1"/>
  <c r="BW22" i="1" s="1"/>
  <c r="BD22" i="1"/>
  <c r="BH22" i="1" s="1"/>
  <c r="BL22" i="1" s="1"/>
  <c r="BP22" i="1"/>
  <c r="BT22" i="1" s="1"/>
  <c r="BX22" i="1" s="1"/>
  <c r="BC22" i="1"/>
  <c r="BG22" i="1" s="1"/>
  <c r="BK22" i="1" s="1"/>
  <c r="BQ22" i="1"/>
  <c r="BU22" i="1" s="1"/>
  <c r="BY22" i="1" s="1"/>
  <c r="BB22" i="1"/>
  <c r="BF22" i="1" s="1"/>
  <c r="BJ22" i="1" s="1"/>
  <c r="BN22" i="1"/>
  <c r="BR22" i="1" s="1"/>
  <c r="BV22" i="1" s="1"/>
  <c r="BA22" i="1"/>
  <c r="BE22" i="1" s="1"/>
  <c r="BI22" i="1" s="1"/>
  <c r="BD50" i="1"/>
  <c r="BH50" i="1" s="1"/>
  <c r="BL50" i="1" s="1"/>
  <c r="BC50" i="1"/>
  <c r="BG50" i="1" s="1"/>
  <c r="BK50" i="1" s="1"/>
  <c r="BO50" i="1"/>
  <c r="BS50" i="1" s="1"/>
  <c r="BW50" i="1" s="1"/>
  <c r="BB50" i="1"/>
  <c r="BF50" i="1" s="1"/>
  <c r="BJ50" i="1" s="1"/>
  <c r="BN50" i="1"/>
  <c r="BR50" i="1" s="1"/>
  <c r="BV50" i="1" s="1"/>
  <c r="BA50" i="1"/>
  <c r="BE50" i="1" s="1"/>
  <c r="BI50" i="1" s="1"/>
  <c r="BP50" i="1"/>
  <c r="BT50" i="1" s="1"/>
  <c r="BX50" i="1" s="1"/>
  <c r="BQ50" i="1"/>
  <c r="BU50" i="1" s="1"/>
  <c r="BY50" i="1" s="1"/>
  <c r="BB16" i="1"/>
  <c r="BF16" i="1" s="1"/>
  <c r="BJ16" i="1" s="1"/>
  <c r="BO16" i="1"/>
  <c r="BS16" i="1" s="1"/>
  <c r="BW16" i="1" s="1"/>
  <c r="BN16" i="1"/>
  <c r="BR16" i="1" s="1"/>
  <c r="BV16" i="1" s="1"/>
  <c r="BD16" i="1"/>
  <c r="BH16" i="1" s="1"/>
  <c r="BL16" i="1" s="1"/>
  <c r="BQ16" i="1"/>
  <c r="BU16" i="1" s="1"/>
  <c r="BY16" i="1" s="1"/>
  <c r="BA16" i="1"/>
  <c r="BE16" i="1" s="1"/>
  <c r="BI16" i="1" s="1"/>
  <c r="BC16" i="1"/>
  <c r="BG16" i="1" s="1"/>
  <c r="BK16" i="1" s="1"/>
  <c r="BP16" i="1"/>
  <c r="BT16" i="1" s="1"/>
  <c r="BX16" i="1" s="1"/>
  <c r="BQ15" i="1"/>
  <c r="BU15" i="1" s="1"/>
  <c r="BY15" i="1" s="1"/>
  <c r="BC15" i="1"/>
  <c r="BG15" i="1" s="1"/>
  <c r="BK15" i="1" s="1"/>
  <c r="BB15" i="1"/>
  <c r="BF15" i="1" s="1"/>
  <c r="BJ15" i="1" s="1"/>
  <c r="BD15" i="1"/>
  <c r="BH15" i="1" s="1"/>
  <c r="BL15" i="1" s="1"/>
  <c r="BP15" i="1"/>
  <c r="BT15" i="1" s="1"/>
  <c r="BX15" i="1" s="1"/>
  <c r="BO15" i="1"/>
  <c r="BS15" i="1" s="1"/>
  <c r="BW15" i="1" s="1"/>
  <c r="BN15" i="1"/>
  <c r="BR15" i="1" s="1"/>
  <c r="BV15" i="1" s="1"/>
  <c r="BA15" i="1"/>
  <c r="BE15" i="1" s="1"/>
  <c r="BI15" i="1" s="1"/>
  <c r="BP54" i="1"/>
  <c r="BT54" i="1" s="1"/>
  <c r="BX54" i="1" s="1"/>
  <c r="BA54" i="1"/>
  <c r="BE54" i="1" s="1"/>
  <c r="BI54" i="1" s="1"/>
  <c r="BQ54" i="1"/>
  <c r="BU54" i="1" s="1"/>
  <c r="BY54" i="1" s="1"/>
  <c r="BB54" i="1"/>
  <c r="BF54" i="1" s="1"/>
  <c r="BJ54" i="1" s="1"/>
  <c r="BN54" i="1"/>
  <c r="BR54" i="1" s="1"/>
  <c r="BV54" i="1" s="1"/>
  <c r="BD54" i="1"/>
  <c r="BH54" i="1" s="1"/>
  <c r="BL54" i="1" s="1"/>
  <c r="BC54" i="1"/>
  <c r="BG54" i="1" s="1"/>
  <c r="BK54" i="1" s="1"/>
  <c r="BO54" i="1"/>
  <c r="BS54" i="1" s="1"/>
  <c r="BW54" i="1" s="1"/>
  <c r="BD31" i="1"/>
  <c r="BH31" i="1" s="1"/>
  <c r="BL31" i="1" s="1"/>
  <c r="BC31" i="1"/>
  <c r="BG31" i="1" s="1"/>
  <c r="BK31" i="1" s="1"/>
  <c r="BO31" i="1"/>
  <c r="BS31" i="1" s="1"/>
  <c r="BW31" i="1" s="1"/>
  <c r="BP31" i="1"/>
  <c r="BT31" i="1" s="1"/>
  <c r="BX31" i="1" s="1"/>
  <c r="BA31" i="1"/>
  <c r="BE31" i="1" s="1"/>
  <c r="BI31" i="1" s="1"/>
  <c r="BQ31" i="1"/>
  <c r="BU31" i="1" s="1"/>
  <c r="BY31" i="1" s="1"/>
  <c r="BB31" i="1"/>
  <c r="BF31" i="1" s="1"/>
  <c r="BJ31" i="1" s="1"/>
  <c r="BN31" i="1"/>
  <c r="BR31" i="1" s="1"/>
  <c r="BV31" i="1" s="1"/>
  <c r="BB14" i="1"/>
  <c r="BF14" i="1" s="1"/>
  <c r="BJ14" i="1" s="1"/>
  <c r="BO14" i="1"/>
  <c r="BS14" i="1" s="1"/>
  <c r="BW14" i="1" s="1"/>
  <c r="BD14" i="1"/>
  <c r="BH14" i="1" s="1"/>
  <c r="BL14" i="1" s="1"/>
  <c r="BP14" i="1"/>
  <c r="BT14" i="1" s="1"/>
  <c r="BX14" i="1" s="1"/>
  <c r="BC14" i="1"/>
  <c r="BG14" i="1" s="1"/>
  <c r="BK14" i="1" s="1"/>
  <c r="BQ14" i="1"/>
  <c r="BU14" i="1" s="1"/>
  <c r="BY14" i="1" s="1"/>
  <c r="BA14" i="1"/>
  <c r="BE14" i="1" s="1"/>
  <c r="BI14" i="1" s="1"/>
  <c r="BN14" i="1"/>
  <c r="BR14" i="1" s="1"/>
  <c r="BV14" i="1" s="1"/>
  <c r="BO55" i="1"/>
  <c r="BS55" i="1" s="1"/>
  <c r="BW55" i="1" s="1"/>
  <c r="BD55" i="1"/>
  <c r="BH55" i="1" s="1"/>
  <c r="BL55" i="1" s="1"/>
  <c r="BC55" i="1"/>
  <c r="BG55" i="1" s="1"/>
  <c r="BK55" i="1" s="1"/>
  <c r="BN55" i="1"/>
  <c r="BR55" i="1" s="1"/>
  <c r="BV55" i="1" s="1"/>
  <c r="BQ55" i="1"/>
  <c r="BU55" i="1" s="1"/>
  <c r="BY55" i="1" s="1"/>
  <c r="BA55" i="1"/>
  <c r="BE55" i="1" s="1"/>
  <c r="BI55" i="1" s="1"/>
  <c r="BB55" i="1"/>
  <c r="BF55" i="1" s="1"/>
  <c r="BJ55" i="1" s="1"/>
  <c r="BP55" i="1"/>
  <c r="BT55" i="1" s="1"/>
  <c r="BX55" i="1" s="1"/>
  <c r="BA29" i="1"/>
  <c r="BE29" i="1" s="1"/>
  <c r="BI29" i="1" s="1"/>
  <c r="BN29" i="1"/>
  <c r="BR29" i="1" s="1"/>
  <c r="BV29" i="1" s="1"/>
  <c r="BC29" i="1"/>
  <c r="BG29" i="1" s="1"/>
  <c r="BK29" i="1" s="1"/>
  <c r="BB29" i="1"/>
  <c r="BF29" i="1" s="1"/>
  <c r="BJ29" i="1" s="1"/>
  <c r="BP29" i="1"/>
  <c r="BT29" i="1" s="1"/>
  <c r="BX29" i="1" s="1"/>
  <c r="BO29" i="1"/>
  <c r="BS29" i="1" s="1"/>
  <c r="BW29" i="1" s="1"/>
  <c r="BD29" i="1"/>
  <c r="BH29" i="1" s="1"/>
  <c r="BL29" i="1" s="1"/>
  <c r="BQ29" i="1"/>
  <c r="BU29" i="1" s="1"/>
  <c r="BY29" i="1" s="1"/>
  <c r="BP11" i="1"/>
  <c r="BT11" i="1" s="1"/>
  <c r="BX11" i="1" s="1"/>
  <c r="BQ11" i="1"/>
  <c r="BU11" i="1" s="1"/>
  <c r="BY11" i="1" s="1"/>
  <c r="BB11" i="1"/>
  <c r="BF11" i="1" s="1"/>
  <c r="BJ11" i="1" s="1"/>
  <c r="BO11" i="1"/>
  <c r="BS11" i="1" s="1"/>
  <c r="BW11" i="1" s="1"/>
  <c r="BA11" i="1"/>
  <c r="BE11" i="1" s="1"/>
  <c r="BI11" i="1" s="1"/>
  <c r="BD11" i="1"/>
  <c r="BH11" i="1" s="1"/>
  <c r="BL11" i="1" s="1"/>
  <c r="BC11" i="1"/>
  <c r="BG11" i="1" s="1"/>
  <c r="BK11" i="1" s="1"/>
  <c r="BN11" i="1"/>
  <c r="BR11" i="1" s="1"/>
  <c r="BV11" i="1" s="1"/>
  <c r="BO38" i="1"/>
  <c r="BS38" i="1" s="1"/>
  <c r="BW38" i="1" s="1"/>
  <c r="BD38" i="1"/>
  <c r="BH38" i="1" s="1"/>
  <c r="BL38" i="1" s="1"/>
  <c r="BC38" i="1"/>
  <c r="BG38" i="1" s="1"/>
  <c r="BK38" i="1" s="1"/>
  <c r="BN38" i="1"/>
  <c r="BR38" i="1" s="1"/>
  <c r="BV38" i="1" s="1"/>
  <c r="BP38" i="1"/>
  <c r="BT38" i="1" s="1"/>
  <c r="BX38" i="1" s="1"/>
  <c r="BA38" i="1"/>
  <c r="BE38" i="1" s="1"/>
  <c r="BI38" i="1" s="1"/>
  <c r="BQ38" i="1"/>
  <c r="BU38" i="1" s="1"/>
  <c r="BY38" i="1" s="1"/>
  <c r="BB38" i="1"/>
  <c r="BF38" i="1" s="1"/>
  <c r="BJ38" i="1" s="1"/>
  <c r="BP46" i="1"/>
  <c r="BT46" i="1" s="1"/>
  <c r="BX46" i="1" s="1"/>
  <c r="BA46" i="1"/>
  <c r="BE46" i="1" s="1"/>
  <c r="BI46" i="1" s="1"/>
  <c r="BQ46" i="1"/>
  <c r="BU46" i="1" s="1"/>
  <c r="BY46" i="1" s="1"/>
  <c r="BB46" i="1"/>
  <c r="BF46" i="1" s="1"/>
  <c r="BJ46" i="1" s="1"/>
  <c r="BN46" i="1"/>
  <c r="BR46" i="1" s="1"/>
  <c r="BV46" i="1" s="1"/>
  <c r="BO46" i="1"/>
  <c r="BS46" i="1" s="1"/>
  <c r="BW46" i="1" s="1"/>
  <c r="BD46" i="1"/>
  <c r="BH46" i="1" s="1"/>
  <c r="BL46" i="1" s="1"/>
  <c r="BC46" i="1"/>
  <c r="BG46" i="1" s="1"/>
  <c r="BK46" i="1" s="1"/>
  <c r="BD40" i="1"/>
  <c r="BH40" i="1" s="1"/>
  <c r="BL40" i="1" s="1"/>
  <c r="BP40" i="1"/>
  <c r="BT40" i="1" s="1"/>
  <c r="BX40" i="1" s="1"/>
  <c r="BC40" i="1"/>
  <c r="BG40" i="1" s="1"/>
  <c r="BK40" i="1" s="1"/>
  <c r="BB40" i="1"/>
  <c r="BF40" i="1" s="1"/>
  <c r="BJ40" i="1" s="1"/>
  <c r="BO40" i="1"/>
  <c r="BS40" i="1" s="1"/>
  <c r="BW40" i="1" s="1"/>
  <c r="BQ40" i="1"/>
  <c r="BU40" i="1" s="1"/>
  <c r="BY40" i="1" s="1"/>
  <c r="BN40" i="1"/>
  <c r="BR40" i="1" s="1"/>
  <c r="BV40" i="1" s="1"/>
  <c r="BA40" i="1"/>
  <c r="BE40" i="1" s="1"/>
  <c r="BI40" i="1" s="1"/>
  <c r="BO26" i="1"/>
  <c r="BS26" i="1" s="1"/>
  <c r="BW26" i="1" s="1"/>
  <c r="BD26" i="1"/>
  <c r="BH26" i="1" s="1"/>
  <c r="BL26" i="1" s="1"/>
  <c r="BP26" i="1"/>
  <c r="BT26" i="1" s="1"/>
  <c r="BX26" i="1" s="1"/>
  <c r="BC26" i="1"/>
  <c r="BG26" i="1" s="1"/>
  <c r="BK26" i="1" s="1"/>
  <c r="BQ26" i="1"/>
  <c r="BU26" i="1" s="1"/>
  <c r="BY26" i="1" s="1"/>
  <c r="BB26" i="1"/>
  <c r="BF26" i="1" s="1"/>
  <c r="BJ26" i="1" s="1"/>
  <c r="BN26" i="1"/>
  <c r="BR26" i="1" s="1"/>
  <c r="BV26" i="1" s="1"/>
  <c r="BA26" i="1"/>
  <c r="BE26" i="1" s="1"/>
  <c r="BI26" i="1" s="1"/>
  <c r="BQ12" i="1"/>
  <c r="BU12" i="1" s="1"/>
  <c r="BY12" i="1" s="1"/>
  <c r="BC12" i="1"/>
  <c r="BG12" i="1" s="1"/>
  <c r="BK12" i="1" s="1"/>
  <c r="BP12" i="1"/>
  <c r="BT12" i="1" s="1"/>
  <c r="BX12" i="1" s="1"/>
  <c r="BB12" i="1"/>
  <c r="BF12" i="1" s="1"/>
  <c r="BJ12" i="1" s="1"/>
  <c r="BO12" i="1"/>
  <c r="BS12" i="1" s="1"/>
  <c r="BW12" i="1" s="1"/>
  <c r="BD12" i="1"/>
  <c r="BH12" i="1" s="1"/>
  <c r="BL12" i="1" s="1"/>
  <c r="BN12" i="1"/>
  <c r="BR12" i="1" s="1"/>
  <c r="BV12" i="1" s="1"/>
  <c r="BA12" i="1"/>
  <c r="BE12" i="1" s="1"/>
  <c r="BI12" i="1" s="1"/>
  <c r="BC57" i="1"/>
  <c r="BG57" i="1" s="1"/>
  <c r="BK57" i="1" s="1"/>
  <c r="BO57" i="1"/>
  <c r="BS57" i="1" s="1"/>
  <c r="BW57" i="1" s="1"/>
  <c r="BD57" i="1"/>
  <c r="BH57" i="1" s="1"/>
  <c r="BL57" i="1" s="1"/>
  <c r="BQ57" i="1"/>
  <c r="BU57" i="1" s="1"/>
  <c r="BY57" i="1" s="1"/>
  <c r="BP57" i="1"/>
  <c r="BT57" i="1" s="1"/>
  <c r="BX57" i="1" s="1"/>
  <c r="BN57" i="1"/>
  <c r="BR57" i="1" s="1"/>
  <c r="BV57" i="1" s="1"/>
  <c r="BB57" i="1"/>
  <c r="BF57" i="1" s="1"/>
  <c r="BJ57" i="1" s="1"/>
  <c r="BA57" i="1"/>
  <c r="BE57" i="1" s="1"/>
  <c r="BI57" i="1" s="1"/>
  <c r="BO45" i="1"/>
  <c r="BS45" i="1" s="1"/>
  <c r="BW45" i="1" s="1"/>
  <c r="BN45" i="1"/>
  <c r="BR45" i="1" s="1"/>
  <c r="BV45" i="1" s="1"/>
  <c r="BD45" i="1"/>
  <c r="BH45" i="1" s="1"/>
  <c r="BL45" i="1" s="1"/>
  <c r="BQ45" i="1"/>
  <c r="BU45" i="1" s="1"/>
  <c r="BY45" i="1" s="1"/>
  <c r="BA45" i="1"/>
  <c r="BE45" i="1" s="1"/>
  <c r="BI45" i="1" s="1"/>
  <c r="BC45" i="1"/>
  <c r="BG45" i="1" s="1"/>
  <c r="BK45" i="1" s="1"/>
  <c r="BP45" i="1"/>
  <c r="BT45" i="1" s="1"/>
  <c r="BX45" i="1" s="1"/>
  <c r="BB45" i="1"/>
  <c r="BF45" i="1" s="1"/>
  <c r="BJ45" i="1" s="1"/>
  <c r="BP35" i="1"/>
  <c r="BT35" i="1" s="1"/>
  <c r="BX35" i="1" s="1"/>
  <c r="BQ35" i="1"/>
  <c r="BU35" i="1" s="1"/>
  <c r="BY35" i="1" s="1"/>
  <c r="BB35" i="1"/>
  <c r="BF35" i="1" s="1"/>
  <c r="BJ35" i="1" s="1"/>
  <c r="BN35" i="1"/>
  <c r="BR35" i="1" s="1"/>
  <c r="BV35" i="1" s="1"/>
  <c r="BD35" i="1"/>
  <c r="BH35" i="1" s="1"/>
  <c r="BL35" i="1" s="1"/>
  <c r="BA35" i="1"/>
  <c r="BE35" i="1" s="1"/>
  <c r="BI35" i="1" s="1"/>
  <c r="BC35" i="1"/>
  <c r="BG35" i="1" s="1"/>
  <c r="BK35" i="1" s="1"/>
  <c r="BO35" i="1"/>
  <c r="BS35" i="1" s="1"/>
  <c r="BW35" i="1" s="1"/>
  <c r="BD17" i="1"/>
  <c r="BH17" i="1" s="1"/>
  <c r="BL17" i="1" s="1"/>
  <c r="BC17" i="1"/>
  <c r="BG17" i="1" s="1"/>
  <c r="BK17" i="1" s="1"/>
  <c r="BO17" i="1"/>
  <c r="BS17" i="1" s="1"/>
  <c r="BW17" i="1" s="1"/>
  <c r="BA17" i="1"/>
  <c r="BE17" i="1" s="1"/>
  <c r="BI17" i="1" s="1"/>
  <c r="BP17" i="1"/>
  <c r="BT17" i="1" s="1"/>
  <c r="BX17" i="1" s="1"/>
  <c r="BB17" i="1"/>
  <c r="BF17" i="1" s="1"/>
  <c r="BJ17" i="1" s="1"/>
  <c r="BN17" i="1"/>
  <c r="BR17" i="1" s="1"/>
  <c r="BV17" i="1" s="1"/>
  <c r="BQ17" i="1"/>
  <c r="BU17" i="1" s="1"/>
  <c r="BY17" i="1" s="1"/>
  <c r="BB20" i="1"/>
  <c r="BF20" i="1" s="1"/>
  <c r="BJ20" i="1" s="1"/>
  <c r="BQ20" i="1"/>
  <c r="BU20" i="1" s="1"/>
  <c r="BY20" i="1" s="1"/>
  <c r="BP20" i="1"/>
  <c r="BT20" i="1" s="1"/>
  <c r="BX20" i="1" s="1"/>
  <c r="BA20" i="1"/>
  <c r="BE20" i="1" s="1"/>
  <c r="BI20" i="1" s="1"/>
  <c r="BO20" i="1"/>
  <c r="BS20" i="1" s="1"/>
  <c r="BW20" i="1" s="1"/>
  <c r="BC20" i="1"/>
  <c r="BG20" i="1" s="1"/>
  <c r="BK20" i="1" s="1"/>
  <c r="BD20" i="1"/>
  <c r="BH20" i="1" s="1"/>
  <c r="BL20" i="1" s="1"/>
  <c r="BN20" i="1"/>
  <c r="BR20" i="1" s="1"/>
  <c r="BV20" i="1" s="1"/>
  <c r="BQ28" i="1"/>
  <c r="BU28" i="1" s="1"/>
  <c r="BY28" i="1" s="1"/>
  <c r="BN28" i="1"/>
  <c r="BR28" i="1" s="1"/>
  <c r="BV28" i="1" s="1"/>
  <c r="BP28" i="1"/>
  <c r="BT28" i="1" s="1"/>
  <c r="BX28" i="1" s="1"/>
  <c r="BA28" i="1"/>
  <c r="BE28" i="1" s="1"/>
  <c r="BI28" i="1" s="1"/>
  <c r="BB28" i="1"/>
  <c r="BF28" i="1" s="1"/>
  <c r="BJ28" i="1" s="1"/>
  <c r="BC28" i="1"/>
  <c r="BG28" i="1" s="1"/>
  <c r="BK28" i="1" s="1"/>
  <c r="BO28" i="1"/>
  <c r="BS28" i="1" s="1"/>
  <c r="BW28" i="1" s="1"/>
  <c r="BD28" i="1"/>
  <c r="BH28" i="1" s="1"/>
  <c r="BL28" i="1" s="1"/>
  <c r="BA39" i="1"/>
  <c r="BE39" i="1" s="1"/>
  <c r="BI39" i="1" s="1"/>
  <c r="BN39" i="1"/>
  <c r="BR39" i="1" s="1"/>
  <c r="BV39" i="1" s="1"/>
  <c r="BP39" i="1"/>
  <c r="BT39" i="1" s="1"/>
  <c r="BX39" i="1" s="1"/>
  <c r="BC39" i="1"/>
  <c r="BG39" i="1" s="1"/>
  <c r="BK39" i="1" s="1"/>
  <c r="BQ39" i="1"/>
  <c r="BU39" i="1" s="1"/>
  <c r="BY39" i="1" s="1"/>
  <c r="BB39" i="1"/>
  <c r="BF39" i="1" s="1"/>
  <c r="BJ39" i="1" s="1"/>
  <c r="BO39" i="1"/>
  <c r="BS39" i="1" s="1"/>
  <c r="BW39" i="1" s="1"/>
  <c r="BD39" i="1"/>
  <c r="BH39" i="1" s="1"/>
  <c r="BL39" i="1" s="1"/>
  <c r="BP59" i="1"/>
  <c r="BT59" i="1" s="1"/>
  <c r="BX59" i="1" s="1"/>
  <c r="BQ59" i="1"/>
  <c r="BU59" i="1" s="1"/>
  <c r="BY59" i="1" s="1"/>
  <c r="BB59" i="1"/>
  <c r="BF59" i="1" s="1"/>
  <c r="BJ59" i="1" s="1"/>
  <c r="BC59" i="1"/>
  <c r="BG59" i="1" s="1"/>
  <c r="BK59" i="1" s="1"/>
  <c r="BA59" i="1"/>
  <c r="BE59" i="1" s="1"/>
  <c r="BI59" i="1" s="1"/>
  <c r="BO59" i="1"/>
  <c r="BS59" i="1" s="1"/>
  <c r="BW59" i="1" s="1"/>
  <c r="BD59" i="1"/>
  <c r="BH59" i="1" s="1"/>
  <c r="BL59" i="1" s="1"/>
  <c r="BN59" i="1"/>
  <c r="BR59" i="1" s="1"/>
  <c r="BV59" i="1" s="1"/>
  <c r="BO42" i="1"/>
  <c r="BS42" i="1" s="1"/>
  <c r="BW42" i="1" s="1"/>
  <c r="BD42" i="1"/>
  <c r="BH42" i="1" s="1"/>
  <c r="BL42" i="1" s="1"/>
  <c r="BC42" i="1"/>
  <c r="BG42" i="1" s="1"/>
  <c r="BK42" i="1" s="1"/>
  <c r="BB42" i="1"/>
  <c r="BF42" i="1" s="1"/>
  <c r="BJ42" i="1" s="1"/>
  <c r="BA42" i="1"/>
  <c r="BE42" i="1" s="1"/>
  <c r="BI42" i="1" s="1"/>
  <c r="BP42" i="1"/>
  <c r="BT42" i="1" s="1"/>
  <c r="BX42" i="1" s="1"/>
  <c r="BN42" i="1"/>
  <c r="BR42" i="1" s="1"/>
  <c r="BV42" i="1" s="1"/>
  <c r="BQ42" i="1"/>
  <c r="BU42" i="1" s="1"/>
  <c r="BY42" i="1" s="1"/>
  <c r="BN36" i="1"/>
  <c r="BR36" i="1" s="1"/>
  <c r="BV36" i="1" s="1"/>
  <c r="BO36" i="1"/>
  <c r="BS36" i="1" s="1"/>
  <c r="BW36" i="1" s="1"/>
  <c r="BA36" i="1"/>
  <c r="BE36" i="1" s="1"/>
  <c r="BI36" i="1" s="1"/>
  <c r="BC36" i="1"/>
  <c r="BG36" i="1" s="1"/>
  <c r="BK36" i="1" s="1"/>
  <c r="BD36" i="1"/>
  <c r="BH36" i="1" s="1"/>
  <c r="BL36" i="1" s="1"/>
  <c r="BP36" i="1"/>
  <c r="BT36" i="1" s="1"/>
  <c r="BX36" i="1" s="1"/>
  <c r="BB36" i="1"/>
  <c r="BF36" i="1" s="1"/>
  <c r="BJ36" i="1" s="1"/>
  <c r="BQ36" i="1"/>
  <c r="BU36" i="1" s="1"/>
  <c r="BY36" i="1" s="1"/>
  <c r="BA58" i="1"/>
  <c r="BE58" i="1" s="1"/>
  <c r="BI58" i="1" s="1"/>
  <c r="BB58" i="1"/>
  <c r="BF58" i="1" s="1"/>
  <c r="BJ58" i="1" s="1"/>
  <c r="BC58" i="1"/>
  <c r="BG58" i="1" s="1"/>
  <c r="BK58" i="1" s="1"/>
  <c r="BN58" i="1"/>
  <c r="BR58" i="1" s="1"/>
  <c r="BV58" i="1" s="1"/>
  <c r="BP58" i="1"/>
  <c r="BT58" i="1" s="1"/>
  <c r="BX58" i="1" s="1"/>
  <c r="BO58" i="1"/>
  <c r="BS58" i="1" s="1"/>
  <c r="BW58" i="1" s="1"/>
  <c r="BQ58" i="1"/>
  <c r="BU58" i="1" s="1"/>
  <c r="BY58" i="1" s="1"/>
  <c r="BD58" i="1"/>
  <c r="BH58" i="1" s="1"/>
  <c r="BL58" i="1" s="1"/>
  <c r="BQ44" i="1"/>
  <c r="BU44" i="1" s="1"/>
  <c r="BY44" i="1" s="1"/>
  <c r="BP44" i="1"/>
  <c r="BT44" i="1" s="1"/>
  <c r="BX44" i="1" s="1"/>
  <c r="BB44" i="1"/>
  <c r="BF44" i="1" s="1"/>
  <c r="BJ44" i="1" s="1"/>
  <c r="BO44" i="1"/>
  <c r="BS44" i="1" s="1"/>
  <c r="BW44" i="1" s="1"/>
  <c r="BA44" i="1"/>
  <c r="BE44" i="1" s="1"/>
  <c r="BI44" i="1" s="1"/>
  <c r="BD44" i="1"/>
  <c r="BH44" i="1" s="1"/>
  <c r="BL44" i="1" s="1"/>
  <c r="BC44" i="1"/>
  <c r="BG44" i="1" s="1"/>
  <c r="BK44" i="1" s="1"/>
  <c r="BN44" i="1"/>
  <c r="BR44" i="1" s="1"/>
  <c r="BV44" i="1" s="1"/>
  <c r="BP7" i="1"/>
  <c r="BT7" i="1" s="1"/>
  <c r="BX7" i="1" s="1"/>
  <c r="BC7" i="1"/>
  <c r="BG7" i="1" s="1"/>
  <c r="BK7" i="1" s="1"/>
  <c r="BQ7" i="1"/>
  <c r="BU7" i="1" s="1"/>
  <c r="BY7" i="1" s="1"/>
  <c r="BB7" i="1"/>
  <c r="BF7" i="1" s="1"/>
  <c r="BJ7" i="1" s="1"/>
  <c r="BO7" i="1"/>
  <c r="BS7" i="1" s="1"/>
  <c r="BW7" i="1" s="1"/>
  <c r="BD7" i="1"/>
  <c r="BH7" i="1" s="1"/>
  <c r="BL7" i="1" s="1"/>
  <c r="BN7" i="1"/>
  <c r="BR7" i="1" s="1"/>
  <c r="BV7" i="1" s="1"/>
  <c r="BA7" i="1"/>
  <c r="BE7" i="1" s="1"/>
  <c r="BI7" i="1" s="1"/>
  <c r="BD10" i="1"/>
  <c r="BH10" i="1" s="1"/>
  <c r="BL10" i="1" s="1"/>
  <c r="BC10" i="1"/>
  <c r="BG10" i="1" s="1"/>
  <c r="BK10" i="1" s="1"/>
  <c r="BO10" i="1"/>
  <c r="BS10" i="1" s="1"/>
  <c r="BW10" i="1" s="1"/>
  <c r="BQ10" i="1"/>
  <c r="BU10" i="1" s="1"/>
  <c r="BY10" i="1" s="1"/>
  <c r="BA10" i="1"/>
  <c r="BE10" i="1" s="1"/>
  <c r="BI10" i="1" s="1"/>
  <c r="BB10" i="1"/>
  <c r="BF10" i="1" s="1"/>
  <c r="BJ10" i="1" s="1"/>
  <c r="BN10" i="1"/>
  <c r="BR10" i="1" s="1"/>
  <c r="BV10" i="1" s="1"/>
  <c r="BP10" i="1"/>
  <c r="BT10" i="1" s="1"/>
  <c r="BX10" i="1" s="1"/>
  <c r="BO30" i="1"/>
  <c r="BS30" i="1" s="1"/>
  <c r="BW30" i="1" s="1"/>
  <c r="BD30" i="1"/>
  <c r="BH30" i="1" s="1"/>
  <c r="BL30" i="1" s="1"/>
  <c r="BC30" i="1"/>
  <c r="BG30" i="1" s="1"/>
  <c r="BK30" i="1" s="1"/>
  <c r="BA30" i="1"/>
  <c r="BE30" i="1" s="1"/>
  <c r="BI30" i="1" s="1"/>
  <c r="BN30" i="1"/>
  <c r="BR30" i="1" s="1"/>
  <c r="BV30" i="1" s="1"/>
  <c r="BP30" i="1"/>
  <c r="BT30" i="1" s="1"/>
  <c r="BX30" i="1" s="1"/>
  <c r="BQ30" i="1"/>
  <c r="BU30" i="1" s="1"/>
  <c r="BY30" i="1" s="1"/>
  <c r="BB30" i="1"/>
  <c r="BF30" i="1" s="1"/>
  <c r="BJ30" i="1" s="1"/>
  <c r="BD34" i="1"/>
  <c r="BH34" i="1" s="1"/>
  <c r="BL34" i="1" s="1"/>
  <c r="BN34" i="1"/>
  <c r="BR34" i="1" s="1"/>
  <c r="BV34" i="1" s="1"/>
  <c r="BC34" i="1"/>
  <c r="BG34" i="1" s="1"/>
  <c r="BK34" i="1" s="1"/>
  <c r="BA34" i="1"/>
  <c r="BE34" i="1" s="1"/>
  <c r="BI34" i="1" s="1"/>
  <c r="BO34" i="1"/>
  <c r="BS34" i="1" s="1"/>
  <c r="BW34" i="1" s="1"/>
  <c r="BP34" i="1"/>
  <c r="BT34" i="1" s="1"/>
  <c r="BX34" i="1" s="1"/>
  <c r="BQ34" i="1"/>
  <c r="BU34" i="1" s="1"/>
  <c r="BY34" i="1" s="1"/>
  <c r="BB34" i="1"/>
  <c r="BF34" i="1" s="1"/>
  <c r="BJ34" i="1" s="1"/>
  <c r="BQ32" i="1"/>
  <c r="BU32" i="1" s="1"/>
  <c r="BY32" i="1" s="1"/>
  <c r="BB32" i="1"/>
  <c r="BF32" i="1" s="1"/>
  <c r="BJ32" i="1" s="1"/>
  <c r="BC32" i="1"/>
  <c r="BG32" i="1" s="1"/>
  <c r="BK32" i="1" s="1"/>
  <c r="BP32" i="1"/>
  <c r="BT32" i="1" s="1"/>
  <c r="BX32" i="1" s="1"/>
  <c r="BN32" i="1"/>
  <c r="BR32" i="1" s="1"/>
  <c r="BV32" i="1" s="1"/>
  <c r="BO32" i="1"/>
  <c r="BS32" i="1" s="1"/>
  <c r="BW32" i="1" s="1"/>
  <c r="BA32" i="1"/>
  <c r="BE32" i="1" s="1"/>
  <c r="BI32" i="1" s="1"/>
  <c r="BD32" i="1"/>
  <c r="BH32" i="1" s="1"/>
  <c r="BL32" i="1" s="1"/>
  <c r="BD52" i="1"/>
  <c r="BH52" i="1" s="1"/>
  <c r="BL52" i="1" s="1"/>
  <c r="BO52" i="1"/>
  <c r="BS52" i="1" s="1"/>
  <c r="BW52" i="1" s="1"/>
  <c r="BC52" i="1"/>
  <c r="BG52" i="1" s="1"/>
  <c r="BK52" i="1" s="1"/>
  <c r="BQ52" i="1"/>
  <c r="BU52" i="1" s="1"/>
  <c r="BY52" i="1" s="1"/>
  <c r="BA52" i="1"/>
  <c r="BE52" i="1" s="1"/>
  <c r="BI52" i="1" s="1"/>
  <c r="BP52" i="1"/>
  <c r="BT52" i="1" s="1"/>
  <c r="BX52" i="1" s="1"/>
  <c r="BB52" i="1"/>
  <c r="BF52" i="1" s="1"/>
  <c r="BJ52" i="1" s="1"/>
  <c r="BN52" i="1"/>
  <c r="BR52" i="1" s="1"/>
  <c r="BV52" i="1" s="1"/>
  <c r="BN51" i="1"/>
  <c r="BR51" i="1" s="1"/>
  <c r="BV51" i="1" s="1"/>
  <c r="BP51" i="1"/>
  <c r="BT51" i="1" s="1"/>
  <c r="BX51" i="1" s="1"/>
  <c r="BA51" i="1"/>
  <c r="BE51" i="1" s="1"/>
  <c r="BI51" i="1" s="1"/>
  <c r="BQ51" i="1"/>
  <c r="BU51" i="1" s="1"/>
  <c r="BY51" i="1" s="1"/>
  <c r="BB51" i="1"/>
  <c r="BF51" i="1" s="1"/>
  <c r="BJ51" i="1" s="1"/>
  <c r="BO51" i="1"/>
  <c r="BS51" i="1" s="1"/>
  <c r="BW51" i="1" s="1"/>
  <c r="BD51" i="1"/>
  <c r="BH51" i="1" s="1"/>
  <c r="BL51" i="1" s="1"/>
  <c r="BC51" i="1"/>
  <c r="BG51" i="1" s="1"/>
  <c r="BK51" i="1" s="1"/>
  <c r="BD37" i="1"/>
  <c r="BH37" i="1" s="1"/>
  <c r="BL37" i="1" s="1"/>
  <c r="BB37" i="1"/>
  <c r="BF37" i="1" s="1"/>
  <c r="BJ37" i="1" s="1"/>
  <c r="BC37" i="1"/>
  <c r="BG37" i="1" s="1"/>
  <c r="BK37" i="1" s="1"/>
  <c r="BN37" i="1"/>
  <c r="BR37" i="1" s="1"/>
  <c r="BV37" i="1" s="1"/>
  <c r="BQ37" i="1"/>
  <c r="BU37" i="1" s="1"/>
  <c r="BY37" i="1" s="1"/>
  <c r="BA37" i="1"/>
  <c r="BE37" i="1" s="1"/>
  <c r="BI37" i="1" s="1"/>
  <c r="BO37" i="1"/>
  <c r="BS37" i="1" s="1"/>
  <c r="BW37" i="1" s="1"/>
  <c r="BP37" i="1"/>
  <c r="BT37" i="1" s="1"/>
  <c r="BX37" i="1" s="1"/>
  <c r="BO13" i="1"/>
  <c r="BS13" i="1" s="1"/>
  <c r="BW13" i="1" s="1"/>
  <c r="BD13" i="1"/>
  <c r="BH13" i="1" s="1"/>
  <c r="BL13" i="1" s="1"/>
  <c r="BC13" i="1"/>
  <c r="BG13" i="1" s="1"/>
  <c r="BK13" i="1" s="1"/>
  <c r="BA13" i="1"/>
  <c r="BE13" i="1" s="1"/>
  <c r="BI13" i="1" s="1"/>
  <c r="BQ13" i="1"/>
  <c r="BU13" i="1" s="1"/>
  <c r="BY13" i="1" s="1"/>
  <c r="BB13" i="1"/>
  <c r="BF13" i="1" s="1"/>
  <c r="BJ13" i="1" s="1"/>
  <c r="BN13" i="1"/>
  <c r="BR13" i="1" s="1"/>
  <c r="BV13" i="1" s="1"/>
  <c r="BP13" i="1"/>
  <c r="BT13" i="1" s="1"/>
  <c r="BX13" i="1" s="1"/>
  <c r="BA33" i="1"/>
  <c r="BE33" i="1" s="1"/>
  <c r="BI33" i="1" s="1"/>
  <c r="BN33" i="1"/>
  <c r="BR33" i="1" s="1"/>
  <c r="BV33" i="1" s="1"/>
  <c r="BC33" i="1"/>
  <c r="BG33" i="1" s="1"/>
  <c r="BK33" i="1" s="1"/>
  <c r="BB33" i="1"/>
  <c r="BF33" i="1" s="1"/>
  <c r="BJ33" i="1" s="1"/>
  <c r="BO33" i="1"/>
  <c r="BS33" i="1" s="1"/>
  <c r="BW33" i="1" s="1"/>
  <c r="BQ33" i="1"/>
  <c r="BU33" i="1" s="1"/>
  <c r="BY33" i="1" s="1"/>
  <c r="BD33" i="1"/>
  <c r="BH33" i="1" s="1"/>
  <c r="BL33" i="1" s="1"/>
  <c r="BP33" i="1"/>
  <c r="BT33" i="1" s="1"/>
  <c r="BX33" i="1" s="1"/>
  <c r="BO23" i="1"/>
  <c r="BS23" i="1" s="1"/>
  <c r="BW23" i="1" s="1"/>
  <c r="BD23" i="1"/>
  <c r="BH23" i="1" s="1"/>
  <c r="BL23" i="1" s="1"/>
  <c r="BC23" i="1"/>
  <c r="BG23" i="1" s="1"/>
  <c r="BK23" i="1" s="1"/>
  <c r="BN23" i="1"/>
  <c r="BR23" i="1" s="1"/>
  <c r="BV23" i="1" s="1"/>
  <c r="BP23" i="1"/>
  <c r="BT23" i="1" s="1"/>
  <c r="BX23" i="1" s="1"/>
  <c r="BA23" i="1"/>
  <c r="BE23" i="1" s="1"/>
  <c r="BI23" i="1" s="1"/>
  <c r="BQ23" i="1"/>
  <c r="BU23" i="1" s="1"/>
  <c r="BY23" i="1" s="1"/>
  <c r="BB23" i="1"/>
  <c r="BF23" i="1" s="1"/>
  <c r="BJ23" i="1" s="1"/>
  <c r="BO6" i="1"/>
  <c r="BS6" i="1" s="1"/>
  <c r="BW6" i="1" s="1"/>
  <c r="BD6" i="1"/>
  <c r="BH6" i="1" s="1"/>
  <c r="BL6" i="1" s="1"/>
  <c r="BC6" i="1"/>
  <c r="BG6" i="1" s="1"/>
  <c r="BK6" i="1" s="1"/>
  <c r="BP6" i="1"/>
  <c r="BT6" i="1" s="1"/>
  <c r="BX6" i="1" s="1"/>
  <c r="BN6" i="1"/>
  <c r="BR6" i="1" s="1"/>
  <c r="BV6" i="1" s="1"/>
  <c r="BQ6" i="1"/>
  <c r="BU6" i="1" s="1"/>
  <c r="BY6" i="1" s="1"/>
  <c r="BE6" i="1"/>
  <c r="BI6" i="1" s="1"/>
  <c r="BB6" i="1"/>
  <c r="BF6" i="1" s="1"/>
  <c r="BJ6" i="1" s="1"/>
  <c r="BC8" i="1"/>
  <c r="BG8" i="1" s="1"/>
  <c r="BK8" i="1" s="1"/>
  <c r="BN8" i="1"/>
  <c r="BR8" i="1" s="1"/>
  <c r="BV8" i="1" s="1"/>
  <c r="BO8" i="1"/>
  <c r="BS8" i="1" s="1"/>
  <c r="BW8" i="1" s="1"/>
  <c r="BA8" i="1"/>
  <c r="BE8" i="1" s="1"/>
  <c r="BI8" i="1" s="1"/>
  <c r="BD8" i="1"/>
  <c r="BH8" i="1" s="1"/>
  <c r="BL8" i="1" s="1"/>
  <c r="BQ8" i="1"/>
  <c r="BU8" i="1" s="1"/>
  <c r="BY8" i="1" s="1"/>
  <c r="BP8" i="1"/>
  <c r="BT8" i="1" s="1"/>
  <c r="BX8" i="1" s="1"/>
  <c r="BB8" i="1"/>
  <c r="BF8" i="1" s="1"/>
  <c r="BJ8" i="1" s="1"/>
  <c r="BC53" i="1"/>
  <c r="BG53" i="1" s="1"/>
  <c r="BK53" i="1" s="1"/>
  <c r="BB53" i="1"/>
  <c r="BF53" i="1" s="1"/>
  <c r="BJ53" i="1" s="1"/>
  <c r="BO53" i="1"/>
  <c r="BS53" i="1" s="1"/>
  <c r="BW53" i="1" s="1"/>
  <c r="BQ53" i="1"/>
  <c r="BU53" i="1" s="1"/>
  <c r="BY53" i="1" s="1"/>
  <c r="BD53" i="1"/>
  <c r="BH53" i="1" s="1"/>
  <c r="BL53" i="1" s="1"/>
  <c r="BP53" i="1"/>
  <c r="BT53" i="1" s="1"/>
  <c r="BX53" i="1" s="1"/>
  <c r="BN53" i="1"/>
  <c r="BR53" i="1" s="1"/>
  <c r="BV53" i="1" s="1"/>
  <c r="BA53" i="1"/>
  <c r="BE53" i="1" s="1"/>
  <c r="BI53" i="1" s="1"/>
  <c r="BA18" i="1"/>
  <c r="BE18" i="1" s="1"/>
  <c r="BI18" i="1" s="1"/>
  <c r="BP18" i="1"/>
  <c r="BT18" i="1" s="1"/>
  <c r="BX18" i="1" s="1"/>
  <c r="BN18" i="1"/>
  <c r="BR18" i="1" s="1"/>
  <c r="BV18" i="1" s="1"/>
  <c r="BQ18" i="1"/>
  <c r="BU18" i="1" s="1"/>
  <c r="BY18" i="1" s="1"/>
  <c r="BB18" i="1"/>
  <c r="BF18" i="1" s="1"/>
  <c r="BJ18" i="1" s="1"/>
  <c r="BO18" i="1"/>
  <c r="BS18" i="1" s="1"/>
  <c r="BW18" i="1" s="1"/>
  <c r="BD18" i="1"/>
  <c r="BH18" i="1" s="1"/>
  <c r="BL18" i="1" s="1"/>
  <c r="BC18" i="1"/>
  <c r="BG18" i="1" s="1"/>
  <c r="BK18" i="1" s="1"/>
  <c r="BC24" i="1"/>
  <c r="BG24" i="1" s="1"/>
  <c r="BK24" i="1" s="1"/>
  <c r="BO24" i="1"/>
  <c r="BS24" i="1" s="1"/>
  <c r="BW24" i="1" s="1"/>
  <c r="BD24" i="1"/>
  <c r="BH24" i="1" s="1"/>
  <c r="BL24" i="1" s="1"/>
  <c r="BN24" i="1"/>
  <c r="BR24" i="1" s="1"/>
  <c r="BV24" i="1" s="1"/>
  <c r="BB24" i="1"/>
  <c r="BF24" i="1" s="1"/>
  <c r="BJ24" i="1" s="1"/>
  <c r="BA24" i="1"/>
  <c r="BE24" i="1" s="1"/>
  <c r="BI24" i="1" s="1"/>
  <c r="BQ24" i="1"/>
  <c r="BU24" i="1" s="1"/>
  <c r="BY24" i="1" s="1"/>
  <c r="BP24" i="1"/>
  <c r="BT24" i="1" s="1"/>
  <c r="BX24" i="1" s="1"/>
  <c r="BO41" i="1"/>
  <c r="BS41" i="1" s="1"/>
  <c r="BW41" i="1" s="1"/>
  <c r="BQ41" i="1"/>
  <c r="BU41" i="1" s="1"/>
  <c r="BY41" i="1" s="1"/>
  <c r="BD41" i="1"/>
  <c r="BH41" i="1" s="1"/>
  <c r="BL41" i="1" s="1"/>
  <c r="BN41" i="1"/>
  <c r="BR41" i="1" s="1"/>
  <c r="BV41" i="1" s="1"/>
  <c r="BP41" i="1"/>
  <c r="BT41" i="1" s="1"/>
  <c r="BX41" i="1" s="1"/>
  <c r="BC41" i="1"/>
  <c r="BG41" i="1" s="1"/>
  <c r="BK41" i="1" s="1"/>
  <c r="BA41" i="1"/>
  <c r="BE41" i="1" s="1"/>
  <c r="BI41" i="1" s="1"/>
  <c r="BB41" i="1"/>
  <c r="BF41" i="1" s="1"/>
  <c r="BJ41" i="1" s="1"/>
  <c r="BA48" i="1"/>
  <c r="BE48" i="1" s="1"/>
  <c r="BI48" i="1" s="1"/>
  <c r="BO48" i="1"/>
  <c r="BS48" i="1" s="1"/>
  <c r="BW48" i="1" s="1"/>
  <c r="BD48" i="1"/>
  <c r="BH48" i="1" s="1"/>
  <c r="BL48" i="1" s="1"/>
  <c r="BN48" i="1"/>
  <c r="BR48" i="1" s="1"/>
  <c r="BV48" i="1" s="1"/>
  <c r="BC48" i="1"/>
  <c r="BG48" i="1" s="1"/>
  <c r="BK48" i="1" s="1"/>
  <c r="BB48" i="1"/>
  <c r="BF48" i="1" s="1"/>
  <c r="BJ48" i="1" s="1"/>
  <c r="BQ48" i="1"/>
  <c r="BU48" i="1" s="1"/>
  <c r="BY48" i="1" s="1"/>
  <c r="BP48" i="1"/>
  <c r="BT48" i="1" s="1"/>
  <c r="BX48" i="1" s="1"/>
  <c r="BO49" i="1"/>
  <c r="BS49" i="1" s="1"/>
  <c r="BW49" i="1" s="1"/>
  <c r="BD49" i="1"/>
  <c r="BH49" i="1" s="1"/>
  <c r="BL49" i="1" s="1"/>
  <c r="BC49" i="1"/>
  <c r="BG49" i="1" s="1"/>
  <c r="BK49" i="1" s="1"/>
  <c r="BQ49" i="1"/>
  <c r="BU49" i="1" s="1"/>
  <c r="BY49" i="1" s="1"/>
  <c r="BN49" i="1"/>
  <c r="BR49" i="1" s="1"/>
  <c r="BV49" i="1" s="1"/>
  <c r="BP49" i="1"/>
  <c r="BT49" i="1" s="1"/>
  <c r="BX49" i="1" s="1"/>
  <c r="BA49" i="1"/>
  <c r="BE49" i="1" s="1"/>
  <c r="BI49" i="1" s="1"/>
  <c r="BB49" i="1"/>
  <c r="BF49" i="1" s="1"/>
  <c r="BJ49" i="1" s="1"/>
  <c r="BO47" i="1"/>
  <c r="BS47" i="1" s="1"/>
  <c r="BW47" i="1" s="1"/>
  <c r="BP47" i="1"/>
  <c r="BT47" i="1" s="1"/>
  <c r="BX47" i="1" s="1"/>
  <c r="BQ47" i="1"/>
  <c r="BU47" i="1" s="1"/>
  <c r="BY47" i="1" s="1"/>
  <c r="BN47" i="1"/>
  <c r="BR47" i="1" s="1"/>
  <c r="BV47" i="1" s="1"/>
  <c r="BD47" i="1"/>
  <c r="BH47" i="1" s="1"/>
  <c r="BL47" i="1" s="1"/>
  <c r="BB47" i="1"/>
  <c r="BF47" i="1" s="1"/>
  <c r="BJ47" i="1" s="1"/>
  <c r="BA47" i="1"/>
  <c r="BE47" i="1" s="1"/>
  <c r="BI47" i="1" s="1"/>
  <c r="BC47" i="1"/>
  <c r="BG47" i="1" s="1"/>
  <c r="BK47" i="1" s="1"/>
  <c r="BQ21" i="1"/>
  <c r="BU21" i="1" s="1"/>
  <c r="BY21" i="1" s="1"/>
  <c r="BO21" i="1"/>
  <c r="BS21" i="1" s="1"/>
  <c r="BW21" i="1" s="1"/>
  <c r="BP21" i="1"/>
  <c r="BT21" i="1" s="1"/>
  <c r="BX21" i="1" s="1"/>
  <c r="BD21" i="1"/>
  <c r="BH21" i="1" s="1"/>
  <c r="BL21" i="1" s="1"/>
  <c r="BB21" i="1"/>
  <c r="BF21" i="1" s="1"/>
  <c r="BJ21" i="1" s="1"/>
  <c r="BC21" i="1"/>
  <c r="BG21" i="1" s="1"/>
  <c r="BK21" i="1" s="1"/>
  <c r="BN21" i="1"/>
  <c r="BR21" i="1" s="1"/>
  <c r="BV21" i="1" s="1"/>
  <c r="BA21" i="1"/>
  <c r="BE21" i="1" s="1"/>
  <c r="BI21" i="1" s="1"/>
  <c r="BA19" i="1"/>
  <c r="BE19" i="1" s="1"/>
  <c r="BI19" i="1" s="1"/>
  <c r="BO19" i="1"/>
  <c r="BS19" i="1" s="1"/>
  <c r="BW19" i="1" s="1"/>
  <c r="BD19" i="1"/>
  <c r="BH19" i="1" s="1"/>
  <c r="BL19" i="1" s="1"/>
  <c r="BN19" i="1"/>
  <c r="BR19" i="1" s="1"/>
  <c r="BV19" i="1" s="1"/>
  <c r="BC19" i="1"/>
  <c r="BG19" i="1" s="1"/>
  <c r="BK19" i="1" s="1"/>
  <c r="BB19" i="1"/>
  <c r="BF19" i="1" s="1"/>
  <c r="BJ19" i="1" s="1"/>
  <c r="BP19" i="1"/>
  <c r="BT19" i="1" s="1"/>
  <c r="BX19" i="1" s="1"/>
  <c r="BQ19" i="1"/>
  <c r="BU19" i="1" s="1"/>
  <c r="BY19" i="1" s="1"/>
  <c r="BP27" i="1"/>
  <c r="BT27" i="1" s="1"/>
  <c r="BX27" i="1" s="1"/>
  <c r="BA27" i="1"/>
  <c r="BE27" i="1" s="1"/>
  <c r="BI27" i="1" s="1"/>
  <c r="BQ27" i="1"/>
  <c r="BU27" i="1" s="1"/>
  <c r="BY27" i="1" s="1"/>
  <c r="BO27" i="1"/>
  <c r="BS27" i="1" s="1"/>
  <c r="BW27" i="1" s="1"/>
  <c r="BB27" i="1"/>
  <c r="BF27" i="1" s="1"/>
  <c r="BJ27" i="1" s="1"/>
  <c r="BD27" i="1"/>
  <c r="BH27" i="1" s="1"/>
  <c r="BL27" i="1" s="1"/>
  <c r="BC27" i="1"/>
  <c r="BG27" i="1" s="1"/>
  <c r="BK27" i="1" s="1"/>
  <c r="BN27" i="1"/>
  <c r="BR27" i="1" s="1"/>
  <c r="BV27" i="1" s="1"/>
  <c r="BB56" i="1"/>
  <c r="BF56" i="1" s="1"/>
  <c r="BJ56" i="1" s="1"/>
  <c r="BQ56" i="1"/>
  <c r="BU56" i="1" s="1"/>
  <c r="BY56" i="1" s="1"/>
  <c r="BP56" i="1"/>
  <c r="BT56" i="1" s="1"/>
  <c r="BX56" i="1" s="1"/>
  <c r="BA56" i="1"/>
  <c r="BE56" i="1" s="1"/>
  <c r="BI56" i="1" s="1"/>
  <c r="BO56" i="1"/>
  <c r="BS56" i="1" s="1"/>
  <c r="BW56" i="1" s="1"/>
  <c r="BD56" i="1"/>
  <c r="BH56" i="1" s="1"/>
  <c r="BL56" i="1" s="1"/>
  <c r="BC56" i="1"/>
  <c r="BG56" i="1" s="1"/>
  <c r="BK56" i="1" s="1"/>
  <c r="BN56" i="1"/>
  <c r="BR56" i="1" s="1"/>
  <c r="BV56" i="1" s="1"/>
  <c r="BO9" i="1"/>
  <c r="BS9" i="1" s="1"/>
  <c r="BW9" i="1" s="1"/>
  <c r="BD9" i="1"/>
  <c r="BH9" i="1" s="1"/>
  <c r="BL9" i="1" s="1"/>
  <c r="BC9" i="1"/>
  <c r="BG9" i="1" s="1"/>
  <c r="BK9" i="1" s="1"/>
  <c r="BP9" i="1"/>
  <c r="BT9" i="1" s="1"/>
  <c r="BX9" i="1" s="1"/>
  <c r="BA9" i="1"/>
  <c r="BE9" i="1" s="1"/>
  <c r="BI9" i="1" s="1"/>
  <c r="BB9" i="1"/>
  <c r="BF9" i="1" s="1"/>
  <c r="BJ9" i="1" s="1"/>
  <c r="BN9" i="1"/>
  <c r="BR9" i="1" s="1"/>
  <c r="BV9" i="1" s="1"/>
  <c r="BQ9" i="1"/>
  <c r="BU9" i="1" s="1"/>
  <c r="BY9" i="1" s="1"/>
  <c r="BI3" i="1" l="1"/>
  <c r="BE3" i="1"/>
  <c r="BF3" i="1"/>
  <c r="BL3" i="1"/>
  <c r="BH3" i="1"/>
  <c r="BK3" i="1"/>
  <c r="BG3" i="1"/>
  <c r="BV3" i="1" l="1"/>
  <c r="BJ3" i="1"/>
  <c r="BX3" i="1"/>
  <c r="BY3" i="1"/>
  <c r="BR3" i="1"/>
  <c r="BW3" i="1" l="1"/>
  <c r="BU3" i="1"/>
  <c r="BT3" i="1"/>
  <c r="BS3" i="1"/>
</calcChain>
</file>

<file path=xl/sharedStrings.xml><?xml version="1.0" encoding="utf-8"?>
<sst xmlns="http://schemas.openxmlformats.org/spreadsheetml/2006/main" count="797" uniqueCount="447">
  <si>
    <t>10002135.SH</t>
  </si>
  <si>
    <t>000300.SH</t>
    <phoneticPr fontId="2" type="noConversion"/>
  </si>
  <si>
    <t>行权价格</t>
    <phoneticPr fontId="2" type="noConversion"/>
  </si>
  <si>
    <t>前结算价</t>
    <phoneticPr fontId="2" type="noConversion"/>
  </si>
  <si>
    <t>前收盘价</t>
    <phoneticPr fontId="2" type="noConversion"/>
  </si>
  <si>
    <t>维持保证金</t>
    <phoneticPr fontId="2" type="noConversion"/>
  </si>
  <si>
    <t>合约保证金调整系数</t>
    <phoneticPr fontId="2" type="noConversion"/>
  </si>
  <si>
    <t>最低保障倍数</t>
    <phoneticPr fontId="2" type="noConversion"/>
  </si>
  <si>
    <t>前日成交量</t>
    <phoneticPr fontId="2" type="noConversion"/>
  </si>
  <si>
    <t>虚值</t>
    <phoneticPr fontId="2" type="noConversion"/>
  </si>
  <si>
    <t>保证金参数1</t>
    <phoneticPr fontId="2" type="noConversion"/>
  </si>
  <si>
    <t>保证金参数2</t>
    <phoneticPr fontId="2" type="noConversion"/>
  </si>
  <si>
    <t>到期时间</t>
  </si>
  <si>
    <t>交易费用</t>
  </si>
  <si>
    <t>最新价</t>
  </si>
  <si>
    <t>年化收益率</t>
  </si>
  <si>
    <t>&lt;-追点</t>
  </si>
  <si>
    <t>LastPrice</t>
  </si>
  <si>
    <t>Volume</t>
  </si>
  <si>
    <t>Bid_Price1</t>
  </si>
  <si>
    <t>Bid_Volume1</t>
  </si>
  <si>
    <t>Ask_Price1</t>
  </si>
  <si>
    <t>Ask_Volume1</t>
  </si>
  <si>
    <t>维持保证金_1</t>
  </si>
  <si>
    <t>维持保证金_2</t>
  </si>
  <si>
    <t>维持保证金_3</t>
  </si>
  <si>
    <t>|合约1-合约2|-手续费</t>
  </si>
  <si>
    <t>10002220.SH</t>
  </si>
  <si>
    <t>10002228.SH</t>
  </si>
  <si>
    <t>10002219.SH</t>
  </si>
  <si>
    <t>10002227.SH</t>
  </si>
  <si>
    <t>代码-
合约1</t>
  </si>
  <si>
    <t>代码-
合约2</t>
  </si>
  <si>
    <t>合约
乘数</t>
  </si>
  <si>
    <t>C / P</t>
  </si>
  <si>
    <t>做空合约2, 做多合约1</t>
  </si>
  <si>
    <t>做空合约1，做多合约2</t>
  </si>
  <si>
    <t>IO2004-C-3300.CFE</t>
  </si>
  <si>
    <t>IO2004-C-3350.CFE</t>
  </si>
  <si>
    <t>IO2004-C-3400.CFE</t>
  </si>
  <si>
    <t>IO2004-C-3450.CFE</t>
  </si>
  <si>
    <t>IO2004-C-3500.CFE</t>
  </si>
  <si>
    <t>IO2004-C-3550.CFE</t>
  </si>
  <si>
    <t>IO2004-C-3600.CFE</t>
  </si>
  <si>
    <t>IO2004-C-3650.CFE</t>
  </si>
  <si>
    <t>IO2004-C-3700.CFE</t>
  </si>
  <si>
    <t>IO2004-C-3750.CFE</t>
  </si>
  <si>
    <t>IO2004-C-3800.CFE</t>
  </si>
  <si>
    <t>IO2004-C-3850.CFE</t>
  </si>
  <si>
    <t>IO2004-C-3900.CFE</t>
  </si>
  <si>
    <t>IO2004-C-3950.CFE</t>
  </si>
  <si>
    <t>IO2004-C-4000.CFE</t>
  </si>
  <si>
    <t>IO2004-C-4050.CFE</t>
  </si>
  <si>
    <t>IO2004-C-4100.CFE</t>
  </si>
  <si>
    <t>IO2004-C-4150.CFE</t>
  </si>
  <si>
    <t>IO2004-C-4200.CFE</t>
  </si>
  <si>
    <t>IO2004-C-4250.CFE</t>
  </si>
  <si>
    <t>IO2004-C-4300.CFE</t>
  </si>
  <si>
    <t>IO2004-C-4350.CFE</t>
  </si>
  <si>
    <t>IO2004-C-4400.CFE</t>
  </si>
  <si>
    <t>IO2004-C-4450.CFE</t>
  </si>
  <si>
    <t>IO2004-C-4500.CFE</t>
  </si>
  <si>
    <t>IO2004-C-4550.CFE</t>
  </si>
  <si>
    <t>IO2004-C-4600.CFE</t>
  </si>
  <si>
    <t>IO2004-C-4650.CFE</t>
  </si>
  <si>
    <t>IO2004-P-3300.CFE</t>
  </si>
  <si>
    <t>IO2004-P-3350.CFE</t>
  </si>
  <si>
    <t>IO2004-P-3400.CFE</t>
  </si>
  <si>
    <t>IO2004-P-3450.CFE</t>
  </si>
  <si>
    <t>IO2004-P-3500.CFE</t>
  </si>
  <si>
    <t>IO2004-P-3550.CFE</t>
  </si>
  <si>
    <t>IO2004-P-3600.CFE</t>
  </si>
  <si>
    <t>IO2004-P-3650.CFE</t>
  </si>
  <si>
    <t>IO2004-P-3700.CFE</t>
  </si>
  <si>
    <t>IO2004-P-3750.CFE</t>
  </si>
  <si>
    <t>IO2004-P-3800.CFE</t>
  </si>
  <si>
    <t>IO2004-P-3850.CFE</t>
  </si>
  <si>
    <t>IO2004-P-3900.CFE</t>
  </si>
  <si>
    <t>IO2004-P-3950.CFE</t>
  </si>
  <si>
    <t>IO2004-P-4000.CFE</t>
  </si>
  <si>
    <t>IO2004-P-4050.CFE</t>
  </si>
  <si>
    <t>IO2004-P-4100.CFE</t>
  </si>
  <si>
    <t>IO2004-P-4150.CFE</t>
  </si>
  <si>
    <t>IO2004-P-4200.CFE</t>
  </si>
  <si>
    <t>IO2004-P-4250.CFE</t>
  </si>
  <si>
    <t>IO2004-P-4300.CFE</t>
  </si>
  <si>
    <t>IO2004-P-4350.CFE</t>
  </si>
  <si>
    <t>IO2004-P-4400.CFE</t>
  </si>
  <si>
    <t>IO2004-P-4450.CFE</t>
  </si>
  <si>
    <t>IO2004-P-4500.CFE</t>
  </si>
  <si>
    <t>IO2004-P-4550.CFE</t>
  </si>
  <si>
    <t>IO2004-P-4600.CFE</t>
  </si>
  <si>
    <t>IO2004-P-4650.CFE</t>
  </si>
  <si>
    <t>IO2006-C-3300.CFE</t>
  </si>
  <si>
    <t>IO2006-C-3400.CFE</t>
  </si>
  <si>
    <t>IO2006-C-3500.CFE</t>
  </si>
  <si>
    <t>IO2006-C-3600.CFE</t>
  </si>
  <si>
    <t>IO2006-C-3700.CFE</t>
  </si>
  <si>
    <t>IO2006-C-3800.CFE</t>
  </si>
  <si>
    <t>IO2006-C-3900.CFE</t>
  </si>
  <si>
    <t>IO2006-C-4000.CFE</t>
  </si>
  <si>
    <t>IO2006-C-4100.CFE</t>
  </si>
  <si>
    <t>IO2006-C-4200.CFE</t>
  </si>
  <si>
    <t>IO2006-C-4300.CFE</t>
  </si>
  <si>
    <t>IO2006-C-4400.CFE</t>
  </si>
  <si>
    <t>IO2006-C-4500.CFE</t>
  </si>
  <si>
    <t>IO2006-C-4600.CFE</t>
  </si>
  <si>
    <t>IO2006-C-4700.CFE</t>
  </si>
  <si>
    <t>IO2006-P-3300.CFE</t>
  </si>
  <si>
    <t>IO2006-P-3400.CFE</t>
  </si>
  <si>
    <t>IO2006-P-3500.CFE</t>
  </si>
  <si>
    <t>IO2006-P-3600.CFE</t>
  </si>
  <si>
    <t>IO2006-P-3700.CFE</t>
  </si>
  <si>
    <t>IO2006-P-3800.CFE</t>
  </si>
  <si>
    <t>IO2006-P-3900.CFE</t>
  </si>
  <si>
    <t>IO2006-P-4000.CFE</t>
  </si>
  <si>
    <t>IO2006-P-4100.CFE</t>
  </si>
  <si>
    <t>IO2006-P-4200.CFE</t>
  </si>
  <si>
    <t>IO2006-P-4300.CFE</t>
  </si>
  <si>
    <t>IO2006-P-4400.CFE</t>
  </si>
  <si>
    <t>IO2006-P-4500.CFE</t>
  </si>
  <si>
    <t>IO2006-P-4600.CFE</t>
  </si>
  <si>
    <t>IO2006-P-4700.CFE</t>
  </si>
  <si>
    <t>IO2009-C-3300.CFE</t>
  </si>
  <si>
    <t>IO2009-C-3400.CFE</t>
  </si>
  <si>
    <t>IO2009-C-3500.CFE</t>
  </si>
  <si>
    <t>IO2009-C-3600.CFE</t>
  </si>
  <si>
    <t>IO2009-C-3700.CFE</t>
  </si>
  <si>
    <t>IO2009-C-3800.CFE</t>
  </si>
  <si>
    <t>IO2009-C-3900.CFE</t>
  </si>
  <si>
    <t>IO2009-C-4000.CFE</t>
  </si>
  <si>
    <t>IO2009-C-4100.CFE</t>
  </si>
  <si>
    <t>IO2009-C-4200.CFE</t>
  </si>
  <si>
    <t>IO2009-C-4300.CFE</t>
  </si>
  <si>
    <t>IO2009-C-4400.CFE</t>
  </si>
  <si>
    <t>IO2009-C-4500.CFE</t>
  </si>
  <si>
    <t>IO2009-C-4600.CFE</t>
  </si>
  <si>
    <t>IO2009-C-4700.CFE</t>
  </si>
  <si>
    <t>IO2009-P-3300.CFE</t>
  </si>
  <si>
    <t>IO2009-P-3400.CFE</t>
  </si>
  <si>
    <t>IO2009-P-3500.CFE</t>
  </si>
  <si>
    <t>IO2009-P-3600.CFE</t>
  </si>
  <si>
    <t>IO2009-P-3700.CFE</t>
  </si>
  <si>
    <t>IO2009-P-3800.CFE</t>
  </si>
  <si>
    <t>IO2009-P-3900.CFE</t>
  </si>
  <si>
    <t>IO2009-P-4000.CFE</t>
  </si>
  <si>
    <t>IO2009-P-4100.CFE</t>
  </si>
  <si>
    <t>IO2009-P-4200.CFE</t>
  </si>
  <si>
    <t>IO2009-P-4300.CFE</t>
  </si>
  <si>
    <t>IO2009-P-4400.CFE</t>
  </si>
  <si>
    <t>IO2009-P-4500.CFE</t>
  </si>
  <si>
    <t>IO2009-P-4600.CFE</t>
  </si>
  <si>
    <t>IO2009-P-4700.CFE</t>
  </si>
  <si>
    <t>IO2012-C-3300.CFE</t>
  </si>
  <si>
    <t>IO2012-C-3400.CFE</t>
  </si>
  <si>
    <t>IO2012-C-3500.CFE</t>
  </si>
  <si>
    <t>IO2012-C-3600.CFE</t>
  </si>
  <si>
    <t>IO2012-C-3700.CFE</t>
  </si>
  <si>
    <t>IO2012-C-3800.CFE</t>
  </si>
  <si>
    <t>IO2012-C-3900.CFE</t>
  </si>
  <si>
    <t>IO2012-C-4000.CFE</t>
  </si>
  <si>
    <t>IO2012-C-4100.CFE</t>
  </si>
  <si>
    <t>IO2012-C-4200.CFE</t>
  </si>
  <si>
    <t>IO2012-C-4300.CFE</t>
  </si>
  <si>
    <t>IO2012-C-4400.CFE</t>
  </si>
  <si>
    <t>IO2012-C-4500.CFE</t>
  </si>
  <si>
    <t>IO2012-C-4600.CFE</t>
  </si>
  <si>
    <t>IO2012-C-4700.CFE</t>
  </si>
  <si>
    <t>IO2012-P-3300.CFE</t>
  </si>
  <si>
    <t>IO2012-P-3400.CFE</t>
  </si>
  <si>
    <t>IO2012-P-3500.CFE</t>
  </si>
  <si>
    <t>IO2012-P-3600.CFE</t>
  </si>
  <si>
    <t>IO2012-P-3700.CFE</t>
  </si>
  <si>
    <t>IO2012-P-3800.CFE</t>
  </si>
  <si>
    <t>IO2012-P-3900.CFE</t>
  </si>
  <si>
    <t>IO2012-P-4000.CFE</t>
  </si>
  <si>
    <t>IO2012-P-4100.CFE</t>
  </si>
  <si>
    <t>IO2012-P-4200.CFE</t>
  </si>
  <si>
    <t>IO2012-P-4300.CFE</t>
  </si>
  <si>
    <t>IO2012-P-4400.CFE</t>
  </si>
  <si>
    <t>IO2012-P-4500.CFE</t>
  </si>
  <si>
    <t>IO2012-P-4600.CFE</t>
  </si>
  <si>
    <t>IO2012-P-4700.CFE</t>
  </si>
  <si>
    <t>10002171.SH</t>
  </si>
  <si>
    <t>10002172.SH</t>
  </si>
  <si>
    <t>10002173.SH</t>
  </si>
  <si>
    <t>10002174.SH</t>
  </si>
  <si>
    <t>10002175.SH</t>
  </si>
  <si>
    <t>10002176.SH</t>
  </si>
  <si>
    <t>10002177.SH</t>
  </si>
  <si>
    <t>10002178.SH</t>
  </si>
  <si>
    <t>10002179.SH</t>
  </si>
  <si>
    <t>10002180.SH</t>
  </si>
  <si>
    <t>10002181.SH</t>
  </si>
  <si>
    <t>10002182.SH</t>
  </si>
  <si>
    <t>10002183.SH</t>
  </si>
  <si>
    <t>10002184.SH</t>
  </si>
  <si>
    <t>10002185.SH</t>
  </si>
  <si>
    <t>10002186.SH</t>
  </si>
  <si>
    <t>10002187.SH</t>
  </si>
  <si>
    <t>10002188.SH</t>
  </si>
  <si>
    <t>10002221.SH</t>
  </si>
  <si>
    <t>10002222.SH</t>
  </si>
  <si>
    <t>10002229.SH</t>
  </si>
  <si>
    <t>10002230.SH</t>
  </si>
  <si>
    <t>10002249.SH</t>
  </si>
  <si>
    <t>10002250.SH</t>
  </si>
  <si>
    <t>10002251.SH</t>
  </si>
  <si>
    <t>10002252.SH</t>
  </si>
  <si>
    <t>10002253.SH</t>
  </si>
  <si>
    <t>10002254.SH</t>
  </si>
  <si>
    <t>10002255.SH</t>
  </si>
  <si>
    <t>10002256.SH</t>
  </si>
  <si>
    <t>10002257.SH</t>
  </si>
  <si>
    <t>10002258.SH</t>
  </si>
  <si>
    <t>10002259.SH</t>
  </si>
  <si>
    <t>10002260.SH</t>
  </si>
  <si>
    <t>10002261.SH</t>
  </si>
  <si>
    <t>10002262.SH</t>
  </si>
  <si>
    <t>10002263.SH</t>
  </si>
  <si>
    <t>10002264.SH</t>
  </si>
  <si>
    <t>10002265.SH</t>
  </si>
  <si>
    <t>10002266.SH</t>
  </si>
  <si>
    <t>10002271.SH</t>
  </si>
  <si>
    <t>10002272.SH</t>
  </si>
  <si>
    <t>10002315.SH</t>
  </si>
  <si>
    <t>10002316.SH</t>
  </si>
  <si>
    <t>10002317.SH</t>
  </si>
  <si>
    <t>10002318.SH</t>
  </si>
  <si>
    <t>10002319.SH</t>
  </si>
  <si>
    <t>10002320.SH</t>
  </si>
  <si>
    <t>10002321.SH</t>
  </si>
  <si>
    <t>10002322.SH</t>
  </si>
  <si>
    <t>10002323.SH</t>
  </si>
  <si>
    <t>10002324.SH</t>
  </si>
  <si>
    <t>10002325.SH</t>
  </si>
  <si>
    <t>10002326.SH</t>
  </si>
  <si>
    <t>10002327.SH</t>
  </si>
  <si>
    <t>10002328.SH</t>
  </si>
  <si>
    <t>10002329.SH</t>
  </si>
  <si>
    <t>10002330.SH</t>
  </si>
  <si>
    <t>10002331.SH</t>
  </si>
  <si>
    <t>10002332.SH</t>
  </si>
  <si>
    <t>合约1</t>
  </si>
  <si>
    <t>合约2</t>
  </si>
  <si>
    <t>到期收益率</t>
  </si>
  <si>
    <t>|合约2-合约1|-手续费</t>
  </si>
  <si>
    <t>1=2?</t>
  </si>
  <si>
    <t>合约</t>
  </si>
  <si>
    <t>交易乘数</t>
  </si>
  <si>
    <t>交易
乘数</t>
  </si>
  <si>
    <t>保证金乘数</t>
  </si>
  <si>
    <t>本方
一档</t>
  </si>
  <si>
    <t>最新
价</t>
  </si>
  <si>
    <t>对手
盘</t>
  </si>
  <si>
    <t>前收盘价</t>
  </si>
  <si>
    <t>实值</t>
    <phoneticPr fontId="2" type="noConversion"/>
  </si>
  <si>
    <t>时间价值</t>
    <phoneticPr fontId="2" type="noConversion"/>
  </si>
  <si>
    <t>实值调整</t>
    <phoneticPr fontId="2" type="noConversion"/>
  </si>
  <si>
    <t>IO2005-P-3700.CFE</t>
  </si>
  <si>
    <t>IO2005-P-3750.CFE</t>
  </si>
  <si>
    <t>IO2005-P-3800.CFE</t>
  </si>
  <si>
    <t>IO2005-P-3850.CFE</t>
  </si>
  <si>
    <t>IO2005-P-3900.CFE</t>
  </si>
  <si>
    <t>IO2005-P-3950.CFE</t>
  </si>
  <si>
    <t>IO2005-P-4000.CFE</t>
  </si>
  <si>
    <t>IO2005-P-4050.CFE</t>
  </si>
  <si>
    <t>IO2005-P-4100.CFE</t>
  </si>
  <si>
    <t>IO2005-P-4150.CFE</t>
  </si>
  <si>
    <t>IO2005-P-4200.CFE</t>
  </si>
  <si>
    <t>IO2005-P-4250.CFE</t>
  </si>
  <si>
    <t>IO2005-P-4300.CFE</t>
  </si>
  <si>
    <t>IO2005-P-4350.CFE</t>
  </si>
  <si>
    <t>IO2005-P-4400.CFE</t>
  </si>
  <si>
    <t>IO2005-P-4450.CFE</t>
  </si>
  <si>
    <t>IO2005-P-4500.CFE</t>
  </si>
  <si>
    <t>IO2005-P-4550.CFE</t>
  </si>
  <si>
    <t>IO2005-P-4600.CFE</t>
  </si>
  <si>
    <t>IO2005-C-3700.CFE</t>
  </si>
  <si>
    <t>IO2005-C-3750.CFE</t>
  </si>
  <si>
    <t>IO2005-C-3800.CFE</t>
  </si>
  <si>
    <t>IO2005-C-3850.CFE</t>
  </si>
  <si>
    <t>IO2005-C-3900.CFE</t>
  </si>
  <si>
    <t>IO2005-C-3950.CFE</t>
  </si>
  <si>
    <t>IO2005-C-4000.CFE</t>
  </si>
  <si>
    <t>IO2005-C-4050.CFE</t>
  </si>
  <si>
    <t>IO2005-C-4100.CFE</t>
  </si>
  <si>
    <t>IO2005-C-4150.CFE</t>
  </si>
  <si>
    <t>IO2005-C-4200.CFE</t>
  </si>
  <si>
    <t>IO2005-C-4250.CFE</t>
  </si>
  <si>
    <t>IO2005-C-4300.CFE</t>
  </si>
  <si>
    <t>IO2005-C-4350.CFE</t>
  </si>
  <si>
    <t>IO2005-C-4400.CFE</t>
  </si>
  <si>
    <t>IO2005-C-4450.CFE</t>
  </si>
  <si>
    <t>IO2005-C-4500.CFE</t>
  </si>
  <si>
    <t>IO2005-C-4550.CFE</t>
  </si>
  <si>
    <t>IO2005-C-4600.CFE</t>
  </si>
  <si>
    <t>IO2005-C-3650.CFE</t>
  </si>
  <si>
    <t>IO2005-P-3650.CFE</t>
  </si>
  <si>
    <t>10002351.SH</t>
  </si>
  <si>
    <t>10002352.SH</t>
  </si>
  <si>
    <t>10002353.SH</t>
  </si>
  <si>
    <t>10002354.SH</t>
  </si>
  <si>
    <t>10002355.SH</t>
  </si>
  <si>
    <t>10002356.SH</t>
  </si>
  <si>
    <t>10002357.SH</t>
  </si>
  <si>
    <t>10002358.SH</t>
  </si>
  <si>
    <t>10002359.SH</t>
  </si>
  <si>
    <t>10002360.SH</t>
  </si>
  <si>
    <t>10002361.SH</t>
  </si>
  <si>
    <t>10002362.SH</t>
  </si>
  <si>
    <t>10002363.SH</t>
  </si>
  <si>
    <t>10002364.SH</t>
  </si>
  <si>
    <t>10002365.SH</t>
  </si>
  <si>
    <t>10002366.SH</t>
  </si>
  <si>
    <t>10002367.SH</t>
  </si>
  <si>
    <t>10002368.SH</t>
  </si>
  <si>
    <t>IO2005-C-3500.CFE</t>
  </si>
  <si>
    <t>IO2005-C-3550.CFE</t>
  </si>
  <si>
    <t>IO2005-C-3600.CFE</t>
  </si>
  <si>
    <t>IO2005-P-3500.CFE</t>
  </si>
  <si>
    <t>IO2005-P-3550.CFE</t>
  </si>
  <si>
    <t>IO2005-P-3600.CFE</t>
  </si>
  <si>
    <t>10002373.SH</t>
  </si>
  <si>
    <t>10002374.SH</t>
  </si>
  <si>
    <t>10002375.SH</t>
  </si>
  <si>
    <t>10002376.SH</t>
  </si>
  <si>
    <t>nav</t>
  </si>
  <si>
    <t>IO2004-C-3200.CFE</t>
  </si>
  <si>
    <t>IO2004-C-3250.CFE</t>
  </si>
  <si>
    <t>IO2004-P-3200.CFE</t>
  </si>
  <si>
    <t>IO2004-P-3250.CFE</t>
  </si>
  <si>
    <t>IO2005-C-3200.CFE</t>
  </si>
  <si>
    <t>IO2005-C-3250.CFE</t>
  </si>
  <si>
    <t>IO2005-C-3300.CFE</t>
  </si>
  <si>
    <t>IO2005-C-3350.CFE</t>
  </si>
  <si>
    <t>IO2005-C-3400.CFE</t>
  </si>
  <si>
    <t>IO2005-C-3450.CFE</t>
  </si>
  <si>
    <t>IO2005-C-4650.CFE</t>
  </si>
  <si>
    <t>IO2005-P-3200.CFE</t>
  </si>
  <si>
    <t>IO2005-P-3250.CFE</t>
  </si>
  <si>
    <t>IO2005-P-3300.CFE</t>
  </si>
  <si>
    <t>IO2005-P-3350.CFE</t>
  </si>
  <si>
    <t>IO2005-P-3400.CFE</t>
  </si>
  <si>
    <t>IO2005-P-3450.CFE</t>
  </si>
  <si>
    <t>IO2005-P-4650.CFE</t>
  </si>
  <si>
    <t>IO2006-C-3200.CFE</t>
  </si>
  <si>
    <t>IO2006-C-3250.CFE</t>
  </si>
  <si>
    <t>IO2006-C-3350.CFE</t>
  </si>
  <si>
    <t>IO2006-C-3450.CFE</t>
  </si>
  <si>
    <t>IO2006-C-3550.CFE</t>
  </si>
  <si>
    <t>IO2006-C-3650.CFE</t>
  </si>
  <si>
    <t>IO2006-C-3750.CFE</t>
  </si>
  <si>
    <t>IO2006-C-3850.CFE</t>
  </si>
  <si>
    <t>IO2006-C-3950.CFE</t>
  </si>
  <si>
    <t>IO2006-C-4050.CFE</t>
  </si>
  <si>
    <t>IO2006-P-3200.CFE</t>
  </si>
  <si>
    <t>IO2006-P-3250.CFE</t>
  </si>
  <si>
    <t>IO2006-P-3350.CFE</t>
  </si>
  <si>
    <t>IO2006-P-3450.CFE</t>
  </si>
  <si>
    <t>IO2006-P-3550.CFE</t>
  </si>
  <si>
    <t>IO2006-P-3650.CFE</t>
  </si>
  <si>
    <t>IO2006-P-3750.CFE</t>
  </si>
  <si>
    <t>IO2006-P-3850.CFE</t>
  </si>
  <si>
    <t>IO2006-P-3950.CFE</t>
  </si>
  <si>
    <t>IO2006-P-4050.CFE</t>
  </si>
  <si>
    <t>IO2009-C-3200.CFE</t>
  </si>
  <si>
    <t>IO2009-P-3200.CFE</t>
  </si>
  <si>
    <t>IO2012-C-3200.CFE</t>
  </si>
  <si>
    <t>IO2012-P-3200.CFE</t>
  </si>
  <si>
    <t>IO2103-C-3200.CFE</t>
  </si>
  <si>
    <t>IO2103-C-3300.CFE</t>
  </si>
  <si>
    <t>IO2103-C-3400.CFE</t>
  </si>
  <si>
    <t>IO2103-C-3500.CFE</t>
  </si>
  <si>
    <t>IO2103-C-3600.CFE</t>
  </si>
  <si>
    <t>IO2103-C-3700.CFE</t>
  </si>
  <si>
    <t>IO2103-C-3800.CFE</t>
  </si>
  <si>
    <t>IO2103-C-3900.CFE</t>
  </si>
  <si>
    <t>IO2103-C-4000.CFE</t>
  </si>
  <si>
    <t>IO2103-C-4100.CFE</t>
  </si>
  <si>
    <t>IO2103-P-3200.CFE</t>
  </si>
  <si>
    <t>IO2103-P-3300.CFE</t>
  </si>
  <si>
    <t>IO2103-P-3400.CFE</t>
  </si>
  <si>
    <t>IO2103-P-3500.CFE</t>
  </si>
  <si>
    <t>IO2103-P-3600.CFE</t>
  </si>
  <si>
    <t>IO2103-P-3700.CFE</t>
  </si>
  <si>
    <t>IO2103-P-3800.CFE</t>
  </si>
  <si>
    <t>IO2103-P-3900.CFE</t>
  </si>
  <si>
    <t>IO2103-P-4000.CFE</t>
  </si>
  <si>
    <t>IO2103-P-4100.CFE</t>
  </si>
  <si>
    <t>10002381.SH</t>
  </si>
  <si>
    <t>10002382.SH</t>
  </si>
  <si>
    <t>10002383.SH</t>
  </si>
  <si>
    <t>10002384.SH</t>
  </si>
  <si>
    <t>10002389.SH</t>
  </si>
  <si>
    <t>10002390.SH</t>
  </si>
  <si>
    <t>10002391.SH</t>
  </si>
  <si>
    <t>10002392.SH</t>
  </si>
  <si>
    <t>10002409.SH</t>
  </si>
  <si>
    <t>10002410.SH</t>
  </si>
  <si>
    <t>10002411.SH</t>
  </si>
  <si>
    <t>10002412.SH</t>
  </si>
  <si>
    <t>10002413.SH</t>
  </si>
  <si>
    <t>10002414.SH</t>
  </si>
  <si>
    <t>10002415.SH</t>
  </si>
  <si>
    <t>10002416.SH</t>
  </si>
  <si>
    <t>考虑实值调整</t>
  </si>
  <si>
    <t>1=yes</t>
  </si>
  <si>
    <t>510300.SH</t>
    <phoneticPr fontId="2" type="noConversion"/>
  </si>
  <si>
    <t>10002431.SH</t>
  </si>
  <si>
    <t>10002432.SH</t>
  </si>
  <si>
    <t>10002451.SH</t>
  </si>
  <si>
    <t>10002452.SH</t>
  </si>
  <si>
    <t>10002453.SH</t>
  </si>
  <si>
    <t>10002454.SH</t>
  </si>
  <si>
    <t>10002455.SH</t>
  </si>
  <si>
    <t>10002456.SH</t>
  </si>
  <si>
    <t>10002457.SH</t>
  </si>
  <si>
    <t>10002458.SH</t>
  </si>
  <si>
    <t>10002459.SH</t>
  </si>
  <si>
    <t>10002460.SH</t>
  </si>
  <si>
    <t>10002461.SH</t>
  </si>
  <si>
    <t>10002462.SH</t>
  </si>
  <si>
    <t>10002463.SH</t>
  </si>
  <si>
    <t>10002464.SH</t>
  </si>
  <si>
    <t>10002465.SH</t>
  </si>
  <si>
    <t>10002466.SH</t>
  </si>
  <si>
    <t>10002467.SH</t>
  </si>
  <si>
    <t>10002468.SH</t>
  </si>
  <si>
    <t>IO2004-C-3150.CFE</t>
  </si>
  <si>
    <t>IO2004-P-3150.CFE</t>
  </si>
  <si>
    <t>IO2005-C-3150.CFE</t>
  </si>
  <si>
    <t>IO2005-P-3150.CFE</t>
  </si>
  <si>
    <t>IO2006-C-3150.CFE</t>
  </si>
  <si>
    <t>IO2006-P-3150.CFE</t>
  </si>
  <si>
    <t>IO2009-C-3100.CFE</t>
  </si>
  <si>
    <t>IO2009-P-3100.CFE</t>
  </si>
  <si>
    <t>IO2012-C-3100.CFE</t>
  </si>
  <si>
    <t>IO2012-P-3100.CFE</t>
  </si>
  <si>
    <t>IO2103-C-3100.CFE</t>
  </si>
  <si>
    <t>IO2103-P-3100.CFE</t>
  </si>
  <si>
    <t>ID</t>
  </si>
  <si>
    <t>CP</t>
  </si>
  <si>
    <t>K</t>
  </si>
  <si>
    <t>T</t>
  </si>
  <si>
    <t>ID1</t>
  </si>
  <si>
    <t>ID2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</si>
</sst>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164" formatCode="#,##0.0_ "/>
    <numFmt numFmtId="165" formatCode="0.0"/>
    <numFmt numFmtId="166" formatCode="0.000"/>
    <numFmt numFmtId="167" formatCode="0.0000"/>
    <numFmt numFmtId="168" formatCode="mmdd"/>
    <numFmt numFmtId="169" formatCode="yyyymmdd"/>
    <numFmt numFmtId="170" formatCode="m&quot;月&quot;d&quot;日&quot;;@"/>
    <numFmt numFmtId="171" formatCode="#,##0.0000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  <font>
      <sz val="11"/>
      <color rgb="FFFF0000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theme="1" tint="0.499984740745262"/>
      <name val="Calibri"/>
      <family val="2"/>
      <scheme val="minor"/>
    </font>
    <font>
      <sz val="9"/>
      <color theme="1" tint="0.499984740745262"/>
      <name val="Calibri"/>
      <family val="2"/>
      <scheme val="minor"/>
    </font>
    <font>
      <sz val="10"/>
      <color theme="1" tint="0.499984740745262"/>
      <name val="Calibri"/>
      <family val="2"/>
      <scheme val="minor"/>
    </font>
    <font>
      <sz val="7"/>
      <color rgb="FFFF0000"/>
      <name val="Calibri"/>
      <family val="2"/>
      <scheme val="minor"/>
    </font>
    <font>
      <sz val="9"/>
      <color rgb="FFFF0000"/>
      <name val="Agency FB"/>
      <family val="2"/>
    </font>
  </fonts>
  <fills count="9">
    <fill>
      <patternFill patternType="none"/>
    </fill>
    <fill>
      <patternFill patternType="gray125"/>
    </fill>
    <fill>
      <patternFill patternType="solid">
        <fgColor rgb="FFB3EBC4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>
      <alignment vertical="center"/>
    </xf>
  </cellStyleXfs>
  <cellXfs count="160">
    <xf numFmtId="0" fontId="0" fillId="0" borderId="0" xfId="0"/>
    <xf numFmtId="0" fontId="3" fillId="0" borderId="0" xfId="0" applyFont="1"/>
    <xf numFmtId="10" fontId="0" fillId="0" borderId="0" xfId="1" applyNumberFormat="1" applyFont="1" applyAlignment="1"/>
    <xf numFmtId="0" fontId="0" fillId="0" borderId="0" xfId="0" applyNumberFormat="1"/>
    <xf numFmtId="165" fontId="0" fillId="0" borderId="0" xfId="0" applyNumberFormat="1"/>
    <xf numFmtId="165" fontId="3" fillId="0" borderId="0" xfId="0" applyNumberFormat="1" applyFont="1"/>
    <xf numFmtId="1" fontId="0" fillId="0" borderId="0" xfId="0" applyNumberFormat="1"/>
    <xf numFmtId="166" fontId="0" fillId="0" borderId="0" xfId="0" applyNumberFormat="1"/>
    <xf numFmtId="1" fontId="0" fillId="0" borderId="0" xfId="0" applyNumberFormat="1" applyFill="1"/>
    <xf numFmtId="0" fontId="0" fillId="0" borderId="1" xfId="0" applyBorder="1"/>
    <xf numFmtId="164" fontId="0" fillId="0" borderId="1" xfId="0" applyNumberFormat="1" applyFill="1" applyBorder="1"/>
    <xf numFmtId="0" fontId="0" fillId="0" borderId="2" xfId="0" applyBorder="1"/>
    <xf numFmtId="1" fontId="0" fillId="0" borderId="2" xfId="0" applyNumberFormat="1" applyBorder="1"/>
    <xf numFmtId="10" fontId="0" fillId="0" borderId="2" xfId="1" applyNumberFormat="1" applyFont="1" applyBorder="1" applyAlignment="1"/>
    <xf numFmtId="167" fontId="0" fillId="0" borderId="0" xfId="0" applyNumberFormat="1" applyFill="1"/>
    <xf numFmtId="167" fontId="0" fillId="0" borderId="0" xfId="0" applyNumberFormat="1"/>
    <xf numFmtId="3" fontId="0" fillId="0" borderId="2" xfId="0" applyNumberFormat="1" applyBorder="1"/>
    <xf numFmtId="49" fontId="0" fillId="0" borderId="0" xfId="0" applyNumberFormat="1" applyAlignment="1">
      <alignment horizontal="right"/>
    </xf>
    <xf numFmtId="168" fontId="0" fillId="0" borderId="2" xfId="0" applyNumberFormat="1" applyBorder="1" applyAlignment="1">
      <alignment horizontal="right"/>
    </xf>
    <xf numFmtId="0" fontId="0" fillId="0" borderId="2" xfId="0" applyNumberFormat="1" applyBorder="1"/>
    <xf numFmtId="169" fontId="4" fillId="0" borderId="5" xfId="0" applyNumberFormat="1" applyFont="1" applyBorder="1"/>
    <xf numFmtId="0" fontId="0" fillId="0" borderId="3" xfId="0" applyBorder="1"/>
    <xf numFmtId="3" fontId="0" fillId="0" borderId="0" xfId="0" applyNumberFormat="1" applyBorder="1"/>
    <xf numFmtId="10" fontId="0" fillId="0" borderId="0" xfId="0" applyNumberFormat="1"/>
    <xf numFmtId="10" fontId="0" fillId="0" borderId="2" xfId="0" applyNumberFormat="1" applyBorder="1"/>
    <xf numFmtId="0" fontId="5" fillId="0" borderId="0" xfId="0" applyFont="1" applyAlignment="1">
      <alignment vertical="top" wrapText="1"/>
    </xf>
    <xf numFmtId="0" fontId="6" fillId="0" borderId="0" xfId="0" applyFont="1" applyAlignment="1">
      <alignment vertical="top" wrapText="1"/>
    </xf>
    <xf numFmtId="3" fontId="6" fillId="0" borderId="2" xfId="0" applyNumberFormat="1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0" fillId="2" borderId="0" xfId="0" applyFill="1"/>
    <xf numFmtId="165" fontId="3" fillId="0" borderId="0" xfId="0" applyNumberFormat="1" applyFont="1" applyAlignment="1">
      <alignment horizontal="center"/>
    </xf>
    <xf numFmtId="165" fontId="0" fillId="0" borderId="0" xfId="0" applyNumberFormat="1" applyAlignment="1">
      <alignment horizontal="center"/>
    </xf>
    <xf numFmtId="0" fontId="0" fillId="0" borderId="0" xfId="0" applyNumberFormat="1" applyAlignment="1">
      <alignment horizontal="center"/>
    </xf>
    <xf numFmtId="3" fontId="0" fillId="0" borderId="6" xfId="0" applyNumberFormat="1" applyBorder="1" applyAlignment="1">
      <alignment horizontal="center"/>
    </xf>
    <xf numFmtId="0" fontId="0" fillId="0" borderId="8" xfId="0" applyBorder="1"/>
    <xf numFmtId="0" fontId="0" fillId="2" borderId="8" xfId="0" applyFill="1" applyBorder="1"/>
    <xf numFmtId="168" fontId="0" fillId="0" borderId="9" xfId="0" applyNumberFormat="1" applyBorder="1" applyAlignment="1">
      <alignment horizontal="right"/>
    </xf>
    <xf numFmtId="165" fontId="0" fillId="0" borderId="8" xfId="0" applyNumberFormat="1" applyBorder="1"/>
    <xf numFmtId="0" fontId="0" fillId="0" borderId="8" xfId="0" applyNumberFormat="1" applyBorder="1"/>
    <xf numFmtId="1" fontId="0" fillId="0" borderId="8" xfId="0" applyNumberFormat="1" applyBorder="1"/>
    <xf numFmtId="49" fontId="0" fillId="0" borderId="8" xfId="0" applyNumberFormat="1" applyBorder="1" applyAlignment="1">
      <alignment horizontal="right"/>
    </xf>
    <xf numFmtId="165" fontId="0" fillId="0" borderId="8" xfId="0" applyNumberFormat="1" applyBorder="1" applyAlignment="1">
      <alignment horizontal="center"/>
    </xf>
    <xf numFmtId="167" fontId="0" fillId="0" borderId="8" xfId="0" applyNumberFormat="1" applyBorder="1"/>
    <xf numFmtId="167" fontId="0" fillId="0" borderId="8" xfId="0" applyNumberFormat="1" applyFill="1" applyBorder="1"/>
    <xf numFmtId="1" fontId="0" fillId="0" borderId="8" xfId="0" applyNumberFormat="1" applyFill="1" applyBorder="1"/>
    <xf numFmtId="3" fontId="0" fillId="0" borderId="9" xfId="0" applyNumberFormat="1" applyBorder="1"/>
    <xf numFmtId="10" fontId="0" fillId="0" borderId="8" xfId="1" applyNumberFormat="1" applyFont="1" applyBorder="1" applyAlignment="1"/>
    <xf numFmtId="10" fontId="0" fillId="0" borderId="9" xfId="1" applyNumberFormat="1" applyFont="1" applyBorder="1" applyAlignment="1"/>
    <xf numFmtId="164" fontId="0" fillId="0" borderId="11" xfId="0" applyNumberFormat="1" applyFill="1" applyBorder="1"/>
    <xf numFmtId="3" fontId="0" fillId="0" borderId="1" xfId="0" applyNumberFormat="1" applyBorder="1"/>
    <xf numFmtId="3" fontId="0" fillId="2" borderId="1" xfId="0" applyNumberFormat="1" applyFill="1" applyBorder="1"/>
    <xf numFmtId="3" fontId="0" fillId="2" borderId="11" xfId="0" applyNumberFormat="1" applyFill="1" applyBorder="1"/>
    <xf numFmtId="3" fontId="6" fillId="2" borderId="1" xfId="0" applyNumberFormat="1" applyFont="1" applyFill="1" applyBorder="1" applyAlignment="1">
      <alignment vertical="top" wrapText="1"/>
    </xf>
    <xf numFmtId="0" fontId="0" fillId="0" borderId="0" xfId="0" applyNumberFormat="1" applyBorder="1"/>
    <xf numFmtId="165" fontId="3" fillId="0" borderId="0" xfId="0" applyNumberFormat="1" applyFont="1" applyBorder="1"/>
    <xf numFmtId="0" fontId="0" fillId="0" borderId="0" xfId="0" applyBorder="1"/>
    <xf numFmtId="10" fontId="0" fillId="0" borderId="0" xfId="1" applyNumberFormat="1" applyFont="1" applyBorder="1" applyAlignment="1"/>
    <xf numFmtId="0" fontId="8" fillId="2" borderId="11" xfId="0" applyFont="1" applyFill="1" applyBorder="1" applyAlignment="1">
      <alignment vertical="top" wrapText="1"/>
    </xf>
    <xf numFmtId="0" fontId="5" fillId="0" borderId="8" xfId="0" applyFont="1" applyBorder="1" applyAlignment="1">
      <alignment vertical="top" wrapText="1"/>
    </xf>
    <xf numFmtId="0" fontId="5" fillId="0" borderId="8" xfId="0" applyNumberFormat="1" applyFont="1" applyBorder="1" applyAlignment="1">
      <alignment horizontal="center" vertical="top" wrapText="1"/>
    </xf>
    <xf numFmtId="168" fontId="5" fillId="0" borderId="9" xfId="0" applyNumberFormat="1" applyFont="1" applyBorder="1" applyAlignment="1">
      <alignment horizontal="left" vertical="top" wrapText="1"/>
    </xf>
    <xf numFmtId="0" fontId="5" fillId="0" borderId="8" xfId="0" applyNumberFormat="1" applyFont="1" applyBorder="1" applyAlignment="1">
      <alignment vertical="top" wrapText="1"/>
    </xf>
    <xf numFmtId="165" fontId="5" fillId="0" borderId="8" xfId="0" applyNumberFormat="1" applyFont="1" applyBorder="1" applyAlignment="1">
      <alignment vertical="top" wrapText="1"/>
    </xf>
    <xf numFmtId="1" fontId="5" fillId="0" borderId="8" xfId="0" applyNumberFormat="1" applyFont="1" applyBorder="1" applyAlignment="1">
      <alignment vertical="top" wrapText="1"/>
    </xf>
    <xf numFmtId="0" fontId="5" fillId="0" borderId="9" xfId="0" applyFont="1" applyBorder="1" applyAlignment="1">
      <alignment vertical="top" wrapText="1"/>
    </xf>
    <xf numFmtId="3" fontId="5" fillId="0" borderId="9" xfId="0" applyNumberFormat="1" applyFont="1" applyBorder="1" applyAlignment="1">
      <alignment vertical="top" wrapText="1"/>
    </xf>
    <xf numFmtId="0" fontId="5" fillId="0" borderId="11" xfId="0" applyFont="1" applyBorder="1" applyAlignment="1">
      <alignment vertical="top" wrapText="1"/>
    </xf>
    <xf numFmtId="0" fontId="0" fillId="0" borderId="5" xfId="0" applyBorder="1"/>
    <xf numFmtId="49" fontId="0" fillId="0" borderId="5" xfId="0" applyNumberFormat="1" applyBorder="1" applyAlignment="1">
      <alignment horizontal="right"/>
    </xf>
    <xf numFmtId="0" fontId="0" fillId="2" borderId="5" xfId="0" applyFill="1" applyBorder="1"/>
    <xf numFmtId="165" fontId="0" fillId="0" borderId="5" xfId="0" applyNumberFormat="1" applyBorder="1"/>
    <xf numFmtId="168" fontId="0" fillId="0" borderId="6" xfId="0" applyNumberFormat="1" applyBorder="1" applyAlignment="1">
      <alignment horizontal="right"/>
    </xf>
    <xf numFmtId="0" fontId="6" fillId="0" borderId="8" xfId="0" applyFont="1" applyBorder="1" applyAlignment="1">
      <alignment vertical="top" wrapText="1"/>
    </xf>
    <xf numFmtId="0" fontId="9" fillId="0" borderId="0" xfId="0" applyNumberFormat="1" applyFont="1"/>
    <xf numFmtId="0" fontId="9" fillId="0" borderId="8" xfId="0" applyNumberFormat="1" applyFont="1" applyBorder="1"/>
    <xf numFmtId="0" fontId="9" fillId="0" borderId="2" xfId="0" applyFont="1" applyBorder="1"/>
    <xf numFmtId="0" fontId="9" fillId="0" borderId="9" xfId="0" applyFont="1" applyBorder="1"/>
    <xf numFmtId="0" fontId="9" fillId="0" borderId="0" xfId="0" applyNumberFormat="1" applyFont="1" applyBorder="1"/>
    <xf numFmtId="3" fontId="9" fillId="0" borderId="2" xfId="0" applyNumberFormat="1" applyFont="1" applyBorder="1"/>
    <xf numFmtId="3" fontId="9" fillId="0" borderId="9" xfId="0" applyNumberFormat="1" applyFont="1" applyBorder="1"/>
    <xf numFmtId="3" fontId="10" fillId="5" borderId="2" xfId="0" applyNumberFormat="1" applyFont="1" applyFill="1" applyBorder="1" applyAlignment="1">
      <alignment vertical="top" wrapText="1"/>
    </xf>
    <xf numFmtId="3" fontId="9" fillId="5" borderId="2" xfId="0" applyNumberFormat="1" applyFont="1" applyFill="1" applyBorder="1"/>
    <xf numFmtId="3" fontId="9" fillId="5" borderId="6" xfId="0" applyNumberFormat="1" applyFont="1" applyFill="1" applyBorder="1" applyAlignment="1"/>
    <xf numFmtId="3" fontId="11" fillId="5" borderId="9" xfId="0" applyNumberFormat="1" applyFont="1" applyFill="1" applyBorder="1" applyAlignment="1">
      <alignment vertical="top" wrapText="1"/>
    </xf>
    <xf numFmtId="3" fontId="9" fillId="5" borderId="9" xfId="0" applyNumberFormat="1" applyFont="1" applyFill="1" applyBorder="1"/>
    <xf numFmtId="0" fontId="0" fillId="0" borderId="7" xfId="0" applyBorder="1" applyAlignment="1">
      <alignment horizontal="left"/>
    </xf>
    <xf numFmtId="0" fontId="5" fillId="0" borderId="10" xfId="0" applyFont="1" applyBorder="1" applyAlignment="1">
      <alignment horizontal="left" vertical="top" wrapText="1"/>
    </xf>
    <xf numFmtId="169" fontId="4" fillId="2" borderId="9" xfId="0" applyNumberFormat="1" applyFont="1" applyFill="1" applyBorder="1"/>
    <xf numFmtId="3" fontId="0" fillId="2" borderId="2" xfId="0" applyNumberFormat="1" applyFill="1" applyBorder="1"/>
    <xf numFmtId="0" fontId="5" fillId="2" borderId="0" xfId="0" applyNumberFormat="1" applyFont="1" applyFill="1" applyBorder="1" applyAlignment="1">
      <alignment horizontal="left" vertical="top" wrapText="1"/>
    </xf>
    <xf numFmtId="0" fontId="5" fillId="0" borderId="6" xfId="0" applyNumberFormat="1" applyFont="1" applyBorder="1" applyAlignment="1">
      <alignment horizontal="center" vertical="top" wrapText="1"/>
    </xf>
    <xf numFmtId="0" fontId="6" fillId="3" borderId="8" xfId="0" applyFont="1" applyFill="1" applyBorder="1" applyAlignment="1">
      <alignment vertical="top" wrapText="1"/>
    </xf>
    <xf numFmtId="0" fontId="6" fillId="3" borderId="8" xfId="0" applyFont="1" applyFill="1" applyBorder="1" applyAlignment="1">
      <alignment horizontal="center" vertical="top" wrapText="1"/>
    </xf>
    <xf numFmtId="168" fontId="6" fillId="3" borderId="9" xfId="0" applyNumberFormat="1" applyFont="1" applyFill="1" applyBorder="1" applyAlignment="1">
      <alignment horizontal="right" vertical="top" wrapText="1"/>
    </xf>
    <xf numFmtId="0" fontId="5" fillId="3" borderId="8" xfId="0" applyFont="1" applyFill="1" applyBorder="1" applyAlignment="1">
      <alignment vertical="top"/>
    </xf>
    <xf numFmtId="0" fontId="6" fillId="3" borderId="8" xfId="0" applyNumberFormat="1" applyFont="1" applyFill="1" applyBorder="1" applyAlignment="1">
      <alignment vertical="top" wrapText="1"/>
    </xf>
    <xf numFmtId="0" fontId="5" fillId="3" borderId="5" xfId="0" applyFont="1" applyFill="1" applyBorder="1" applyAlignment="1">
      <alignment vertical="top" wrapText="1"/>
    </xf>
    <xf numFmtId="165" fontId="5" fillId="3" borderId="8" xfId="0" applyNumberFormat="1" applyFont="1" applyFill="1" applyBorder="1" applyAlignment="1">
      <alignment vertical="top" wrapText="1"/>
    </xf>
    <xf numFmtId="165" fontId="6" fillId="3" borderId="8" xfId="0" applyNumberFormat="1" applyFont="1" applyFill="1" applyBorder="1" applyAlignment="1">
      <alignment horizontal="center" vertical="top" wrapText="1"/>
    </xf>
    <xf numFmtId="0" fontId="6" fillId="3" borderId="9" xfId="0" applyFont="1" applyFill="1" applyBorder="1" applyAlignment="1">
      <alignment vertical="top" wrapText="1"/>
    </xf>
    <xf numFmtId="0" fontId="6" fillId="4" borderId="8" xfId="0" applyFont="1" applyFill="1" applyBorder="1" applyAlignment="1">
      <alignment vertical="top" wrapText="1"/>
    </xf>
    <xf numFmtId="165" fontId="6" fillId="4" borderId="8" xfId="0" applyNumberFormat="1" applyFont="1" applyFill="1" applyBorder="1" applyAlignment="1">
      <alignment horizontal="center" vertical="top" wrapText="1"/>
    </xf>
    <xf numFmtId="168" fontId="6" fillId="4" borderId="8" xfId="0" applyNumberFormat="1" applyFont="1" applyFill="1" applyBorder="1" applyAlignment="1">
      <alignment horizontal="right" vertical="top" wrapText="1"/>
    </xf>
    <xf numFmtId="0" fontId="5" fillId="4" borderId="8" xfId="0" applyFont="1" applyFill="1" applyBorder="1" applyAlignment="1">
      <alignment vertical="top"/>
    </xf>
    <xf numFmtId="0" fontId="6" fillId="4" borderId="8" xfId="0" applyNumberFormat="1" applyFont="1" applyFill="1" applyBorder="1" applyAlignment="1">
      <alignment vertical="top" wrapText="1"/>
    </xf>
    <xf numFmtId="0" fontId="5" fillId="4" borderId="5" xfId="0" applyFont="1" applyFill="1" applyBorder="1" applyAlignment="1">
      <alignment vertical="top" wrapText="1"/>
    </xf>
    <xf numFmtId="165" fontId="5" fillId="4" borderId="8" xfId="0" applyNumberFormat="1" applyFont="1" applyFill="1" applyBorder="1" applyAlignment="1">
      <alignment vertical="top" wrapText="1"/>
    </xf>
    <xf numFmtId="0" fontId="6" fillId="4" borderId="9" xfId="0" applyFont="1" applyFill="1" applyBorder="1" applyAlignment="1">
      <alignment vertical="top" wrapText="1"/>
    </xf>
    <xf numFmtId="170" fontId="12" fillId="0" borderId="0" xfId="0" applyNumberFormat="1" applyFont="1" applyBorder="1" applyAlignment="1">
      <alignment horizontal="right" vertical="center"/>
    </xf>
    <xf numFmtId="14" fontId="0" fillId="0" borderId="0" xfId="0" applyNumberFormat="1"/>
    <xf numFmtId="0" fontId="7" fillId="3" borderId="8" xfId="0" applyFont="1" applyFill="1" applyBorder="1" applyAlignment="1">
      <alignment vertical="top" wrapText="1"/>
    </xf>
    <xf numFmtId="0" fontId="7" fillId="4" borderId="10" xfId="0" applyNumberFormat="1" applyFont="1" applyFill="1" applyBorder="1" applyAlignment="1">
      <alignment horizontal="left" vertical="top" wrapText="1"/>
    </xf>
    <xf numFmtId="165" fontId="3" fillId="0" borderId="0" xfId="0" applyNumberFormat="1" applyFont="1" applyBorder="1" applyAlignment="1">
      <alignment horizontal="center"/>
    </xf>
    <xf numFmtId="1" fontId="5" fillId="0" borderId="8" xfId="0" applyNumberFormat="1" applyFont="1" applyBorder="1" applyAlignment="1">
      <alignment horizontal="center" vertical="top" wrapText="1"/>
    </xf>
    <xf numFmtId="1" fontId="5" fillId="0" borderId="9" xfId="0" applyNumberFormat="1" applyFont="1" applyBorder="1" applyAlignment="1">
      <alignment horizontal="center" vertical="top" wrapText="1"/>
    </xf>
    <xf numFmtId="1" fontId="5" fillId="0" borderId="6" xfId="0" applyNumberFormat="1" applyFont="1" applyBorder="1" applyAlignment="1">
      <alignment horizontal="center" vertical="top" wrapText="1"/>
    </xf>
    <xf numFmtId="3" fontId="11" fillId="5" borderId="9" xfId="0" applyNumberFormat="1" applyFont="1" applyFill="1" applyBorder="1" applyAlignment="1">
      <alignment horizontal="center" vertical="top" wrapText="1"/>
    </xf>
    <xf numFmtId="0" fontId="0" fillId="3" borderId="5" xfId="0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5" fillId="4" borderId="8" xfId="0" applyFont="1" applyFill="1" applyBorder="1" applyAlignment="1">
      <alignment vertical="top" wrapText="1"/>
    </xf>
    <xf numFmtId="10" fontId="0" fillId="0" borderId="7" xfId="1" applyNumberFormat="1" applyFont="1" applyBorder="1" applyAlignment="1">
      <alignment horizontal="center"/>
    </xf>
    <xf numFmtId="10" fontId="0" fillId="0" borderId="0" xfId="1" applyNumberFormat="1" applyFont="1" applyAlignment="1">
      <alignment horizontal="center"/>
    </xf>
    <xf numFmtId="171" fontId="9" fillId="0" borderId="2" xfId="0" applyNumberFormat="1" applyFont="1" applyBorder="1"/>
    <xf numFmtId="0" fontId="0" fillId="0" borderId="0" xfId="0" applyNumberFormat="1" applyAlignment="1">
      <alignment horizontal="right"/>
    </xf>
    <xf numFmtId="49" fontId="0" fillId="0" borderId="0" xfId="0" applyNumberFormat="1" applyBorder="1" applyAlignment="1">
      <alignment horizontal="right"/>
    </xf>
    <xf numFmtId="0" fontId="0" fillId="0" borderId="2" xfId="0" applyNumberFormat="1" applyBorder="1" applyAlignment="1">
      <alignment horizontal="center"/>
    </xf>
    <xf numFmtId="0" fontId="0" fillId="0" borderId="9" xfId="0" applyNumberFormat="1" applyBorder="1" applyAlignment="1">
      <alignment horizontal="center"/>
    </xf>
    <xf numFmtId="1" fontId="0" fillId="6" borderId="0" xfId="0" applyNumberFormat="1" applyFill="1"/>
    <xf numFmtId="49" fontId="0" fillId="7" borderId="0" xfId="0" applyNumberFormat="1" applyFill="1" applyAlignment="1">
      <alignment horizontal="right"/>
    </xf>
    <xf numFmtId="171" fontId="9" fillId="0" borderId="9" xfId="0" applyNumberFormat="1" applyFont="1" applyBorder="1"/>
    <xf numFmtId="1" fontId="0" fillId="0" borderId="9" xfId="0" applyNumberFormat="1" applyBorder="1"/>
    <xf numFmtId="0" fontId="0" fillId="0" borderId="8" xfId="0" applyNumberFormat="1" applyBorder="1" applyAlignment="1">
      <alignment horizontal="right"/>
    </xf>
    <xf numFmtId="3" fontId="0" fillId="8" borderId="1" xfId="0" applyNumberFormat="1" applyFill="1" applyBorder="1"/>
    <xf numFmtId="3" fontId="0" fillId="8" borderId="3" xfId="0" applyNumberFormat="1" applyFill="1" applyBorder="1" applyAlignment="1"/>
    <xf numFmtId="3" fontId="0" fillId="8" borderId="1" xfId="0" applyNumberFormat="1" applyFill="1" applyBorder="1" applyAlignment="1">
      <alignment horizontal="center"/>
    </xf>
    <xf numFmtId="0" fontId="6" fillId="4" borderId="11" xfId="0" applyFont="1" applyFill="1" applyBorder="1" applyAlignment="1">
      <alignment vertical="top" wrapText="1"/>
    </xf>
    <xf numFmtId="170" fontId="13" fillId="0" borderId="0" xfId="0" applyNumberFormat="1" applyFont="1" applyBorder="1" applyAlignment="1">
      <alignment horizontal="right" vertical="center"/>
    </xf>
    <xf numFmtId="3" fontId="0" fillId="0" borderId="11" xfId="0" applyNumberFormat="1" applyBorder="1"/>
    <xf numFmtId="0" fontId="0" fillId="2" borderId="0" xfId="0" applyFill="1" applyBorder="1"/>
    <xf numFmtId="165" fontId="0" fillId="0" borderId="0" xfId="0" applyNumberFormat="1" applyBorder="1"/>
    <xf numFmtId="168" fontId="0" fillId="0" borderId="0" xfId="0" applyNumberFormat="1" applyBorder="1" applyAlignment="1">
      <alignment horizontal="right"/>
    </xf>
    <xf numFmtId="168" fontId="0" fillId="0" borderId="8" xfId="0" applyNumberFormat="1" applyBorder="1" applyAlignment="1">
      <alignment horizontal="right"/>
    </xf>
    <xf numFmtId="1" fontId="0" fillId="4" borderId="4" xfId="0" applyNumberFormat="1" applyFill="1" applyBorder="1" applyAlignment="1">
      <alignment horizontal="center"/>
    </xf>
    <xf numFmtId="1" fontId="0" fillId="4" borderId="5" xfId="0" applyNumberFormat="1" applyFill="1" applyBorder="1" applyAlignment="1">
      <alignment horizontal="center"/>
    </xf>
    <xf numFmtId="1" fontId="0" fillId="4" borderId="6" xfId="0" applyNumberFormat="1" applyFill="1" applyBorder="1" applyAlignment="1">
      <alignment horizontal="center"/>
    </xf>
    <xf numFmtId="1" fontId="0" fillId="3" borderId="5" xfId="0" applyNumberFormat="1" applyFill="1" applyBorder="1" applyAlignment="1">
      <alignment horizontal="center"/>
    </xf>
    <xf numFmtId="1" fontId="0" fillId="3" borderId="6" xfId="0" applyNumberFormat="1" applyFill="1" applyBorder="1" applyAlignment="1">
      <alignment horizontal="center"/>
    </xf>
    <xf numFmtId="1" fontId="0" fillId="3" borderId="4" xfId="0" applyNumberFormat="1" applyFill="1" applyBorder="1" applyAlignment="1">
      <alignment horizontal="center"/>
    </xf>
    <xf numFmtId="1" fontId="7" fillId="4" borderId="10" xfId="0" applyNumberFormat="1" applyFont="1" applyFill="1" applyBorder="1" applyAlignment="1">
      <alignment horizontal="center" vertical="center" wrapText="1"/>
    </xf>
    <xf numFmtId="1" fontId="7" fillId="4" borderId="8" xfId="0" applyNumberFormat="1" applyFont="1" applyFill="1" applyBorder="1" applyAlignment="1">
      <alignment horizontal="center" vertical="center" wrapText="1"/>
    </xf>
    <xf numFmtId="1" fontId="7" fillId="4" borderId="9" xfId="0" applyNumberFormat="1" applyFont="1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1" fontId="7" fillId="3" borderId="10" xfId="0" applyNumberFormat="1" applyFont="1" applyFill="1" applyBorder="1" applyAlignment="1">
      <alignment horizontal="center" vertical="center" wrapText="1"/>
    </xf>
    <xf numFmtId="1" fontId="7" fillId="3" borderId="8" xfId="0" applyNumberFormat="1" applyFont="1" applyFill="1" applyBorder="1" applyAlignment="1">
      <alignment horizontal="center" vertical="center" wrapText="1"/>
    </xf>
    <xf numFmtId="1" fontId="7" fillId="3" borderId="9" xfId="0" applyNumberFormat="1" applyFont="1" applyFill="1" applyBorder="1" applyAlignment="1">
      <alignment horizontal="center" vertical="center" wrapText="1"/>
    </xf>
  </cellXfs>
  <cellStyles count="2">
    <cellStyle name="百分比" xfId="1" builtinId="5"/>
    <cellStyle name="常规" xfId="0" builtinId="0"/>
  </cellStyles>
  <dxfs count="1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colors>
    <mruColors>
      <color rgb="FFB3EBC4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volatileDependencies.xml><?xml version="1.0" encoding="utf-8"?>
<volTypes xmlns="http://schemas.openxmlformats.org/spreadsheetml/2006/main">
  <volType type="realTimeData">
    <main first="wdf.rtq">
      <tp>
        <v>14</v>
        <stp/>
        <stp>IO2006-P-3800.CFE</stp>
        <stp>Volume</stp>
        <tr r="G75" s="1"/>
      </tp>
      <tp>
        <v>35</v>
        <stp/>
        <stp>IO2006-C-3800.CFE</stp>
        <stp>Volume</stp>
        <tr r="G60" s="1"/>
      </tp>
      <tp>
        <v>1</v>
        <stp/>
        <stp>IO2006-P-3900.CFE</stp>
        <stp>Volume</stp>
        <tr r="G76" s="1"/>
      </tp>
      <tp>
        <v>33</v>
        <stp/>
        <stp>IO2006-C-3900.CFE</stp>
        <stp>Volume</stp>
        <tr r="G61" s="1"/>
      </tp>
      <tp>
        <v>82</v>
        <stp/>
        <stp>IO2006-P-3600.CFE</stp>
        <stp>Volume</stp>
        <tr r="G73" s="1"/>
      </tp>
      <tp>
        <v>20</v>
        <stp/>
        <stp>IO2006-C-3600.CFE</stp>
        <stp>Volume</stp>
        <tr r="G58" s="1"/>
      </tp>
      <tp>
        <v>49</v>
        <stp/>
        <stp>IO2006-P-3700.CFE</stp>
        <stp>Volume</stp>
        <tr r="G74" s="1"/>
      </tp>
      <tp>
        <v>15</v>
        <stp/>
        <stp>IO2006-C-3700.CFE</stp>
        <stp>Volume</stp>
        <tr r="G59" s="1"/>
      </tp>
      <tp>
        <v>31</v>
        <stp/>
        <stp>IO2006-P-3400.CFE</stp>
        <stp>Volume</stp>
        <tr r="G71" s="1"/>
      </tp>
      <tp>
        <v>0</v>
        <stp/>
        <stp>IO2006-C-3400.CFE</stp>
        <stp>Volume</stp>
        <tr r="G56" s="1"/>
      </tp>
      <tp>
        <v>6</v>
        <stp/>
        <stp>IO2006-P-3500.CFE</stp>
        <stp>Volume</stp>
        <tr r="G72" s="1"/>
      </tp>
      <tp>
        <v>50</v>
        <stp/>
        <stp>IO2006-C-3500.CFE</stp>
        <stp>Volume</stp>
        <tr r="G57" s="1"/>
      </tp>
      <tp>
        <v>32</v>
        <stp/>
        <stp>IO2006-P-3200.CFE</stp>
        <stp>Volume</stp>
        <tr r="G69" s="1"/>
      </tp>
      <tp>
        <v>1</v>
        <stp/>
        <stp>IO2006-C-3200.CFE</stp>
        <stp>Volume</stp>
        <tr r="G54" s="1"/>
      </tp>
      <tp>
        <v>6</v>
        <stp/>
        <stp>IO2006-P-3300.CFE</stp>
        <stp>Volume</stp>
        <tr r="G70" s="1"/>
      </tp>
      <tp>
        <v>0</v>
        <stp/>
        <stp>IO2006-C-3300.CFE</stp>
        <stp>Volume</stp>
        <tr r="G55" s="1"/>
      </tp>
      <tp>
        <v>129</v>
        <stp/>
        <stp>IO2004-P-3800.CFE</stp>
        <stp>Volume</stp>
        <tr r="G27" s="1"/>
      </tp>
      <tp>
        <v>720</v>
        <stp/>
        <stp>IO2004-C-3800.CFE</stp>
        <stp>Volume</stp>
        <tr r="G12" s="1"/>
      </tp>
      <tp>
        <v>48</v>
        <stp/>
        <stp>IO2004-P-3900.CFE</stp>
        <stp>Volume</stp>
        <tr r="G28" s="1"/>
      </tp>
      <tp>
        <v>365</v>
        <stp/>
        <stp>IO2004-C-3900.CFE</stp>
        <stp>Volume</stp>
        <tr r="G13" s="1"/>
      </tp>
      <tp>
        <v>935</v>
        <stp/>
        <stp>IO2004-P-3600.CFE</stp>
        <stp>Volume</stp>
        <tr r="G25" s="1"/>
      </tp>
      <tp>
        <v>483</v>
        <stp/>
        <stp>IO2004-C-3600.CFE</stp>
        <stp>Volume</stp>
        <tr r="G10" s="1"/>
      </tp>
      <tp>
        <v>1293</v>
        <stp/>
        <stp>IO2004-P-3700.CFE</stp>
        <stp>Volume</stp>
        <tr r="G26" s="1"/>
      </tp>
      <tp>
        <v>1327</v>
        <stp/>
        <stp>IO2004-C-3700.CFE</stp>
        <stp>Volume</stp>
        <tr r="G11" s="1"/>
      </tp>
      <tp>
        <v>396</v>
        <stp/>
        <stp>IO2004-P-3400.CFE</stp>
        <stp>Volume</stp>
        <tr r="G23" s="1"/>
      </tp>
      <tp>
        <v>36</v>
        <stp/>
        <stp>IO2004-C-3400.CFE</stp>
        <stp>Volume</stp>
        <tr r="G8" s="1"/>
      </tp>
      <tp>
        <v>505</v>
        <stp/>
        <stp>IO2004-P-3500.CFE</stp>
        <stp>Volume</stp>
        <tr r="G24" s="1"/>
      </tp>
      <tp>
        <v>256</v>
        <stp/>
        <stp>IO2004-C-3500.CFE</stp>
        <stp>Volume</stp>
        <tr r="G9" s="1"/>
      </tp>
      <tp>
        <v>344</v>
        <stp/>
        <stp>IO2004-P-3200.CFE</stp>
        <stp>Volume</stp>
        <tr r="G21" s="1"/>
      </tp>
      <tp>
        <v>3</v>
        <stp/>
        <stp>IO2004-C-3200.CFE</stp>
        <stp>Volume</stp>
        <tr r="G6" s="1"/>
      </tp>
      <tp>
        <v>460</v>
        <stp/>
        <stp>IO2004-P-3300.CFE</stp>
        <stp>Volume</stp>
        <tr r="G22" s="1"/>
      </tp>
      <tp>
        <v>21</v>
        <stp/>
        <stp>IO2004-C-3300.CFE</stp>
        <stp>Volume</stp>
        <tr r="G7" s="1"/>
      </tp>
      <tp>
        <v>67</v>
        <stp/>
        <stp>IO2005-P-3800.CFE</stp>
        <stp>Volume</stp>
        <tr r="G50" s="1"/>
      </tp>
      <tp>
        <v>82</v>
        <stp/>
        <stp>IO2005-C-3800.CFE</stp>
        <stp>Volume</stp>
        <tr r="G41" s="1"/>
      </tp>
      <tp>
        <v>11</v>
        <stp/>
        <stp>IO2005-P-3900.CFE</stp>
        <stp>Volume</stp>
        <tr r="G51" s="1"/>
      </tp>
      <tp>
        <v>98</v>
        <stp/>
        <stp>IO2005-C-3900.CFE</stp>
        <stp>Volume</stp>
        <tr r="G42" s="1"/>
      </tp>
      <tp>
        <v>161</v>
        <stp/>
        <stp>IO2005-P-3600.CFE</stp>
        <stp>Volume</stp>
        <tr r="G48" s="1"/>
      </tp>
      <tp>
        <v>181</v>
        <stp/>
        <stp>IO2005-C-3600.CFE</stp>
        <stp>Volume</stp>
        <tr r="G39" s="1"/>
      </tp>
      <tp>
        <v>168</v>
        <stp/>
        <stp>IO2005-P-3700.CFE</stp>
        <stp>Volume</stp>
        <tr r="G49" s="1"/>
      </tp>
      <tp>
        <v>208</v>
        <stp/>
        <stp>IO2005-C-3700.CFE</stp>
        <stp>Volume</stp>
        <tr r="G40" s="1"/>
      </tp>
      <tp>
        <v>80</v>
        <stp/>
        <stp>IO2005-P-3400.CFE</stp>
        <stp>Volume</stp>
        <tr r="G46" s="1"/>
      </tp>
      <tp>
        <v>3</v>
        <stp/>
        <stp>IO2005-C-3400.CFE</stp>
        <stp>Volume</stp>
        <tr r="G37" s="1"/>
      </tp>
      <tp>
        <v>168</v>
        <stp/>
        <stp>IO2005-P-3500.CFE</stp>
        <stp>Volume</stp>
        <tr r="G47" s="1"/>
      </tp>
      <tp>
        <v>58</v>
        <stp/>
        <stp>IO2005-C-3500.CFE</stp>
        <stp>Volume</stp>
        <tr r="G38" s="1"/>
      </tp>
      <tp>
        <v>96</v>
        <stp/>
        <stp>IO2005-P-3300.CFE</stp>
        <stp>Volume</stp>
        <tr r="G45" s="1"/>
      </tp>
      <tp>
        <v>0</v>
        <stp/>
        <stp>IO2005-C-3300.CFE</stp>
        <stp>Volume</stp>
        <tr r="G36" s="1"/>
      </tp>
      <tp>
        <v>5</v>
        <stp/>
        <stp>IO2005-P-4000.CFE</stp>
        <stp>Volume</stp>
        <tr r="G52" s="1"/>
      </tp>
      <tp>
        <v>157</v>
        <stp/>
        <stp>IO2005-C-4000.CFE</stp>
        <stp>Volume</stp>
        <tr r="G43" s="1"/>
      </tp>
      <tp>
        <v>0</v>
        <stp/>
        <stp>IO2005-P-4100.CFE</stp>
        <stp>Volume</stp>
        <tr r="G53" s="1"/>
      </tp>
      <tp>
        <v>43</v>
        <stp/>
        <stp>IO2005-C-4100.CFE</stp>
        <stp>Volume</stp>
        <tr r="G44" s="1"/>
      </tp>
      <tp>
        <v>0</v>
        <stp/>
        <stp>IO2004-P-4600.CFE</stp>
        <stp>Volume</stp>
        <tr r="G35" s="1"/>
      </tp>
      <tp>
        <v>34</v>
        <stp/>
        <stp>IO2004-C-4600.CFE</stp>
        <stp>Volume</stp>
        <tr r="G20" s="1"/>
      </tp>
      <tp>
        <v>0</v>
        <stp/>
        <stp>IO2004-P-4400.CFE</stp>
        <stp>Volume</stp>
        <tr r="G33" s="1"/>
      </tp>
      <tp>
        <v>167</v>
        <stp/>
        <stp>IO2004-C-4400.CFE</stp>
        <stp>Volume</stp>
        <tr r="G18" s="1"/>
      </tp>
      <tp>
        <v>0</v>
        <stp/>
        <stp>IO2004-P-4500.CFE</stp>
        <stp>Volume</stp>
        <tr r="G34" s="1"/>
      </tp>
      <tp>
        <v>71</v>
        <stp/>
        <stp>IO2004-C-4500.CFE</stp>
        <stp>Volume</stp>
        <tr r="G19" s="1"/>
      </tp>
      <tp>
        <v>4</v>
        <stp/>
        <stp>IO2004-P-4200.CFE</stp>
        <stp>Volume</stp>
        <tr r="G31" s="1"/>
      </tp>
      <tp>
        <v>180</v>
        <stp/>
        <stp>IO2004-C-4200.CFE</stp>
        <stp>Volume</stp>
        <tr r="G16" s="1"/>
      </tp>
      <tp>
        <v>0</v>
        <stp/>
        <stp>IO2004-P-4300.CFE</stp>
        <stp>Volume</stp>
        <tr r="G32" s="1"/>
      </tp>
      <tp>
        <v>143</v>
        <stp/>
        <stp>IO2004-C-4300.CFE</stp>
        <stp>Volume</stp>
        <tr r="G17" s="1"/>
      </tp>
      <tp>
        <v>15</v>
        <stp/>
        <stp>IO2004-P-4000.CFE</stp>
        <stp>Volume</stp>
        <tr r="G29" s="1"/>
      </tp>
      <tp>
        <v>732</v>
        <stp/>
        <stp>IO2004-C-4000.CFE</stp>
        <stp>Volume</stp>
        <tr r="G14" s="1"/>
      </tp>
      <tp>
        <v>12</v>
        <stp/>
        <stp>IO2004-P-4100.CFE</stp>
        <stp>Volume</stp>
        <tr r="G30" s="1"/>
      </tp>
      <tp>
        <v>309</v>
        <stp/>
        <stp>IO2004-C-4100.CFE</stp>
        <stp>Volume</stp>
        <tr r="G15" s="1"/>
      </tp>
      <tp>
        <v>0</v>
        <stp/>
        <stp>IO2006-P-4600.CFE</stp>
        <stp>Volume</stp>
        <tr r="G83" s="1"/>
      </tp>
      <tp>
        <v>6</v>
        <stp/>
        <stp>IO2006-C-4600.CFE</stp>
        <stp>Volume</stp>
        <tr r="G68" s="1"/>
      </tp>
      <tp>
        <v>0</v>
        <stp/>
        <stp>IO2006-P-4400.CFE</stp>
        <stp>Volume</stp>
        <tr r="G81" s="1"/>
      </tp>
      <tp>
        <v>9</v>
        <stp/>
        <stp>IO2006-C-4400.CFE</stp>
        <stp>Volume</stp>
        <tr r="G66" s="1"/>
      </tp>
      <tp>
        <v>0</v>
        <stp/>
        <stp>IO2006-P-4500.CFE</stp>
        <stp>Volume</stp>
        <tr r="G82" s="1"/>
      </tp>
      <tp>
        <v>5</v>
        <stp/>
        <stp>IO2006-C-4500.CFE</stp>
        <stp>Volume</stp>
        <tr r="G67" s="1"/>
      </tp>
      <tp>
        <v>0</v>
        <stp/>
        <stp>IO2006-P-4200.CFE</stp>
        <stp>Volume</stp>
        <tr r="G79" s="1"/>
      </tp>
      <tp>
        <v>85</v>
        <stp/>
        <stp>IO2006-C-4200.CFE</stp>
        <stp>Volume</stp>
        <tr r="G64" s="1"/>
      </tp>
      <tp>
        <v>0</v>
        <stp/>
        <stp>IO2006-P-4300.CFE</stp>
        <stp>Volume</stp>
        <tr r="G80" s="1"/>
      </tp>
      <tp>
        <v>26</v>
        <stp/>
        <stp>IO2006-C-4300.CFE</stp>
        <stp>Volume</stp>
        <tr r="G65" s="1"/>
      </tp>
      <tp>
        <v>3</v>
        <stp/>
        <stp>IO2006-P-4000.CFE</stp>
        <stp>Volume</stp>
        <tr r="G77" s="1"/>
      </tp>
      <tp>
        <v>25</v>
        <stp/>
        <stp>IO2006-C-4000.CFE</stp>
        <stp>Volume</stp>
        <tr r="G62" s="1"/>
      </tp>
      <tp>
        <v>6</v>
        <stp/>
        <stp>IO2006-P-4100.CFE</stp>
        <stp>Volume</stp>
        <tr r="G78" s="1"/>
      </tp>
      <tp>
        <v>11</v>
        <stp/>
        <stp>IO2006-C-4100.CFE</stp>
        <stp>Volume</stp>
        <tr r="G63" s="1"/>
      </tp>
      <tp>
        <v>9</v>
        <stp/>
        <stp>IO2009-C-4200.CFE</stp>
        <stp>Volume</stp>
        <tr r="G95" s="1"/>
      </tp>
      <tp>
        <v>30</v>
        <stp/>
        <stp>IO2009-C-4000.CFE</stp>
        <stp>Volume</stp>
        <tr r="G93" s="1"/>
      </tp>
      <tp>
        <v>22</v>
        <stp/>
        <stp>IO2009-C-4100.CFE</stp>
        <stp>Volume</stp>
        <tr r="G94" s="1"/>
      </tp>
      <tp>
        <v>33</v>
        <stp/>
        <stp>IO2009-C-3800.CFE</stp>
        <stp>Volume</stp>
        <tr r="G91" s="1"/>
      </tp>
      <tp>
        <v>52</v>
        <stp/>
        <stp>IO2009-C-3900.CFE</stp>
        <stp>Volume</stp>
        <tr r="G92" s="1"/>
      </tp>
      <tp>
        <v>18</v>
        <stp/>
        <stp>IO2009-C-3600.CFE</stp>
        <stp>Volume</stp>
        <tr r="G89" s="1"/>
      </tp>
      <tp>
        <v>36</v>
        <stp/>
        <stp>IO2009-C-3700.CFE</stp>
        <stp>Volume</stp>
        <tr r="G90" s="1"/>
      </tp>
      <tp>
        <v>12</v>
        <stp/>
        <stp>IO2009-C-3400.CFE</stp>
        <stp>Volume</stp>
        <tr r="G87" s="1"/>
      </tp>
      <tp>
        <v>22</v>
        <stp/>
        <stp>IO2009-C-3500.CFE</stp>
        <stp>Volume</stp>
        <tr r="G88" s="1"/>
      </tp>
      <tp>
        <v>0</v>
        <stp/>
        <stp>IO2009-C-3200.CFE</stp>
        <stp>Volume</stp>
        <tr r="G85" s="1"/>
      </tp>
      <tp>
        <v>13</v>
        <stp/>
        <stp>IO2009-C-3300.CFE</stp>
        <stp>Volume</stp>
        <tr r="G86" s="1"/>
      </tp>
      <tp>
        <v>18</v>
        <stp/>
        <stp>IO2009-C-3100.CFE</stp>
        <stp>Volume</stp>
        <tr r="G84" s="1"/>
      </tp>
    </main>
    <main first="wdf.rtq">
      <tp>
        <v>197</v>
        <stp/>
        <stp>IO2009-C-3800.CFE</stp>
        <stp>LastPrice</stp>
        <tr r="F91" s="1"/>
      </tp>
      <tp>
        <v>161.4</v>
        <stp/>
        <stp>IO2009-C-3900.CFE</stp>
        <stp>LastPrice</stp>
        <tr r="F92" s="1"/>
      </tp>
      <tp>
        <v>403</v>
        <stp/>
        <stp>IO2009-C-3400.CFE</stp>
        <stp>LastPrice</stp>
        <tr r="F87" s="1"/>
      </tp>
      <tp>
        <v>334.8</v>
        <stp/>
        <stp>IO2009-C-3500.CFE</stp>
        <stp>LastPrice</stp>
        <tr r="F88" s="1"/>
      </tp>
      <tp>
        <v>278.2</v>
        <stp/>
        <stp>IO2009-C-3600.CFE</stp>
        <stp>LastPrice</stp>
        <tr r="F89" s="1"/>
      </tp>
      <tp>
        <v>233.4</v>
        <stp/>
        <stp>IO2009-C-3700.CFE</stp>
        <stp>LastPrice</stp>
        <tr r="F90" s="1"/>
      </tp>
      <tp>
        <v>608</v>
        <stp/>
        <stp>IO2009-C-3100.CFE</stp>
        <stp>LastPrice</stp>
        <tr r="F84" s="1"/>
      </tp>
      <tp>
        <v>455.8</v>
        <stp/>
        <stp>IO2009-C-3300.CFE</stp>
        <stp>LastPrice</stp>
        <tr r="F86" s="1"/>
      </tp>
      <tp>
        <v>133.80000000000001</v>
        <stp/>
        <stp>IO2009-C-4000.CFE</stp>
        <stp>LastPrice</stp>
        <tr r="F93" s="1"/>
      </tp>
      <tp>
        <v>110.8</v>
        <stp/>
        <stp>IO2009-C-4100.CFE</stp>
        <stp>LastPrice</stp>
        <tr r="F94" s="1"/>
      </tp>
      <tp>
        <v>92</v>
        <stp/>
        <stp>IO2009-C-4200.CFE</stp>
        <stp>LastPrice</stp>
        <tr r="F95" s="1"/>
      </tp>
      <tp>
        <v>1.8</v>
        <stp/>
        <stp>IO2004-C-4400.CFE</stp>
        <stp>LastPrice</stp>
        <tr r="F18" s="1"/>
      </tp>
      <tp>
        <v>1.2</v>
        <stp/>
        <stp>IO2004-C-4500.CFE</stp>
        <stp>LastPrice</stp>
        <tr r="F19" s="1"/>
      </tp>
      <tp>
        <v>0.8</v>
        <stp/>
        <stp>IO2004-C-4600.CFE</stp>
        <stp>LastPrice</stp>
        <tr r="F20" s="1"/>
      </tp>
      <tp>
        <v>11.8</v>
        <stp/>
        <stp>IO2004-C-4000.CFE</stp>
        <stp>LastPrice</stp>
        <tr r="F14" s="1"/>
      </tp>
      <tp>
        <v>309.8</v>
        <stp/>
        <stp>IO2004-P-4000.CFE</stp>
        <stp>LastPrice</stp>
        <tr r="F29" s="1"/>
      </tp>
      <tp>
        <v>8</v>
        <stp/>
        <stp>IO2004-C-4100.CFE</stp>
        <stp>LastPrice</stp>
        <tr r="F15" s="1"/>
      </tp>
      <tp>
        <v>402.40000000000003</v>
        <stp/>
        <stp>IO2004-P-4100.CFE</stp>
        <stp>LastPrice</stp>
        <tr r="F30" s="1"/>
      </tp>
      <tp>
        <v>4.4000000000000004</v>
        <stp/>
        <stp>IO2004-C-4200.CFE</stp>
        <stp>LastPrice</stp>
        <tr r="F16" s="1"/>
      </tp>
      <tp>
        <v>491.8</v>
        <stp/>
        <stp>IO2004-P-4200.CFE</stp>
        <stp>LastPrice</stp>
        <tr r="F31" s="1"/>
      </tp>
      <tp>
        <v>2.4</v>
        <stp/>
        <stp>IO2004-C-4300.CFE</stp>
        <stp>LastPrice</stp>
        <tr r="F17" s="1"/>
      </tp>
      <tp>
        <v>44.800000000000004</v>
        <stp/>
        <stp>IO2005-C-4000.CFE</stp>
        <stp>LastPrice</stp>
        <tr r="F43" s="1"/>
      </tp>
      <tp>
        <v>347.40000000000003</v>
        <stp/>
        <stp>IO2005-P-4000.CFE</stp>
        <stp>LastPrice</stp>
        <tr r="F52" s="1"/>
      </tp>
      <tp>
        <v>30.2</v>
        <stp/>
        <stp>IO2005-C-4100.CFE</stp>
        <stp>LastPrice</stp>
        <tr r="F44" s="1"/>
      </tp>
      <tp>
        <v>27.400000000000002</v>
        <stp/>
        <stp>IO2006-C-4400.CFE</stp>
        <stp>LastPrice</stp>
        <tr r="F66" s="1"/>
      </tp>
      <tp>
        <v>19.8</v>
        <stp/>
        <stp>IO2006-C-4500.CFE</stp>
        <stp>LastPrice</stp>
        <tr r="F67" s="1"/>
      </tp>
      <tp>
        <v>15</v>
        <stp/>
        <stp>IO2006-C-4600.CFE</stp>
        <stp>LastPrice</stp>
        <tr r="F68" s="1"/>
      </tp>
      <tp>
        <v>80</v>
        <stp/>
        <stp>IO2006-C-4000.CFE</stp>
        <stp>LastPrice</stp>
        <tr r="F62" s="1"/>
      </tp>
      <tp>
        <v>399.8</v>
        <stp/>
        <stp>IO2006-P-4000.CFE</stp>
        <stp>LastPrice</stp>
        <tr r="F77" s="1"/>
      </tp>
      <tp>
        <v>60</v>
        <stp/>
        <stp>IO2006-C-4100.CFE</stp>
        <stp>LastPrice</stp>
        <tr r="F63" s="1"/>
      </tp>
      <tp>
        <v>479.2</v>
        <stp/>
        <stp>IO2006-P-4100.CFE</stp>
        <stp>LastPrice</stp>
        <tr r="F78" s="1"/>
      </tp>
      <tp>
        <v>47</v>
        <stp/>
        <stp>IO2006-C-4200.CFE</stp>
        <stp>LastPrice</stp>
        <tr r="F64" s="1"/>
      </tp>
      <tp>
        <v>33.200000000000003</v>
        <stp/>
        <stp>IO2006-C-4300.CFE</stp>
        <stp>LastPrice</stp>
        <tr r="F65" s="1"/>
      </tp>
      <tp>
        <v>135</v>
        <stp/>
        <stp>IO2006-C-3800.CFE</stp>
        <stp>LastPrice</stp>
        <tr r="F60" s="1"/>
      </tp>
      <tp>
        <v>268.39999999999998</v>
        <stp/>
        <stp>IO2006-P-3800.CFE</stp>
        <stp>LastPrice</stp>
        <tr r="F75" s="1"/>
      </tp>
      <tp>
        <v>104</v>
        <stp/>
        <stp>IO2006-C-3900.CFE</stp>
        <stp>LastPrice</stp>
        <tr r="F61" s="1"/>
      </tp>
      <tp>
        <v>327.60000000000002</v>
        <stp/>
        <stp>IO2006-P-3900.CFE</stp>
        <stp>LastPrice</stp>
        <tr r="F76" s="1"/>
      </tp>
      <tp>
        <v>87.600000000000009</v>
        <stp/>
        <stp>IO2006-P-3400.CFE</stp>
        <stp>LastPrice</stp>
        <tr r="F71" s="1"/>
      </tp>
      <tp>
        <v>295.60000000000002</v>
        <stp/>
        <stp>IO2006-C-3500.CFE</stp>
        <stp>LastPrice</stp>
        <tr r="F57" s="1"/>
      </tp>
      <tp>
        <v>117</v>
        <stp/>
        <stp>IO2006-P-3500.CFE</stp>
        <stp>LastPrice</stp>
        <tr r="F72" s="1"/>
      </tp>
      <tp>
        <v>234</v>
        <stp/>
        <stp>IO2006-C-3600.CFE</stp>
        <stp>LastPrice</stp>
        <tr r="F58" s="1"/>
      </tp>
      <tp>
        <v>154.20000000000002</v>
        <stp/>
        <stp>IO2006-P-3600.CFE</stp>
        <stp>LastPrice</stp>
        <tr r="F73" s="1"/>
      </tp>
      <tp>
        <v>178</v>
        <stp/>
        <stp>IO2006-C-3700.CFE</stp>
        <stp>LastPrice</stp>
        <tr r="F59" s="1"/>
      </tp>
      <tp>
        <v>202.4</v>
        <stp/>
        <stp>IO2006-P-3700.CFE</stp>
        <stp>LastPrice</stp>
        <tr r="F74" s="1"/>
      </tp>
      <tp>
        <v>509.8</v>
        <stp/>
        <stp>IO2006-C-3200.CFE</stp>
        <stp>LastPrice</stp>
        <tr r="F54" s="1"/>
      </tp>
      <tp>
        <v>45.4</v>
        <stp/>
        <stp>IO2006-P-3200.CFE</stp>
        <stp>LastPrice</stp>
        <tr r="F69" s="1"/>
      </tp>
      <tp>
        <v>63.4</v>
        <stp/>
        <stp>IO2006-P-3300.CFE</stp>
        <stp>LastPrice</stp>
        <tr r="F70" s="1"/>
      </tp>
      <tp>
        <v>100</v>
        <stp/>
        <stp>IO2005-C-3800.CFE</stp>
        <stp>LastPrice</stp>
        <tr r="F41" s="1"/>
      </tp>
      <tp>
        <v>199.4</v>
        <stp/>
        <stp>IO2005-P-3800.CFE</stp>
        <stp>LastPrice</stp>
        <tr r="F50" s="1"/>
      </tp>
      <tp>
        <v>68.8</v>
        <stp/>
        <stp>IO2005-C-3900.CFE</stp>
        <stp>LastPrice</stp>
        <tr r="F42" s="1"/>
      </tp>
      <tp>
        <v>268.2</v>
        <stp/>
        <stp>IO2005-P-3900.CFE</stp>
        <stp>LastPrice</stp>
        <tr r="F51" s="1"/>
      </tp>
      <tp>
        <v>350.6</v>
        <stp/>
        <stp>IO2005-C-3400.CFE</stp>
        <stp>LastPrice</stp>
        <tr r="F37" s="1"/>
      </tp>
      <tp>
        <v>47</v>
        <stp/>
        <stp>IO2005-P-3400.CFE</stp>
        <stp>LastPrice</stp>
        <tr r="F46" s="1"/>
      </tp>
      <tp>
        <v>265.60000000000002</v>
        <stp/>
        <stp>IO2005-C-3500.CFE</stp>
        <stp>LastPrice</stp>
        <tr r="F38" s="1"/>
      </tp>
      <tp>
        <v>72.400000000000006</v>
        <stp/>
        <stp>IO2005-P-3500.CFE</stp>
        <stp>LastPrice</stp>
        <tr r="F47" s="1"/>
      </tp>
      <tp>
        <v>200.6</v>
        <stp/>
        <stp>IO2005-C-3600.CFE</stp>
        <stp>LastPrice</stp>
        <tr r="F39" s="1"/>
      </tp>
      <tp>
        <v>105.60000000000001</v>
        <stp/>
        <stp>IO2005-P-3600.CFE</stp>
        <stp>LastPrice</stp>
        <tr r="F48" s="1"/>
      </tp>
      <tp>
        <v>144.80000000000001</v>
        <stp/>
        <stp>IO2005-C-3700.CFE</stp>
        <stp>LastPrice</stp>
        <tr r="F40" s="1"/>
      </tp>
      <tp>
        <v>148.4</v>
        <stp/>
        <stp>IO2005-P-3700.CFE</stp>
        <stp>LastPrice</stp>
        <tr r="F49" s="1"/>
      </tp>
      <tp>
        <v>30.8</v>
        <stp/>
        <stp>IO2005-P-3300.CFE</stp>
        <stp>LastPrice</stp>
        <tr r="F45" s="1"/>
      </tp>
      <tp>
        <v>53</v>
        <stp/>
        <stp>IO2004-C-3800.CFE</stp>
        <stp>LastPrice</stp>
        <tr r="F12" s="1"/>
      </tp>
      <tp>
        <v>146</v>
        <stp/>
        <stp>IO2004-P-3800.CFE</stp>
        <stp>LastPrice</stp>
        <tr r="F27" s="1"/>
      </tp>
      <tp>
        <v>30</v>
        <stp/>
        <stp>IO2004-C-3900.CFE</stp>
        <stp>LastPrice</stp>
        <tr r="F13" s="1"/>
      </tp>
      <tp>
        <v>222.20000000000002</v>
        <stp/>
        <stp>IO2004-P-3900.CFE</stp>
        <stp>LastPrice</stp>
        <tr r="F28" s="1"/>
      </tp>
      <tp>
        <v>325.40000000000003</v>
        <stp/>
        <stp>IO2004-C-3400.CFE</stp>
        <stp>LastPrice</stp>
        <tr r="F8" s="1"/>
      </tp>
      <tp>
        <v>13.4</v>
        <stp/>
        <stp>IO2004-P-3400.CFE</stp>
        <stp>LastPrice</stp>
        <tr r="F23" s="1"/>
      </tp>
      <tp>
        <v>230.4</v>
        <stp/>
        <stp>IO2004-C-3500.CFE</stp>
        <stp>LastPrice</stp>
        <tr r="F9" s="1"/>
      </tp>
      <tp>
        <v>26.2</v>
        <stp/>
        <stp>IO2004-P-3500.CFE</stp>
        <stp>LastPrice</stp>
        <tr r="F24" s="1"/>
      </tp>
      <tp>
        <v>156.20000000000002</v>
        <stp/>
        <stp>IO2004-C-3600.CFE</stp>
        <stp>LastPrice</stp>
        <tr r="F10" s="1"/>
      </tp>
      <tp>
        <v>48.4</v>
        <stp/>
        <stp>IO2004-P-3600.CFE</stp>
        <stp>LastPrice</stp>
        <tr r="F25" s="1"/>
      </tp>
      <tp>
        <v>94.2</v>
        <stp/>
        <stp>IO2004-C-3700.CFE</stp>
        <stp>LastPrice</stp>
        <tr r="F11" s="1"/>
      </tp>
      <tp>
        <v>85.8</v>
        <stp/>
        <stp>IO2004-P-3700.CFE</stp>
        <stp>LastPrice</stp>
        <tr r="F26" s="1"/>
      </tp>
      <tp>
        <v>522.79999999999995</v>
        <stp/>
        <stp>IO2004-C-3200.CFE</stp>
        <stp>LastPrice</stp>
        <tr r="F6" s="1"/>
      </tp>
      <tp>
        <v>4.2</v>
        <stp/>
        <stp>IO2004-P-3200.CFE</stp>
        <stp>LastPrice</stp>
        <tr r="F21" s="1"/>
      </tp>
      <tp>
        <v>411.2</v>
        <stp/>
        <stp>IO2004-C-3300.CFE</stp>
        <stp>LastPrice</stp>
        <tr r="F7" s="1"/>
      </tp>
      <tp>
        <v>7.6000000000000005</v>
        <stp/>
        <stp>IO2004-P-3300.CFE</stp>
        <stp>LastPrice</stp>
        <tr r="F22" s="1"/>
      </tp>
    </main>
    <main first="wdf.rtq">
      <tp>
        <v>0.44500000000000001</v>
        <stp/>
        <stp>10002468.SH</stp>
        <stp>Ask_Price1</stp>
        <tr r="AJ53" s="1"/>
      </tp>
      <tp>
        <v>5.6300000000000003E-2</v>
        <stp/>
        <stp>10002458.SH</stp>
        <stp>Ask_Price1</stp>
        <tr r="AJ43" s="1"/>
      </tp>
      <tp>
        <v>3.5900000000000001E-2</v>
        <stp/>
        <stp>10002178.SH</stp>
        <stp>Ask_Price1</stp>
        <tr r="AJ65" s="1"/>
      </tp>
      <tp>
        <v>0.74660000000000004</v>
        <stp/>
        <stp>10002188.SH</stp>
        <stp>Ask_Price1</stp>
        <tr r="AJ81" s="1"/>
      </tp>
      <tp>
        <v>0.46929999999999999</v>
        <stp/>
        <stp>10002328.SH</stp>
        <stp>Ask_Price1</stp>
        <tr r="AJ87" s="1"/>
      </tp>
      <tp>
        <v>0</v>
        <stp/>
        <stp>10002368.SH</stp>
        <stp>Ask_Price1</stp>
        <tr r="AJ34" s="1"/>
      </tp>
      <tp>
        <v>1.9E-3</v>
        <stp/>
        <stp>10002358.SH</stp>
        <stp>Ask_Price1</stp>
        <tr r="AJ18" s="1"/>
      </tp>
      <tp>
        <v>5.4600000000000003E-2</v>
        <stp/>
        <stp>10002458.SH</stp>
        <stp>Bid_Price1</stp>
        <tr r="AH43" s="1"/>
      </tp>
      <tp>
        <v>0.42120000000000002</v>
        <stp/>
        <stp>10002468.SH</stp>
        <stp>Bid_Price1</stp>
        <tr r="AH53" s="1"/>
      </tp>
      <tp>
        <v>1.6000000000000001E-3</v>
        <stp/>
        <stp>10002358.SH</stp>
        <stp>Bid_Price1</stp>
        <tr r="AH18" s="1"/>
      </tp>
      <tp>
        <v>0.75</v>
        <stp/>
        <stp>10002368.SH</stp>
        <stp>Bid_Price1</stp>
        <tr r="AH34" s="1"/>
      </tp>
      <tp>
        <v>0.43460000000000004</v>
        <stp/>
        <stp>10002328.SH</stp>
        <stp>Bid_Price1</stp>
        <tr r="AH87" s="1"/>
      </tp>
      <tp>
        <v>0.69130000000000003</v>
        <stp/>
        <stp>10002188.SH</stp>
        <stp>Bid_Price1</stp>
        <tr r="AH81" s="1"/>
      </tp>
      <tp>
        <v>2.8000000000000001E-2</v>
        <stp/>
        <stp>10002178.SH</stp>
        <stp>Bid_Price1</stp>
        <tr r="AH65" s="1"/>
      </tp>
      <tp>
        <v>3.7999999999999999E-2</v>
        <stp/>
        <stp>10002459.SH</stp>
        <stp>Ask_Price1</stp>
        <tr r="AJ44" s="1"/>
      </tp>
      <tp>
        <v>2.75E-2</v>
        <stp/>
        <stp>10002179.SH</stp>
        <stp>Ask_Price1</stp>
        <tr r="AJ66" s="1"/>
      </tp>
      <tp>
        <v>1.5600000000000001E-2</v>
        <stp/>
        <stp>10002229.SH</stp>
        <stp>Ask_Price1</stp>
        <tr r="AJ68" s="1"/>
      </tp>
      <tp>
        <v>0.29000000000000004</v>
        <stp/>
        <stp>10002249.SH</stp>
        <stp>Ask_Price1</stp>
        <tr r="AJ90" s="1"/>
      </tp>
      <tp>
        <v>0.40300000000000002</v>
        <stp/>
        <stp>10002329.SH</stp>
        <stp>Ask_Price1</stp>
        <tr r="AJ88" s="1"/>
      </tp>
      <tp>
        <v>1.5E-3</v>
        <stp/>
        <stp>10002359.SH</stp>
        <stp>Ask_Price1</stp>
        <tr r="AJ19" s="1"/>
      </tp>
      <tp>
        <v>0.42310000000000003</v>
        <stp/>
        <stp>10002389.SH</stp>
        <stp>Ask_Price1</stp>
        <tr r="AJ7" s="1"/>
      </tp>
      <tp>
        <v>3.6700000000000003E-2</v>
        <stp/>
        <stp>10002459.SH</stp>
        <stp>Bid_Price1</stp>
        <tr r="AH44" s="1"/>
      </tp>
      <tp>
        <v>0.27500000000000002</v>
        <stp/>
        <stp>10002249.SH</stp>
        <stp>Bid_Price1</stp>
        <tr r="AH90" s="1"/>
      </tp>
      <tp>
        <v>1.5000000000000001E-2</v>
        <stp/>
        <stp>10002229.SH</stp>
        <stp>Bid_Price1</stp>
        <tr r="AH68" s="1"/>
      </tp>
      <tp>
        <v>0.40610000000000002</v>
        <stp/>
        <stp>10002389.SH</stp>
        <stp>Bid_Price1</stp>
        <tr r="AH7" s="1"/>
      </tp>
      <tp>
        <v>1.4E-3</v>
        <stp/>
        <stp>10002359.SH</stp>
        <stp>Bid_Price1</stp>
        <tr r="AH19" s="1"/>
      </tp>
      <tp>
        <v>0.37320000000000003</v>
        <stp/>
        <stp>10002329.SH</stp>
        <stp>Bid_Price1</stp>
        <tr r="AH88" s="1"/>
      </tp>
      <tp>
        <v>2.5500000000000002E-2</v>
        <stp/>
        <stp>10002179.SH</stp>
        <stp>Bid_Price1</stp>
        <tr r="AH66" s="1"/>
      </tp>
      <tp>
        <v>5</v>
        <stp/>
        <stp>IO2004-P-3800.CFE</stp>
        <stp>Bid_Volume1</stp>
        <tr r="I27" s="1"/>
      </tp>
      <tp>
        <v>5</v>
        <stp/>
        <stp>IO2005-P-3800.CFE</stp>
        <stp>Bid_Volume1</stp>
        <tr r="I50" s="1"/>
      </tp>
      <tp>
        <v>1</v>
        <stp/>
        <stp>IO2006-P-3800.CFE</stp>
        <stp>Bid_Volume1</stp>
        <tr r="I75" s="1"/>
      </tp>
      <tp>
        <v>1</v>
        <stp/>
        <stp>IO2004-C-3800.CFE</stp>
        <stp>Bid_Volume1</stp>
        <tr r="I12" s="1"/>
      </tp>
      <tp>
        <v>1</v>
        <stp/>
        <stp>IO2005-C-3800.CFE</stp>
        <stp>Bid_Volume1</stp>
        <tr r="I41" s="1"/>
      </tp>
      <tp>
        <v>1</v>
        <stp/>
        <stp>IO2006-C-3800.CFE</stp>
        <stp>Bid_Volume1</stp>
        <tr r="I60" s="1"/>
      </tp>
      <tp>
        <v>1</v>
        <stp/>
        <stp>IO2009-C-3800.CFE</stp>
        <stp>Bid_Volume1</stp>
        <tr r="I91" s="1"/>
      </tp>
      <tp>
        <v>3</v>
        <stp/>
        <stp>IO2004-P-3900.CFE</stp>
        <stp>Bid_Volume1</stp>
        <tr r="I28" s="1"/>
      </tp>
      <tp>
        <v>5</v>
        <stp/>
        <stp>IO2005-P-3900.CFE</stp>
        <stp>Bid_Volume1</stp>
        <tr r="I51" s="1"/>
      </tp>
      <tp>
        <v>1</v>
        <stp/>
        <stp>IO2006-P-3900.CFE</stp>
        <stp>Bid_Volume1</stp>
        <tr r="I76" s="1"/>
      </tp>
      <tp>
        <v>10</v>
        <stp/>
        <stp>IO2004-C-3900.CFE</stp>
        <stp>Bid_Volume1</stp>
        <tr r="I13" s="1"/>
      </tp>
      <tp>
        <v>1</v>
        <stp/>
        <stp>IO2005-C-3900.CFE</stp>
        <stp>Bid_Volume1</stp>
        <tr r="I42" s="1"/>
      </tp>
      <tp>
        <v>1</v>
        <stp/>
        <stp>IO2006-C-3900.CFE</stp>
        <stp>Bid_Volume1</stp>
        <tr r="I61" s="1"/>
      </tp>
      <tp>
        <v>2</v>
        <stp/>
        <stp>IO2009-C-3900.CFE</stp>
        <stp>Bid_Volume1</stp>
        <tr r="I92" s="1"/>
      </tp>
      <tp>
        <v>2</v>
        <stp/>
        <stp>IO2004-C-3900.CFE</stp>
        <stp>Ask_Volume1</stp>
        <tr r="K13" s="1"/>
      </tp>
      <tp>
        <v>6</v>
        <stp/>
        <stp>IO2005-C-3900.CFE</stp>
        <stp>Ask_Volume1</stp>
        <tr r="K42" s="1"/>
      </tp>
      <tp>
        <v>1</v>
        <stp/>
        <stp>IO2006-C-3900.CFE</stp>
        <stp>Ask_Volume1</stp>
        <tr r="K61" s="1"/>
      </tp>
      <tp>
        <v>2</v>
        <stp/>
        <stp>IO2009-C-3900.CFE</stp>
        <stp>Ask_Volume1</stp>
        <tr r="K92" s="1"/>
      </tp>
      <tp>
        <v>0</v>
        <stp/>
        <stp>IO2004-P-3900.CFE</stp>
        <stp>Ask_Volume1</stp>
        <tr r="K28" s="1"/>
      </tp>
      <tp>
        <v>0</v>
        <stp/>
        <stp>IO2005-P-3900.CFE</stp>
        <stp>Ask_Volume1</stp>
        <tr r="K51" s="1"/>
      </tp>
      <tp>
        <v>0</v>
        <stp/>
        <stp>IO2006-P-3900.CFE</stp>
        <stp>Ask_Volume1</stp>
        <tr r="K76" s="1"/>
      </tp>
      <tp>
        <v>1</v>
        <stp/>
        <stp>IO2004-C-3800.CFE</stp>
        <stp>Ask_Volume1</stp>
        <tr r="K12" s="1"/>
      </tp>
      <tp>
        <v>2</v>
        <stp/>
        <stp>IO2005-C-3800.CFE</stp>
        <stp>Ask_Volume1</stp>
        <tr r="K41" s="1"/>
      </tp>
      <tp>
        <v>1</v>
        <stp/>
        <stp>IO2006-C-3800.CFE</stp>
        <stp>Ask_Volume1</stp>
        <tr r="K60" s="1"/>
      </tp>
      <tp>
        <v>3</v>
        <stp/>
        <stp>IO2009-C-3800.CFE</stp>
        <stp>Ask_Volume1</stp>
        <tr r="K91" s="1"/>
      </tp>
      <tp>
        <v>5</v>
        <stp/>
        <stp>IO2004-P-3800.CFE</stp>
        <stp>Ask_Volume1</stp>
        <tr r="K27" s="1"/>
      </tp>
      <tp>
        <v>2</v>
        <stp/>
        <stp>IO2005-P-3800.CFE</stp>
        <stp>Ask_Volume1</stp>
        <tr r="K50" s="1"/>
      </tp>
      <tp>
        <v>3</v>
        <stp/>
        <stp>IO2006-P-3800.CFE</stp>
        <stp>Ask_Volume1</stp>
        <tr r="K75" s="1"/>
      </tp>
      <tp>
        <v>3.8800000000000001E-2</v>
        <stp/>
        <stp>10002460.SH</stp>
        <stp>Ask_Price1</stp>
        <tr r="AJ45" s="1"/>
      </tp>
      <tp>
        <v>0.1517</v>
        <stp/>
        <stp>10002180.SH</stp>
        <stp>Ask_Price1</stp>
        <tr r="AJ73" s="1"/>
      </tp>
      <tp>
        <v>0.93780000000000008</v>
        <stp/>
        <stp>10002230.SH</stp>
        <stp>Ask_Price1</stp>
        <tr r="AJ83" s="1"/>
      </tp>
      <tp>
        <v>0.23970000000000002</v>
        <stp/>
        <stp>10002250.SH</stp>
        <stp>Ask_Price1</stp>
        <tr r="AJ91" s="1"/>
      </tp>
      <tp>
        <v>9.9400000000000002E-2</v>
        <stp/>
        <stp>10002360.SH</stp>
        <stp>Ask_Price1</stp>
        <tr r="AJ26" s="1"/>
      </tp>
      <tp>
        <v>0.3211</v>
        <stp/>
        <stp>10002390.SH</stp>
        <stp>Ask_Price1</stp>
        <tr r="AJ8" s="1"/>
      </tp>
      <tp>
        <v>3.5000000000000003E-2</v>
        <stp/>
        <stp>10002460.SH</stp>
        <stp>Bid_Price1</stp>
        <tr r="AH45" s="1"/>
      </tp>
      <tp>
        <v>0.2283</v>
        <stp/>
        <stp>10002250.SH</stp>
        <stp>Bid_Price1</stp>
        <tr r="AH91" s="1"/>
      </tp>
      <tp>
        <v>0.87780000000000002</v>
        <stp/>
        <stp>10002230.SH</stp>
        <stp>Bid_Price1</stp>
        <tr r="AH83" s="1"/>
      </tp>
      <tp>
        <v>0.317</v>
        <stp/>
        <stp>10002390.SH</stp>
        <stp>Bid_Price1</stp>
        <tr r="AH8" s="1"/>
      </tp>
      <tp>
        <v>9.8600000000000007E-2</v>
        <stp/>
        <stp>10002360.SH</stp>
        <stp>Bid_Price1</stp>
        <tr r="AH26" s="1"/>
      </tp>
      <tp>
        <v>0.14800000000000002</v>
        <stp/>
        <stp>10002180.SH</stp>
        <stp>Bid_Price1</stp>
        <tr r="AH73" s="1"/>
      </tp>
      <tp>
        <v>8</v>
        <stp/>
        <stp>IO2004-P-3400.CFE</stp>
        <stp>Bid_Volume1</stp>
        <tr r="I23" s="1"/>
      </tp>
      <tp>
        <v>1</v>
        <stp/>
        <stp>IO2005-P-3400.CFE</stp>
        <stp>Bid_Volume1</stp>
        <tr r="I46" s="1"/>
      </tp>
      <tp>
        <v>2</v>
        <stp/>
        <stp>IO2006-P-3400.CFE</stp>
        <stp>Bid_Volume1</stp>
        <tr r="I71" s="1"/>
      </tp>
      <tp>
        <v>1</v>
        <stp/>
        <stp>IO2006-P-4400.CFE</stp>
        <stp>Bid_Volume1</stp>
        <tr r="I81" s="1"/>
      </tp>
      <tp>
        <v>0</v>
        <stp/>
        <stp>IO2004-P-4400.CFE</stp>
        <stp>Bid_Volume1</stp>
        <tr r="I33" s="1"/>
      </tp>
      <tp>
        <v>1</v>
        <stp/>
        <stp>IO2004-C-3700.CFE</stp>
        <stp>Ask_Volume1</stp>
        <tr r="K11" s="1"/>
      </tp>
      <tp>
        <v>0</v>
        <stp/>
        <stp>IO2005-C-3700.CFE</stp>
        <stp>Ask_Volume1</stp>
        <tr r="K40" s="1"/>
      </tp>
      <tp>
        <v>0</v>
        <stp/>
        <stp>IO2006-C-3700.CFE</stp>
        <stp>Ask_Volume1</stp>
        <tr r="K59" s="1"/>
      </tp>
      <tp>
        <v>1</v>
        <stp/>
        <stp>IO2009-C-3700.CFE</stp>
        <stp>Ask_Volume1</stp>
        <tr r="K90" s="1"/>
      </tp>
      <tp>
        <v>1</v>
        <stp/>
        <stp>IO2004-C-3400.CFE</stp>
        <stp>Bid_Volume1</stp>
        <tr r="I8" s="1"/>
      </tp>
      <tp>
        <v>1</v>
        <stp/>
        <stp>IO2005-C-3400.CFE</stp>
        <stp>Bid_Volume1</stp>
        <tr r="I37" s="1"/>
      </tp>
      <tp>
        <v>2</v>
        <stp/>
        <stp>IO2006-C-3400.CFE</stp>
        <stp>Bid_Volume1</stp>
        <tr r="I56" s="1"/>
      </tp>
      <tp>
        <v>1</v>
        <stp/>
        <stp>IO2006-C-4400.CFE</stp>
        <stp>Bid_Volume1</stp>
        <tr r="I66" s="1"/>
      </tp>
      <tp>
        <v>1</v>
        <stp/>
        <stp>IO2004-C-4400.CFE</stp>
        <stp>Bid_Volume1</stp>
        <tr r="I18" s="1"/>
      </tp>
      <tp>
        <v>0</v>
        <stp/>
        <stp>IO2009-C-3400.CFE</stp>
        <stp>Bid_Volume1</stp>
        <tr r="I87" s="1"/>
      </tp>
      <tp>
        <v>1</v>
        <stp/>
        <stp>IO2004-P-3700.CFE</stp>
        <stp>Ask_Volume1</stp>
        <tr r="K26" s="1"/>
      </tp>
      <tp>
        <v>0</v>
        <stp/>
        <stp>IO2005-P-3700.CFE</stp>
        <stp>Ask_Volume1</stp>
        <tr r="K49" s="1"/>
      </tp>
      <tp>
        <v>0</v>
        <stp/>
        <stp>IO2006-P-3700.CFE</stp>
        <stp>Ask_Volume1</stp>
        <tr r="K74" s="1"/>
      </tp>
      <tp>
        <v>0.68</v>
        <stp/>
        <stp>10002431.SH</stp>
        <stp>Ask_Price1</stp>
        <tr r="AJ84" s="1"/>
      </tp>
      <tp>
        <v>0.52</v>
        <stp/>
        <stp>10002411.SH</stp>
        <stp>Ask_Price1</stp>
        <tr r="AJ6" s="1"/>
      </tp>
      <tp>
        <v>5.7600000000000005E-2</v>
        <stp/>
        <stp>10002461.SH</stp>
        <stp>Ask_Price1</stp>
        <tr r="AJ46" s="1"/>
      </tp>
      <tp>
        <v>0.4456</v>
        <stp/>
        <stp>10002451.SH</stp>
        <stp>Ask_Price1</stp>
        <tr r="AJ36" s="1"/>
      </tp>
      <tp>
        <v>0.25800000000000001</v>
        <stp/>
        <stp>10002171.SH</stp>
        <stp>Ask_Price1</stp>
        <tr r="AJ58" s="1"/>
      </tp>
      <tp>
        <v>0.19990000000000002</v>
        <stp/>
        <stp>10002181.SH</stp>
        <stp>Ask_Price1</stp>
        <tr r="AJ74" s="1"/>
      </tp>
      <tp>
        <v>0.02</v>
        <stp/>
        <stp>10002221.SH</stp>
        <stp>Ask_Price1</stp>
        <tr r="AJ67" s="1"/>
      </tp>
      <tp>
        <v>0.34250000000000003</v>
        <stp/>
        <stp>10002271.SH</stp>
        <stp>Ask_Price1</stp>
        <tr r="AJ89" s="1"/>
      </tp>
      <tp>
        <v>0.2046</v>
        <stp/>
        <stp>10002251.SH</stp>
        <stp>Ask_Price1</stp>
        <tr r="AJ92" s="1"/>
      </tp>
      <tp>
        <v>0.47550000000000003</v>
        <stp/>
        <stp>10002321.SH</stp>
        <stp>Ask_Price1</stp>
        <tr r="AJ55" s="1"/>
      </tp>
      <tp>
        <v>0.15640000000000001</v>
        <stp/>
        <stp>10002361.SH</stp>
        <stp>Ask_Price1</stp>
        <tr r="AJ27" s="1"/>
      </tp>
      <tp>
        <v>9.98E-2</v>
        <stp/>
        <stp>10002351.SH</stp>
        <stp>Ask_Price1</stp>
        <tr r="AJ11" s="1"/>
      </tp>
      <tp>
        <v>1.1300000000000001E-2</v>
        <stp/>
        <stp>10002391.SH</stp>
        <stp>Ask_Price1</stp>
        <tr r="AJ22" s="1"/>
      </tp>
      <tp>
        <v>1.1000000000000001E-3</v>
        <stp/>
        <stp>10002381.SH</stp>
        <stp>Ask_Price1</stp>
        <tr r="AJ20" s="1"/>
      </tp>
      <tp>
        <v>0.4204</v>
        <stp/>
        <stp>10002451.SH</stp>
        <stp>Bid_Price1</stp>
        <tr r="AH36" s="1"/>
      </tp>
      <tp>
        <v>5.4300000000000001E-2</v>
        <stp/>
        <stp>10002461.SH</stp>
        <stp>Bid_Price1</stp>
        <tr r="AH46" s="1"/>
      </tp>
      <tp>
        <v>0.50209999999999999</v>
        <stp/>
        <stp>10002411.SH</stp>
        <stp>Bid_Price1</stp>
        <tr r="AH6" s="1"/>
      </tp>
      <tp>
        <v>0.66770000000000007</v>
        <stp/>
        <stp>10002431.SH</stp>
        <stp>Bid_Price1</stp>
        <tr r="AH84" s="1"/>
      </tp>
      <tp>
        <v>0.18990000000000001</v>
        <stp/>
        <stp>10002251.SH</stp>
        <stp>Bid_Price1</stp>
        <tr r="AH92" s="1"/>
      </tp>
      <tp>
        <v>0.31880000000000003</v>
        <stp/>
        <stp>10002271.SH</stp>
        <stp>Bid_Price1</stp>
        <tr r="AH89" s="1"/>
      </tp>
      <tp>
        <v>1.8200000000000001E-2</v>
        <stp/>
        <stp>10002221.SH</stp>
        <stp>Bid_Price1</stp>
        <tr r="AH67" s="1"/>
      </tp>
      <tp>
        <v>9.0000000000000008E-4</v>
        <stp/>
        <stp>10002381.SH</stp>
        <stp>Bid_Price1</stp>
        <tr r="AH20" s="1"/>
      </tp>
      <tp>
        <v>1.11E-2</v>
        <stp/>
        <stp>10002391.SH</stp>
        <stp>Bid_Price1</stp>
        <tr r="AH22" s="1"/>
      </tp>
      <tp>
        <v>9.8500000000000004E-2</v>
        <stp/>
        <stp>10002351.SH</stp>
        <stp>Bid_Price1</stp>
        <tr r="AH11" s="1"/>
      </tp>
      <tp>
        <v>0.15540000000000001</v>
        <stp/>
        <stp>10002361.SH</stp>
        <stp>Bid_Price1</stp>
        <tr r="AH27" s="1"/>
      </tp>
      <tp>
        <v>0.44030000000000002</v>
        <stp/>
        <stp>10002321.SH</stp>
        <stp>Bid_Price1</stp>
        <tr r="AH55" s="1"/>
      </tp>
      <tp>
        <v>0.1925</v>
        <stp/>
        <stp>10002181.SH</stp>
        <stp>Bid_Price1</stp>
        <tr r="AH74" s="1"/>
      </tp>
      <tp>
        <v>0.2452</v>
        <stp/>
        <stp>10002171.SH</stp>
        <stp>Bid_Price1</stp>
        <tr r="AH58" s="1"/>
      </tp>
      <tp>
        <v>11</v>
        <stp/>
        <stp>IO2004-P-3500.CFE</stp>
        <stp>Bid_Volume1</stp>
        <tr r="I24" s="1"/>
      </tp>
      <tp>
        <v>3</v>
        <stp/>
        <stp>IO2005-P-3500.CFE</stp>
        <stp>Bid_Volume1</stp>
        <tr r="I47" s="1"/>
      </tp>
      <tp>
        <v>1</v>
        <stp/>
        <stp>IO2006-P-3500.CFE</stp>
        <stp>Bid_Volume1</stp>
        <tr r="I72" s="1"/>
      </tp>
      <tp>
        <v>0</v>
        <stp/>
        <stp>IO2006-P-4500.CFE</stp>
        <stp>Bid_Volume1</stp>
        <tr r="I82" s="1"/>
      </tp>
      <tp>
        <v>0</v>
        <stp/>
        <stp>IO2004-P-4500.CFE</stp>
        <stp>Bid_Volume1</stp>
        <tr r="I34" s="1"/>
      </tp>
      <tp>
        <v>1</v>
        <stp/>
        <stp>IO2004-C-3600.CFE</stp>
        <stp>Ask_Volume1</stp>
        <tr r="K10" s="1"/>
      </tp>
      <tp>
        <v>1</v>
        <stp/>
        <stp>IO2005-C-3600.CFE</stp>
        <stp>Ask_Volume1</stp>
        <tr r="K39" s="1"/>
      </tp>
      <tp>
        <v>1</v>
        <stp/>
        <stp>IO2006-C-3600.CFE</stp>
        <stp>Ask_Volume1</stp>
        <tr r="K58" s="1"/>
      </tp>
      <tp>
        <v>1</v>
        <stp/>
        <stp>IO2006-C-4600.CFE</stp>
        <stp>Ask_Volume1</stp>
        <tr r="K68" s="1"/>
      </tp>
      <tp>
        <v>12</v>
        <stp/>
        <stp>IO2004-C-4600.CFE</stp>
        <stp>Ask_Volume1</stp>
        <tr r="K20" s="1"/>
      </tp>
      <tp>
        <v>0</v>
        <stp/>
        <stp>IO2009-C-3600.CFE</stp>
        <stp>Ask_Volume1</stp>
        <tr r="K89" s="1"/>
      </tp>
      <tp>
        <v>1</v>
        <stp/>
        <stp>IO2004-C-3500.CFE</stp>
        <stp>Bid_Volume1</stp>
        <tr r="I9" s="1"/>
      </tp>
      <tp>
        <v>2</v>
        <stp/>
        <stp>IO2005-C-3500.CFE</stp>
        <stp>Bid_Volume1</stp>
        <tr r="I38" s="1"/>
      </tp>
      <tp>
        <v>2</v>
        <stp/>
        <stp>IO2006-C-3500.CFE</stp>
        <stp>Bid_Volume1</stp>
        <tr r="I57" s="1"/>
      </tp>
      <tp>
        <v>1</v>
        <stp/>
        <stp>IO2006-C-4500.CFE</stp>
        <stp>Bid_Volume1</stp>
        <tr r="I67" s="1"/>
      </tp>
      <tp>
        <v>1</v>
        <stp/>
        <stp>IO2004-C-4500.CFE</stp>
        <stp>Bid_Volume1</stp>
        <tr r="I19" s="1"/>
      </tp>
      <tp>
        <v>2</v>
        <stp/>
        <stp>IO2009-C-3500.CFE</stp>
        <stp>Bid_Volume1</stp>
        <tr r="I88" s="1"/>
      </tp>
      <tp>
        <v>1</v>
        <stp/>
        <stp>IO2004-P-3600.CFE</stp>
        <stp>Ask_Volume1</stp>
        <tr r="K25" s="1"/>
      </tp>
      <tp>
        <v>2</v>
        <stp/>
        <stp>IO2005-P-3600.CFE</stp>
        <stp>Ask_Volume1</stp>
        <tr r="K48" s="1"/>
      </tp>
      <tp>
        <v>0</v>
        <stp/>
        <stp>IO2006-P-3600.CFE</stp>
        <stp>Ask_Volume1</stp>
        <tr r="K73" s="1"/>
      </tp>
      <tp>
        <v>0</v>
        <stp/>
        <stp>IO2006-P-4600.CFE</stp>
        <stp>Ask_Volume1</stp>
        <tr r="K83" s="1"/>
      </tp>
      <tp>
        <v>0</v>
        <stp/>
        <stp>IO2004-P-4600.CFE</stp>
        <stp>Ask_Volume1</stp>
        <tr r="K35" s="1"/>
      </tp>
      <tp>
        <v>6.9000000000000008E-3</v>
        <stp/>
        <stp>10002412.SH</stp>
        <stp>Ask_Price1</stp>
        <tr r="AJ21" s="1"/>
      </tp>
      <tp>
        <v>8.4000000000000005E-2</v>
        <stp/>
        <stp>10002462.SH</stp>
        <stp>Ask_Price1</stp>
        <tr r="AJ47" s="1"/>
      </tp>
      <tp>
        <v>0.3624</v>
        <stp/>
        <stp>10002452.SH</stp>
        <stp>Ask_Price1</stp>
        <tr r="AJ37" s="1"/>
      </tp>
      <tp>
        <v>0.20050000000000001</v>
        <stp/>
        <stp>10002172.SH</stp>
        <stp>Ask_Price1</stp>
        <tr r="AJ59" s="1"/>
      </tp>
      <tp>
        <v>0.25480000000000003</v>
        <stp/>
        <stp>10002182.SH</stp>
        <stp>Ask_Price1</stp>
        <tr r="AJ75" s="1"/>
      </tp>
      <tp>
        <v>0.84200000000000008</v>
        <stp/>
        <stp>10002222.SH</stp>
        <stp>Ask_Price1</stp>
        <tr r="AJ82" s="1"/>
      </tp>
      <tp>
        <v>0.16889999999999999</v>
        <stp/>
        <stp>10002252.SH</stp>
        <stp>Ask_Price1</stp>
        <tr r="AJ93" s="1"/>
      </tp>
      <tp>
        <v>0.39490000000000003</v>
        <stp/>
        <stp>10002322.SH</stp>
        <stp>Ask_Price1</stp>
        <tr r="AJ56" s="1"/>
      </tp>
      <tp>
        <v>0.22990000000000002</v>
        <stp/>
        <stp>10002362.SH</stp>
        <stp>Ask_Price1</stp>
        <tr r="AJ28" s="1"/>
      </tp>
      <tp>
        <v>5.7600000000000005E-2</v>
        <stp/>
        <stp>10002352.SH</stp>
        <stp>Ask_Price1</stp>
        <tr r="AJ12" s="1"/>
      </tp>
      <tp>
        <v>1.89E-2</v>
        <stp/>
        <stp>10002392.SH</stp>
        <stp>Ask_Price1</stp>
        <tr r="AJ23" s="1"/>
      </tp>
      <tp>
        <v>0.92310000000000003</v>
        <stp/>
        <stp>10002382.SH</stp>
        <stp>Ask_Price1</stp>
        <tr r="AJ35" s="1"/>
      </tp>
      <tp>
        <v>0.34500000000000003</v>
        <stp/>
        <stp>10002452.SH</stp>
        <stp>Bid_Price1</stp>
        <tr r="AH37" s="1"/>
      </tp>
      <tp>
        <v>8.1600000000000006E-2</v>
        <stp/>
        <stp>10002462.SH</stp>
        <stp>Bid_Price1</stp>
        <tr r="AH47" s="1"/>
      </tp>
      <tp>
        <v>6.7000000000000002E-3</v>
        <stp/>
        <stp>10002412.SH</stp>
        <stp>Bid_Price1</stp>
        <tr r="AH21" s="1"/>
      </tp>
      <tp>
        <v>0.15640000000000001</v>
        <stp/>
        <stp>10002252.SH</stp>
        <stp>Bid_Price1</stp>
        <tr r="AH93" s="1"/>
      </tp>
      <tp>
        <v>0.77970000000000006</v>
        <stp/>
        <stp>10002222.SH</stp>
        <stp>Bid_Price1</stp>
        <tr r="AH82" s="1"/>
      </tp>
      <tp>
        <v>0.87090000000000001</v>
        <stp/>
        <stp>10002382.SH</stp>
        <stp>Bid_Price1</stp>
        <tr r="AH35" s="1"/>
      </tp>
      <tp>
        <v>1.8500000000000003E-2</v>
        <stp/>
        <stp>10002392.SH</stp>
        <stp>Bid_Price1</stp>
        <tr r="AH23" s="1"/>
      </tp>
      <tp>
        <v>5.7100000000000005E-2</v>
        <stp/>
        <stp>10002352.SH</stp>
        <stp>Bid_Price1</stp>
        <tr r="AH12" s="1"/>
      </tp>
      <tp>
        <v>0.2286</v>
        <stp/>
        <stp>10002362.SH</stp>
        <stp>Bid_Price1</stp>
        <tr r="AH28" s="1"/>
      </tp>
      <tp>
        <v>0.37</v>
        <stp/>
        <stp>10002322.SH</stp>
        <stp>Bid_Price1</stp>
        <tr r="AH56" s="1"/>
      </tp>
      <tp>
        <v>0.24700000000000003</v>
        <stp/>
        <stp>10002182.SH</stp>
        <stp>Bid_Price1</stp>
        <tr r="AH75" s="1"/>
      </tp>
      <tp>
        <v>0.1951</v>
        <stp/>
        <stp>10002172.SH</stp>
        <stp>Bid_Price1</stp>
        <tr r="AH59" s="1"/>
      </tp>
      <tp>
        <v>2</v>
        <stp/>
        <stp>IO2004-P-3600.CFE</stp>
        <stp>Bid_Volume1</stp>
        <tr r="I25" s="1"/>
      </tp>
      <tp>
        <v>1</v>
        <stp/>
        <stp>IO2005-P-3600.CFE</stp>
        <stp>Bid_Volume1</stp>
        <tr r="I48" s="1"/>
      </tp>
      <tp>
        <v>1</v>
        <stp/>
        <stp>IO2006-P-3600.CFE</stp>
        <stp>Bid_Volume1</stp>
        <tr r="I73" s="1"/>
      </tp>
      <tp>
        <v>0</v>
        <stp/>
        <stp>IO2006-P-4600.CFE</stp>
        <stp>Bid_Volume1</stp>
        <tr r="I83" s="1"/>
      </tp>
      <tp>
        <v>0</v>
        <stp/>
        <stp>IO2004-P-4600.CFE</stp>
        <stp>Bid_Volume1</stp>
        <tr r="I35" s="1"/>
      </tp>
      <tp>
        <v>0</v>
        <stp/>
        <stp>IO2004-C-3500.CFE</stp>
        <stp>Ask_Volume1</stp>
        <tr r="K9" s="1"/>
      </tp>
      <tp>
        <v>0</v>
        <stp/>
        <stp>IO2005-C-3500.CFE</stp>
        <stp>Ask_Volume1</stp>
        <tr r="K38" s="1"/>
      </tp>
      <tp>
        <v>5</v>
        <stp/>
        <stp>IO2006-C-3500.CFE</stp>
        <stp>Ask_Volume1</stp>
        <tr r="K57" s="1"/>
      </tp>
      <tp>
        <v>5</v>
        <stp/>
        <stp>IO2006-C-4500.CFE</stp>
        <stp>Ask_Volume1</stp>
        <tr r="K67" s="1"/>
      </tp>
      <tp>
        <v>6</v>
        <stp/>
        <stp>IO2004-C-4500.CFE</stp>
        <stp>Ask_Volume1</stp>
        <tr r="K19" s="1"/>
      </tp>
      <tp>
        <v>0</v>
        <stp/>
        <stp>IO2009-C-3500.CFE</stp>
        <stp>Ask_Volume1</stp>
        <tr r="K88" s="1"/>
      </tp>
      <tp>
        <v>8</v>
        <stp/>
        <stp>IO2004-C-3600.CFE</stp>
        <stp>Bid_Volume1</stp>
        <tr r="I10" s="1"/>
      </tp>
      <tp>
        <v>1</v>
        <stp/>
        <stp>IO2005-C-3600.CFE</stp>
        <stp>Bid_Volume1</stp>
        <tr r="I39" s="1"/>
      </tp>
      <tp>
        <v>3</v>
        <stp/>
        <stp>IO2006-C-3600.CFE</stp>
        <stp>Bid_Volume1</stp>
        <tr r="I58" s="1"/>
      </tp>
      <tp>
        <v>1</v>
        <stp/>
        <stp>IO2006-C-4600.CFE</stp>
        <stp>Bid_Volume1</stp>
        <tr r="I68" s="1"/>
      </tp>
      <tp>
        <v>1</v>
        <stp/>
        <stp>IO2004-C-4600.CFE</stp>
        <stp>Bid_Volume1</stp>
        <tr r="I20" s="1"/>
      </tp>
      <tp>
        <v>2</v>
        <stp/>
        <stp>IO2009-C-3600.CFE</stp>
        <stp>Bid_Volume1</stp>
        <tr r="I89" s="1"/>
      </tp>
      <tp>
        <v>2</v>
        <stp/>
        <stp>IO2004-P-3500.CFE</stp>
        <stp>Ask_Volume1</stp>
        <tr r="K24" s="1"/>
      </tp>
      <tp>
        <v>1</v>
        <stp/>
        <stp>IO2005-P-3500.CFE</stp>
        <stp>Ask_Volume1</stp>
        <tr r="K47" s="1"/>
      </tp>
      <tp>
        <v>0</v>
        <stp/>
        <stp>IO2006-P-3500.CFE</stp>
        <stp>Ask_Volume1</stp>
        <tr r="K72" s="1"/>
      </tp>
      <tp>
        <v>0</v>
        <stp/>
        <stp>IO2006-P-4500.CFE</stp>
        <stp>Ask_Volume1</stp>
        <tr r="K82" s="1"/>
      </tp>
      <tp>
        <v>0</v>
        <stp/>
        <stp>IO2004-P-4500.CFE</stp>
        <stp>Ask_Volume1</stp>
        <tr r="K34" s="1"/>
      </tp>
      <tp>
        <v>0.55649999999999999</v>
        <stp/>
        <stp>10002413.SH</stp>
        <stp>Ask_Price1</stp>
        <tr r="AJ54" s="1"/>
      </tp>
      <tp>
        <v>0.1212</v>
        <stp/>
        <stp>10002463.SH</stp>
        <stp>Ask_Price1</stp>
        <tr r="AJ48" s="1"/>
      </tp>
      <tp>
        <v>0.28200000000000003</v>
        <stp/>
        <stp>10002453.SH</stp>
        <stp>Ask_Price1</stp>
        <tr r="AJ38" s="1"/>
      </tp>
      <tp>
        <v>0.1575</v>
        <stp/>
        <stp>10002173.SH</stp>
        <stp>Ask_Price1</stp>
        <tr r="AJ60" s="1"/>
      </tp>
      <tp>
        <v>0.317</v>
        <stp/>
        <stp>10002183.SH</stp>
        <stp>Ask_Price1</stp>
        <tr r="AJ76" s="1"/>
      </tp>
      <tp>
        <v>0.13900000000000001</v>
        <stp/>
        <stp>10002253.SH</stp>
        <stp>Ask_Price1</stp>
        <tr r="AJ94" s="1"/>
      </tp>
      <tp>
        <v>0.32250000000000001</v>
        <stp/>
        <stp>10002323.SH</stp>
        <stp>Ask_Price1</stp>
        <tr r="AJ57" s="1"/>
      </tp>
      <tp>
        <v>0.23450000000000001</v>
        <stp/>
        <stp>10002373.SH</stp>
        <stp>Ask_Price1</stp>
        <tr r="AJ9" s="1"/>
      </tp>
      <tp>
        <v>0.31830000000000003</v>
        <stp/>
        <stp>10002363.SH</stp>
        <stp>Ask_Price1</stp>
        <tr r="AJ29" s="1"/>
      </tp>
      <tp>
        <v>3.1100000000000003E-2</v>
        <stp/>
        <stp>10002353.SH</stp>
        <stp>Ask_Price1</stp>
        <tr r="AJ13" s="1"/>
      </tp>
      <tp>
        <v>0.27379999999999999</v>
        <stp/>
        <stp>10002453.SH</stp>
        <stp>Bid_Price1</stp>
        <tr r="AH38" s="1"/>
      </tp>
      <tp>
        <v>0.1144</v>
        <stp/>
        <stp>10002463.SH</stp>
        <stp>Bid_Price1</stp>
        <tr r="AH48" s="1"/>
      </tp>
      <tp>
        <v>0.52100000000000002</v>
        <stp/>
        <stp>10002413.SH</stp>
        <stp>Bid_Price1</stp>
        <tr r="AH54" s="1"/>
      </tp>
      <tp>
        <v>0.12940000000000002</v>
        <stp/>
        <stp>10002253.SH</stp>
        <stp>Bid_Price1</stp>
        <tr r="AH94" s="1"/>
      </tp>
      <tp>
        <v>3.0800000000000001E-2</v>
        <stp/>
        <stp>10002353.SH</stp>
        <stp>Bid_Price1</stp>
        <tr r="AH13" s="1"/>
      </tp>
      <tp>
        <v>0.31309999999999999</v>
        <stp/>
        <stp>10002363.SH</stp>
        <stp>Bid_Price1</stp>
        <tr r="AH29" s="1"/>
      </tp>
      <tp>
        <v>0.23170000000000002</v>
        <stp/>
        <stp>10002373.SH</stp>
        <stp>Bid_Price1</stp>
        <tr r="AH9" s="1"/>
      </tp>
      <tp>
        <v>0.29870000000000002</v>
        <stp/>
        <stp>10002323.SH</stp>
        <stp>Bid_Price1</stp>
        <tr r="AH57" s="1"/>
      </tp>
      <tp>
        <v>0.3004</v>
        <stp/>
        <stp>10002183.SH</stp>
        <stp>Bid_Price1</stp>
        <tr r="AH76" s="1"/>
      </tp>
      <tp>
        <v>0.15040000000000001</v>
        <stp/>
        <stp>10002173.SH</stp>
        <stp>Bid_Price1</stp>
        <tr r="AH60" s="1"/>
      </tp>
      <tp>
        <v>1</v>
        <stp/>
        <stp>IO2004-P-3700.CFE</stp>
        <stp>Bid_Volume1</stp>
        <tr r="I26" s="1"/>
      </tp>
      <tp>
        <v>5</v>
        <stp/>
        <stp>IO2005-P-3700.CFE</stp>
        <stp>Bid_Volume1</stp>
        <tr r="I49" s="1"/>
      </tp>
      <tp>
        <v>1</v>
        <stp/>
        <stp>IO2006-P-3700.CFE</stp>
        <stp>Bid_Volume1</stp>
        <tr r="I74" s="1"/>
      </tp>
      <tp>
        <v>1</v>
        <stp/>
        <stp>IO2004-C-3400.CFE</stp>
        <stp>Ask_Volume1</stp>
        <tr r="K8" s="1"/>
      </tp>
      <tp>
        <v>0</v>
        <stp/>
        <stp>IO2005-C-3400.CFE</stp>
        <stp>Ask_Volume1</stp>
        <tr r="K37" s="1"/>
      </tp>
      <tp>
        <v>0</v>
        <stp/>
        <stp>IO2006-C-3400.CFE</stp>
        <stp>Ask_Volume1</stp>
        <tr r="K56" s="1"/>
      </tp>
      <tp>
        <v>2</v>
        <stp/>
        <stp>IO2006-C-4400.CFE</stp>
        <stp>Ask_Volume1</stp>
        <tr r="K66" s="1"/>
      </tp>
      <tp>
        <v>1</v>
        <stp/>
        <stp>IO2004-C-4400.CFE</stp>
        <stp>Ask_Volume1</stp>
        <tr r="K18" s="1"/>
      </tp>
      <tp>
        <v>0</v>
        <stp/>
        <stp>IO2009-C-3400.CFE</stp>
        <stp>Ask_Volume1</stp>
        <tr r="K87" s="1"/>
      </tp>
      <tp>
        <v>1</v>
        <stp/>
        <stp>IO2004-C-3700.CFE</stp>
        <stp>Bid_Volume1</stp>
        <tr r="I11" s="1"/>
      </tp>
      <tp>
        <v>1</v>
        <stp/>
        <stp>IO2005-C-3700.CFE</stp>
        <stp>Bid_Volume1</stp>
        <tr r="I40" s="1"/>
      </tp>
      <tp>
        <v>1</v>
        <stp/>
        <stp>IO2006-C-3700.CFE</stp>
        <stp>Bid_Volume1</stp>
        <tr r="I59" s="1"/>
      </tp>
      <tp>
        <v>2</v>
        <stp/>
        <stp>IO2009-C-3700.CFE</stp>
        <stp>Bid_Volume1</stp>
        <tr r="I90" s="1"/>
      </tp>
      <tp>
        <v>1</v>
        <stp/>
        <stp>IO2004-P-3400.CFE</stp>
        <stp>Ask_Volume1</stp>
        <tr r="K23" s="1"/>
      </tp>
      <tp>
        <v>0</v>
        <stp/>
        <stp>IO2005-P-3400.CFE</stp>
        <stp>Ask_Volume1</stp>
        <tr r="K46" s="1"/>
      </tp>
      <tp>
        <v>0</v>
        <stp/>
        <stp>IO2006-P-3400.CFE</stp>
        <stp>Ask_Volume1</stp>
        <tr r="K71" s="1"/>
      </tp>
      <tp>
        <v>0</v>
        <stp/>
        <stp>IO2006-P-4400.CFE</stp>
        <stp>Ask_Volume1</stp>
        <tr r="K81" s="1"/>
      </tp>
      <tp>
        <v>0</v>
        <stp/>
        <stp>IO2004-P-4400.CFE</stp>
        <stp>Ask_Volume1</stp>
        <tr r="K33" s="1"/>
      </tp>
      <tp>
        <v>4.2500000000000003E-2</v>
        <stp/>
        <stp>10002414.SH</stp>
        <stp>Ask_Price1</stp>
        <tr r="AJ69" s="1"/>
      </tp>
      <tp>
        <v>0.16500000000000001</v>
        <stp/>
        <stp>10002464.SH</stp>
        <stp>Ask_Price1</stp>
        <tr r="AJ49" s="1"/>
      </tp>
      <tp>
        <v>0.21630000000000002</v>
        <stp/>
        <stp>10002454.SH</stp>
        <stp>Ask_Price1</stp>
        <tr r="AJ39" s="1"/>
      </tp>
      <tp>
        <v>0.12050000000000001</v>
        <stp/>
        <stp>10002174.SH</stp>
        <stp>Ask_Price1</stp>
        <tr r="AJ61" s="1"/>
      </tp>
      <tp>
        <v>0.38990000000000002</v>
        <stp/>
        <stp>10002184.SH</stp>
        <stp>Ask_Price1</stp>
        <tr r="AJ77" s="1"/>
      </tp>
      <tp>
        <v>0.1149</v>
        <stp/>
        <stp>10002254.SH</stp>
        <stp>Ask_Price1</stp>
        <tr r="AJ95" s="1"/>
      </tp>
      <tp>
        <v>6.0000000000000005E-2</v>
        <stp/>
        <stp>10002324.SH</stp>
        <stp>Ask_Price1</stp>
        <tr r="AJ70" s="1"/>
      </tp>
      <tp>
        <v>0.16</v>
        <stp/>
        <stp>10002374.SH</stp>
        <stp>Ask_Price1</stp>
        <tr r="AJ10" s="1"/>
      </tp>
      <tp>
        <v>0.4113</v>
        <stp/>
        <stp>10002364.SH</stp>
        <stp>Ask_Price1</stp>
        <tr r="AJ30" s="1"/>
      </tp>
      <tp>
        <v>1.6400000000000001E-2</v>
        <stp/>
        <stp>10002354.SH</stp>
        <stp>Ask_Price1</stp>
        <tr r="AJ14" s="1"/>
      </tp>
      <tp>
        <v>0.2092</v>
        <stp/>
        <stp>10002454.SH</stp>
        <stp>Bid_Price1</stp>
        <tr r="AH39" s="1"/>
      </tp>
      <tp>
        <v>0.16140000000000002</v>
        <stp/>
        <stp>10002464.SH</stp>
        <stp>Bid_Price1</stp>
        <tr r="AH49" s="1"/>
      </tp>
      <tp>
        <v>4.1000000000000002E-2</v>
        <stp/>
        <stp>10002414.SH</stp>
        <stp>Bid_Price1</stp>
        <tr r="AH69" s="1"/>
      </tp>
      <tp>
        <v>0.11080000000000001</v>
        <stp/>
        <stp>10002254.SH</stp>
        <stp>Bid_Price1</stp>
        <tr r="AH95" s="1"/>
      </tp>
      <tp>
        <v>1.5900000000000001E-2</v>
        <stp/>
        <stp>10002354.SH</stp>
        <stp>Bid_Price1</stp>
        <tr r="AH14" s="1"/>
      </tp>
      <tp>
        <v>0.38500000000000001</v>
        <stp/>
        <stp>10002364.SH</stp>
        <stp>Bid_Price1</stp>
        <tr r="AH30" s="1"/>
      </tp>
      <tp>
        <v>0.159</v>
        <stp/>
        <stp>10002374.SH</stp>
        <stp>Bid_Price1</stp>
        <tr r="AH10" s="1"/>
      </tp>
      <tp>
        <v>5.6800000000000003E-2</v>
        <stp/>
        <stp>10002324.SH</stp>
        <stp>Bid_Price1</stp>
        <tr r="AH70" s="1"/>
      </tp>
      <tp>
        <v>0.36810000000000004</v>
        <stp/>
        <stp>10002184.SH</stp>
        <stp>Bid_Price1</stp>
        <tr r="AH77" s="1"/>
      </tp>
      <tp>
        <v>0.1116</v>
        <stp/>
        <stp>10002174.SH</stp>
        <stp>Bid_Price1</stp>
        <tr r="AH61" s="1"/>
      </tp>
      <tp>
        <v>2</v>
        <stp/>
        <stp>IO2006-P-4000.CFE</stp>
        <stp>Bid_Volume1</stp>
        <tr r="I77" s="1"/>
      </tp>
      <tp>
        <v>1</v>
        <stp/>
        <stp>IO2005-P-4000.CFE</stp>
        <stp>Bid_Volume1</stp>
        <tr r="I52" s="1"/>
      </tp>
      <tp>
        <v>1</v>
        <stp/>
        <stp>IO2004-P-4000.CFE</stp>
        <stp>Bid_Volume1</stp>
        <tr r="I29" s="1"/>
      </tp>
      <tp>
        <v>0</v>
        <stp/>
        <stp>IO2004-C-3300.CFE</stp>
        <stp>Ask_Volume1</stp>
        <tr r="K7" s="1"/>
      </tp>
      <tp>
        <v>0</v>
        <stp/>
        <stp>IO2005-C-3300.CFE</stp>
        <stp>Ask_Volume1</stp>
        <tr r="K36" s="1"/>
      </tp>
      <tp>
        <v>1</v>
        <stp/>
        <stp>IO2006-C-3300.CFE</stp>
        <stp>Ask_Volume1</stp>
        <tr r="K55" s="1"/>
      </tp>
      <tp>
        <v>1</v>
        <stp/>
        <stp>IO2006-C-4300.CFE</stp>
        <stp>Ask_Volume1</stp>
        <tr r="K65" s="1"/>
      </tp>
      <tp>
        <v>2</v>
        <stp/>
        <stp>IO2004-C-4300.CFE</stp>
        <stp>Ask_Volume1</stp>
        <tr r="K17" s="1"/>
      </tp>
      <tp>
        <v>1</v>
        <stp/>
        <stp>IO2009-C-3300.CFE</stp>
        <stp>Ask_Volume1</stp>
        <tr r="K86" s="1"/>
      </tp>
      <tp>
        <v>2</v>
        <stp/>
        <stp>IO2006-C-4000.CFE</stp>
        <stp>Bid_Volume1</stp>
        <tr r="I62" s="1"/>
      </tp>
      <tp>
        <v>1</v>
        <stp/>
        <stp>IO2005-C-4000.CFE</stp>
        <stp>Bid_Volume1</stp>
        <tr r="I43" s="1"/>
      </tp>
      <tp>
        <v>2</v>
        <stp/>
        <stp>IO2004-C-4000.CFE</stp>
        <stp>Bid_Volume1</stp>
        <tr r="I14" s="1"/>
      </tp>
      <tp>
        <v>3</v>
        <stp/>
        <stp>IO2009-C-4000.CFE</stp>
        <stp>Bid_Volume1</stp>
        <tr r="I93" s="1"/>
      </tp>
      <tp>
        <v>4</v>
        <stp/>
        <stp>IO2004-P-3300.CFE</stp>
        <stp>Ask_Volume1</stp>
        <tr r="K22" s="1"/>
      </tp>
      <tp>
        <v>1</v>
        <stp/>
        <stp>IO2005-P-3300.CFE</stp>
        <stp>Ask_Volume1</stp>
        <tr r="K45" s="1"/>
      </tp>
      <tp>
        <v>0</v>
        <stp/>
        <stp>IO2006-P-3300.CFE</stp>
        <stp>Ask_Volume1</stp>
        <tr r="K70" s="1"/>
      </tp>
      <tp>
        <v>0</v>
        <stp/>
        <stp>IO2006-P-4300.CFE</stp>
        <stp>Ask_Volume1</stp>
        <tr r="K80" s="1"/>
      </tp>
      <tp>
        <v>0</v>
        <stp/>
        <stp>IO2004-P-4300.CFE</stp>
        <stp>Ask_Volume1</stp>
        <tr r="K32" s="1"/>
      </tp>
      <tp>
        <v>0.61660000000000004</v>
        <stp/>
        <stp>10002415.SH</stp>
        <stp>Ask_Price1</stp>
        <tr r="AJ85" s="1"/>
      </tp>
      <tp>
        <v>0.221</v>
        <stp/>
        <stp>10002465.SH</stp>
        <stp>Ask_Price1</stp>
        <tr r="AJ50" s="1"/>
      </tp>
      <tp>
        <v>0.16209999999999999</v>
        <stp/>
        <stp>10002455.SH</stp>
        <stp>Ask_Price1</stp>
        <tr r="AJ40" s="1"/>
      </tp>
      <tp>
        <v>8.9599999999999999E-2</v>
        <stp/>
        <stp>10002175.SH</stp>
        <stp>Ask_Price1</stp>
        <tr r="AJ62" s="1"/>
      </tp>
      <tp>
        <v>0.48000000000000004</v>
        <stp/>
        <stp>10002185.SH</stp>
        <stp>Ask_Price1</stp>
        <tr r="AJ78" s="1"/>
      </tp>
      <tp>
        <v>8.4400000000000003E-2</v>
        <stp/>
        <stp>10002325.SH</stp>
        <stp>Ask_Price1</stp>
        <tr r="AJ71" s="1"/>
      </tp>
      <tp>
        <v>3.44E-2</v>
        <stp/>
        <stp>10002375.SH</stp>
        <stp>Ask_Price1</stp>
        <tr r="AJ24" s="1"/>
      </tp>
      <tp>
        <v>0.50819999999999999</v>
        <stp/>
        <stp>10002365.SH</stp>
        <stp>Ask_Price1</stp>
        <tr r="AJ31" s="1"/>
      </tp>
      <tp>
        <v>8.7000000000000011E-3</v>
        <stp/>
        <stp>10002355.SH</stp>
        <stp>Ask_Price1</stp>
        <tr r="AJ15" s="1"/>
      </tp>
      <tp>
        <v>0.15590000000000001</v>
        <stp/>
        <stp>10002455.SH</stp>
        <stp>Bid_Price1</stp>
        <tr r="AH40" s="1"/>
      </tp>
      <tp>
        <v>0.19460000000000002</v>
        <stp/>
        <stp>10002465.SH</stp>
        <stp>Bid_Price1</stp>
        <tr r="AH50" s="1"/>
      </tp>
      <tp>
        <v>0.57979999999999998</v>
        <stp/>
        <stp>10002415.SH</stp>
        <stp>Bid_Price1</stp>
        <tr r="AH85" s="1"/>
      </tp>
      <tp>
        <v>8.4000000000000012E-3</v>
        <stp/>
        <stp>10002355.SH</stp>
        <stp>Bid_Price1</stp>
        <tr r="AH15" s="1"/>
      </tp>
      <tp>
        <v>0.46010000000000001</v>
        <stp/>
        <stp>10002365.SH</stp>
        <stp>Bid_Price1</stp>
        <tr r="AH31" s="1"/>
      </tp>
      <tp>
        <v>3.3800000000000004E-2</v>
        <stp/>
        <stp>10002375.SH</stp>
        <stp>Bid_Price1</stp>
        <tr r="AH24" s="1"/>
      </tp>
      <tp>
        <v>0.08</v>
        <stp/>
        <stp>10002325.SH</stp>
        <stp>Bid_Price1</stp>
        <tr r="AH71" s="1"/>
      </tp>
      <tp>
        <v>0.44450000000000001</v>
        <stp/>
        <stp>10002185.SH</stp>
        <stp>Bid_Price1</stp>
        <tr r="AH78" s="1"/>
      </tp>
      <tp>
        <v>8.6000000000000007E-2</v>
        <stp/>
        <stp>10002175.SH</stp>
        <stp>Bid_Price1</stp>
        <tr r="AH62" s="1"/>
      </tp>
      <tp>
        <v>0</v>
        <stp/>
        <stp>IO2006-P-4100.CFE</stp>
        <stp>Bid_Volume1</stp>
        <tr r="I78" s="1"/>
      </tp>
      <tp>
        <v>5</v>
        <stp/>
        <stp>IO2005-P-4100.CFE</stp>
        <stp>Bid_Volume1</stp>
        <tr r="I53" s="1"/>
      </tp>
      <tp>
        <v>1</v>
        <stp/>
        <stp>IO2004-P-4100.CFE</stp>
        <stp>Bid_Volume1</stp>
        <tr r="I30" s="1"/>
      </tp>
      <tp>
        <v>0</v>
        <stp/>
        <stp>IO2004-C-3200.CFE</stp>
        <stp>Ask_Volume1</stp>
        <tr r="K6" s="1"/>
      </tp>
      <tp>
        <v>0</v>
        <stp/>
        <stp>IO2006-C-3200.CFE</stp>
        <stp>Ask_Volume1</stp>
        <tr r="K54" s="1"/>
      </tp>
      <tp>
        <v>1</v>
        <stp/>
        <stp>IO2006-C-4200.CFE</stp>
        <stp>Ask_Volume1</stp>
        <tr r="K64" s="1"/>
      </tp>
      <tp>
        <v>1</v>
        <stp/>
        <stp>IO2004-C-4200.CFE</stp>
        <stp>Ask_Volume1</stp>
        <tr r="K16" s="1"/>
      </tp>
      <tp>
        <v>4</v>
        <stp/>
        <stp>IO2009-C-4200.CFE</stp>
        <stp>Ask_Volume1</stp>
        <tr r="K95" s="1"/>
      </tp>
      <tp>
        <v>0</v>
        <stp/>
        <stp>IO2009-C-3200.CFE</stp>
        <stp>Ask_Volume1</stp>
        <tr r="K85" s="1"/>
      </tp>
      <tp>
        <v>5</v>
        <stp/>
        <stp>IO2006-C-4100.CFE</stp>
        <stp>Bid_Volume1</stp>
        <tr r="I63" s="1"/>
      </tp>
      <tp>
        <v>1</v>
        <stp/>
        <stp>IO2005-C-4100.CFE</stp>
        <stp>Bid_Volume1</stp>
        <tr r="I44" s="1"/>
      </tp>
      <tp>
        <v>4</v>
        <stp/>
        <stp>IO2004-C-4100.CFE</stp>
        <stp>Bid_Volume1</stp>
        <tr r="I15" s="1"/>
      </tp>
      <tp>
        <v>2</v>
        <stp/>
        <stp>IO2009-C-4100.CFE</stp>
        <stp>Bid_Volume1</stp>
        <tr r="I94" s="1"/>
      </tp>
      <tp>
        <v>1</v>
        <stp/>
        <stp>IO2009-C-3100.CFE</stp>
        <stp>Bid_Volume1</stp>
        <tr r="I84" s="1"/>
      </tp>
      <tp>
        <v>1</v>
        <stp/>
        <stp>IO2004-P-3200.CFE</stp>
        <stp>Ask_Volume1</stp>
        <tr r="K21" s="1"/>
      </tp>
      <tp>
        <v>9</v>
        <stp/>
        <stp>IO2006-P-3200.CFE</stp>
        <stp>Ask_Volume1</stp>
        <tr r="K69" s="1"/>
      </tp>
      <tp>
        <v>0</v>
        <stp/>
        <stp>IO2006-P-4200.CFE</stp>
        <stp>Ask_Volume1</stp>
        <tr r="K79" s="1"/>
      </tp>
      <tp>
        <v>0</v>
        <stp/>
        <stp>IO2004-P-4200.CFE</stp>
        <stp>Ask_Volume1</stp>
        <tr r="K31" s="1"/>
      </tp>
      <tp>
        <v>0.2923</v>
        <stp/>
        <stp>10002466.SH</stp>
        <stp>Ask_Price1</stp>
        <tr r="AJ51" s="1"/>
      </tp>
      <tp>
        <v>0.11750000000000001</v>
        <stp/>
        <stp>10002456.SH</stp>
        <stp>Ask_Price1</stp>
        <tr r="AJ41" s="1"/>
      </tp>
      <tp>
        <v>6.5500000000000003E-2</v>
        <stp/>
        <stp>10002176.SH</stp>
        <stp>Ask_Price1</stp>
        <tr r="AJ63" s="1"/>
      </tp>
      <tp>
        <v>0.5665</v>
        <stp/>
        <stp>10002186.SH</stp>
        <stp>Ask_Price1</stp>
        <tr r="AJ79" s="1"/>
      </tp>
      <tp>
        <v>0.11410000000000001</v>
        <stp/>
        <stp>10002326.SH</stp>
        <stp>Ask_Price1</stp>
        <tr r="AJ72" s="1"/>
      </tp>
      <tp>
        <v>5.9200000000000003E-2</v>
        <stp/>
        <stp>10002376.SH</stp>
        <stp>Ask_Price1</stp>
        <tr r="AJ25" s="1"/>
      </tp>
      <tp>
        <v>0</v>
        <stp/>
        <stp>10002366.SH</stp>
        <stp>Ask_Price1</stp>
        <tr r="AJ32" s="1"/>
      </tp>
      <tp>
        <v>5.1000000000000004E-3</v>
        <stp/>
        <stp>10002356.SH</stp>
        <stp>Ask_Price1</stp>
        <tr r="AJ16" s="1"/>
      </tp>
      <tp>
        <v>0.1111</v>
        <stp/>
        <stp>10002456.SH</stp>
        <stp>Bid_Price1</stp>
        <tr r="AH41" s="1"/>
      </tp>
      <tp>
        <v>0.27579999999999999</v>
        <stp/>
        <stp>10002466.SH</stp>
        <stp>Bid_Price1</stp>
        <tr r="AH51" s="1"/>
      </tp>
      <tp>
        <v>4.7000000000000002E-3</v>
        <stp/>
        <stp>10002356.SH</stp>
        <stp>Bid_Price1</stp>
        <tr r="AH16" s="1"/>
      </tp>
      <tp>
        <v>0.57010000000000005</v>
        <stp/>
        <stp>10002366.SH</stp>
        <stp>Bid_Price1</stp>
        <tr r="AH32" s="1"/>
      </tp>
      <tp>
        <v>5.8600000000000006E-2</v>
        <stp/>
        <stp>10002376.SH</stp>
        <stp>Bid_Price1</stp>
        <tr r="AH25" s="1"/>
      </tp>
      <tp>
        <v>0.109</v>
        <stp/>
        <stp>10002326.SH</stp>
        <stp>Bid_Price1</stp>
        <tr r="AH72" s="1"/>
      </tp>
      <tp>
        <v>0.52460000000000007</v>
        <stp/>
        <stp>10002186.SH</stp>
        <stp>Bid_Price1</stp>
        <tr r="AH79" s="1"/>
      </tp>
      <tp>
        <v>6.4600000000000005E-2</v>
        <stp/>
        <stp>10002176.SH</stp>
        <stp>Bid_Price1</stp>
        <tr r="AH63" s="1"/>
      </tp>
      <tp>
        <v>14</v>
        <stp/>
        <stp>IO2004-P-3200.CFE</stp>
        <stp>Bid_Volume1</stp>
        <tr r="I21" s="1"/>
      </tp>
      <tp>
        <v>10</v>
        <stp/>
        <stp>IO2006-P-3200.CFE</stp>
        <stp>Bid_Volume1</stp>
        <tr r="I69" s="1"/>
      </tp>
      <tp>
        <v>0</v>
        <stp/>
        <stp>IO2006-P-4200.CFE</stp>
        <stp>Bid_Volume1</stp>
        <tr r="I79" s="1"/>
      </tp>
      <tp>
        <v>0</v>
        <stp/>
        <stp>IO2004-P-4200.CFE</stp>
        <stp>Bid_Volume1</stp>
        <tr r="I31" s="1"/>
      </tp>
      <tp>
        <v>2</v>
        <stp/>
        <stp>IO2006-C-4100.CFE</stp>
        <stp>Ask_Volume1</stp>
        <tr r="K63" s="1"/>
      </tp>
      <tp>
        <v>1</v>
        <stp/>
        <stp>IO2005-C-4100.CFE</stp>
        <stp>Ask_Volume1</stp>
        <tr r="K44" s="1"/>
      </tp>
      <tp>
        <v>1</v>
        <stp/>
        <stp>IO2004-C-4100.CFE</stp>
        <stp>Ask_Volume1</stp>
        <tr r="K15" s="1"/>
      </tp>
      <tp>
        <v>2</v>
        <stp/>
        <stp>IO2009-C-4100.CFE</stp>
        <stp>Ask_Volume1</stp>
        <tr r="K94" s="1"/>
      </tp>
      <tp>
        <v>0</v>
        <stp/>
        <stp>IO2009-C-3100.CFE</stp>
        <stp>Ask_Volume1</stp>
        <tr r="K84" s="1"/>
      </tp>
      <tp>
        <v>0</v>
        <stp/>
        <stp>IO2004-C-3200.CFE</stp>
        <stp>Bid_Volume1</stp>
        <tr r="I6" s="1"/>
      </tp>
      <tp>
        <v>0</v>
        <stp/>
        <stp>IO2006-C-3200.CFE</stp>
        <stp>Bid_Volume1</stp>
        <tr r="I54" s="1"/>
      </tp>
      <tp>
        <v>1</v>
        <stp/>
        <stp>IO2006-C-4200.CFE</stp>
        <stp>Bid_Volume1</stp>
        <tr r="I64" s="1"/>
      </tp>
      <tp>
        <v>6</v>
        <stp/>
        <stp>IO2004-C-4200.CFE</stp>
        <stp>Bid_Volume1</stp>
        <tr r="I16" s="1"/>
      </tp>
      <tp>
        <v>1</v>
        <stp/>
        <stp>IO2009-C-4200.CFE</stp>
        <stp>Bid_Volume1</stp>
        <tr r="I95" s="1"/>
      </tp>
      <tp>
        <v>1</v>
        <stp/>
        <stp>IO2009-C-3200.CFE</stp>
        <stp>Bid_Volume1</stp>
        <tr r="I85" s="1"/>
      </tp>
      <tp>
        <v>0</v>
        <stp/>
        <stp>IO2006-P-4100.CFE</stp>
        <stp>Ask_Volume1</stp>
        <tr r="K78" s="1"/>
      </tp>
      <tp>
        <v>1</v>
        <stp/>
        <stp>IO2005-P-4100.CFE</stp>
        <stp>Ask_Volume1</stp>
        <tr r="K53" s="1"/>
      </tp>
      <tp>
        <v>0</v>
        <stp/>
        <stp>IO2004-P-4100.CFE</stp>
        <stp>Ask_Volume1</stp>
        <tr r="K30" s="1"/>
      </tp>
      <tp>
        <v>0.36980000000000002</v>
        <stp/>
        <stp>10002467.SH</stp>
        <stp>Ask_Price1</stp>
        <tr r="AJ52" s="1"/>
      </tp>
      <tp>
        <v>8.0800000000000011E-2</v>
        <stp/>
        <stp>10002457.SH</stp>
        <stp>Ask_Price1</stp>
        <tr r="AJ42" s="1"/>
      </tp>
      <tp>
        <v>4.9600000000000005E-2</v>
        <stp/>
        <stp>10002177.SH</stp>
        <stp>Ask_Price1</stp>
        <tr r="AJ64" s="1"/>
      </tp>
      <tp>
        <v>0.65910000000000002</v>
        <stp/>
        <stp>10002187.SH</stp>
        <stp>Ask_Price1</stp>
        <tr r="AJ80" s="1"/>
      </tp>
      <tp>
        <v>0.5333</v>
        <stp/>
        <stp>10002327.SH</stp>
        <stp>Ask_Price1</stp>
        <tr r="AJ86" s="1"/>
      </tp>
      <tp>
        <v>0.71850000000000003</v>
        <stp/>
        <stp>10002367.SH</stp>
        <stp>Ask_Price1</stp>
        <tr r="AJ33" s="1"/>
      </tp>
      <tp>
        <v>2.9000000000000002E-3</v>
        <stp/>
        <stp>10002357.SH</stp>
        <stp>Ask_Price1</stp>
        <tr r="AJ17" s="1"/>
      </tp>
      <tp>
        <v>7.8300000000000008E-2</v>
        <stp/>
        <stp>10002457.SH</stp>
        <stp>Bid_Price1</stp>
        <tr r="AH42" s="1"/>
      </tp>
      <tp>
        <v>0.35110000000000002</v>
        <stp/>
        <stp>10002467.SH</stp>
        <stp>Bid_Price1</stp>
        <tr r="AH52" s="1"/>
      </tp>
      <tp>
        <v>2.5000000000000001E-3</v>
        <stp/>
        <stp>10002357.SH</stp>
        <stp>Bid_Price1</stp>
        <tr r="AH17" s="1"/>
      </tp>
      <tp>
        <v>0.67790000000000006</v>
        <stp/>
        <stp>10002367.SH</stp>
        <stp>Bid_Price1</stp>
        <tr r="AH33" s="1"/>
      </tp>
      <tp>
        <v>0.50260000000000005</v>
        <stp/>
        <stp>10002327.SH</stp>
        <stp>Bid_Price1</stp>
        <tr r="AH86" s="1"/>
      </tp>
      <tp>
        <v>0.61030000000000006</v>
        <stp/>
        <stp>10002187.SH</stp>
        <stp>Bid_Price1</stp>
        <tr r="AH80" s="1"/>
      </tp>
      <tp>
        <v>4.6400000000000004E-2</v>
        <stp/>
        <stp>10002177.SH</stp>
        <stp>Bid_Price1</stp>
        <tr r="AH64" s="1"/>
      </tp>
      <tp>
        <v>2</v>
        <stp/>
        <stp>IO2004-P-3300.CFE</stp>
        <stp>Bid_Volume1</stp>
        <tr r="I22" s="1"/>
      </tp>
      <tp>
        <v>1</v>
        <stp/>
        <stp>IO2005-P-3300.CFE</stp>
        <stp>Bid_Volume1</stp>
        <tr r="I45" s="1"/>
      </tp>
      <tp>
        <v>1</v>
        <stp/>
        <stp>IO2006-P-3300.CFE</stp>
        <stp>Bid_Volume1</stp>
        <tr r="I70" s="1"/>
      </tp>
      <tp>
        <v>0</v>
        <stp/>
        <stp>IO2006-P-4300.CFE</stp>
        <stp>Bid_Volume1</stp>
        <tr r="I80" s="1"/>
      </tp>
      <tp>
        <v>0</v>
        <stp/>
        <stp>IO2004-P-4300.CFE</stp>
        <stp>Bid_Volume1</stp>
        <tr r="I32" s="1"/>
      </tp>
      <tp>
        <v>3</v>
        <stp/>
        <stp>IO2006-C-4000.CFE</stp>
        <stp>Ask_Volume1</stp>
        <tr r="K62" s="1"/>
      </tp>
      <tp>
        <v>1</v>
        <stp/>
        <stp>IO2005-C-4000.CFE</stp>
        <stp>Ask_Volume1</stp>
        <tr r="K43" s="1"/>
      </tp>
      <tp>
        <v>1</v>
        <stp/>
        <stp>IO2004-C-4000.CFE</stp>
        <stp>Ask_Volume1</stp>
        <tr r="K14" s="1"/>
      </tp>
      <tp>
        <v>1</v>
        <stp/>
        <stp>IO2009-C-4000.CFE</stp>
        <stp>Ask_Volume1</stp>
        <tr r="K93" s="1"/>
      </tp>
      <tp>
        <v>1</v>
        <stp/>
        <stp>IO2004-C-3300.CFE</stp>
        <stp>Bid_Volume1</stp>
        <tr r="I7" s="1"/>
      </tp>
      <tp>
        <v>0</v>
        <stp/>
        <stp>IO2005-C-3300.CFE</stp>
        <stp>Bid_Volume1</stp>
        <tr r="I36" s="1"/>
      </tp>
      <tp>
        <v>0</v>
        <stp/>
        <stp>IO2006-C-3300.CFE</stp>
        <stp>Bid_Volume1</stp>
        <tr r="I55" s="1"/>
      </tp>
      <tp>
        <v>2</v>
        <stp/>
        <stp>IO2006-C-4300.CFE</stp>
        <stp>Bid_Volume1</stp>
        <tr r="I65" s="1"/>
      </tp>
      <tp>
        <v>2</v>
        <stp/>
        <stp>IO2004-C-4300.CFE</stp>
        <stp>Bid_Volume1</stp>
        <tr r="I17" s="1"/>
      </tp>
      <tp>
        <v>1</v>
        <stp/>
        <stp>IO2009-C-3300.CFE</stp>
        <stp>Bid_Volume1</stp>
        <tr r="I86" s="1"/>
      </tp>
      <tp>
        <v>0</v>
        <stp/>
        <stp>IO2006-P-4000.CFE</stp>
        <stp>Ask_Volume1</stp>
        <tr r="K77" s="1"/>
      </tp>
      <tp>
        <v>0</v>
        <stp/>
        <stp>IO2005-P-4000.CFE</stp>
        <stp>Ask_Volume1</stp>
        <tr r="K52" s="1"/>
      </tp>
      <tp>
        <v>1</v>
        <stp/>
        <stp>IO2004-P-4000.CFE</stp>
        <stp>Ask_Volume1</stp>
        <tr r="K29" s="1"/>
      </tp>
      <tp>
        <v>8.4</v>
        <stp/>
        <stp>IO2004-C-4100.CFE</stp>
        <stp>Ask_Price1</stp>
        <tr r="J15" s="1"/>
      </tp>
      <tp>
        <v>0</v>
        <stp/>
        <stp>IO2004-P-4200.CFE</stp>
        <stp>Bid_Price1</stp>
        <tr r="H31" s="1"/>
      </tp>
      <tp>
        <v>0</v>
        <stp/>
        <stp>IO2004-P-4100.CFE</stp>
        <stp>Ask_Price1</stp>
        <tr r="J30" s="1"/>
      </tp>
      <tp>
        <v>3.8000000000000003</v>
        <stp/>
        <stp>IO2004-C-4200.CFE</stp>
        <stp>Bid_Price1</stp>
        <tr r="H16" s="1"/>
      </tp>
      <tp>
        <v>14.200000000000001</v>
        <stp/>
        <stp>IO2004-C-4000.CFE</stp>
        <stp>Ask_Price1</stp>
        <tr r="J14" s="1"/>
      </tp>
      <tp>
        <v>0</v>
        <stp/>
        <stp>IO2004-P-4300.CFE</stp>
        <stp>Bid_Price1</stp>
        <tr r="H32" s="1"/>
      </tp>
      <tp>
        <v>472</v>
        <stp/>
        <stp>IO2004-P-4000.CFE</stp>
        <stp>Ask_Price1</stp>
        <tr r="J29" s="1"/>
      </tp>
      <tp>
        <v>0.2</v>
        <stp/>
        <stp>IO2004-C-4300.CFE</stp>
        <stp>Bid_Price1</stp>
        <tr r="H17" s="1"/>
      </tp>
      <tp>
        <v>3</v>
        <stp/>
        <stp>IO2004-C-4300.CFE</stp>
        <stp>Ask_Price1</stp>
        <tr r="J17" s="1"/>
      </tp>
      <tp>
        <v>81</v>
        <stp/>
        <stp>IO2004-P-4000.CFE</stp>
        <stp>Bid_Price1</stp>
        <tr r="H29" s="1"/>
      </tp>
      <tp>
        <v>0</v>
        <stp/>
        <stp>IO2004-P-4300.CFE</stp>
        <stp>Ask_Price1</stp>
        <tr r="J32" s="1"/>
      </tp>
      <tp>
        <v>12.200000000000001</v>
        <stp/>
        <stp>IO2004-C-4000.CFE</stp>
        <stp>Bid_Price1</stp>
        <tr r="H14" s="1"/>
      </tp>
      <tp>
        <v>4.4000000000000004</v>
        <stp/>
        <stp>IO2004-C-4200.CFE</stp>
        <stp>Ask_Price1</stp>
        <tr r="J16" s="1"/>
      </tp>
      <tp>
        <v>370</v>
        <stp/>
        <stp>IO2004-P-4100.CFE</stp>
        <stp>Bid_Price1</stp>
        <tr r="H30" s="1"/>
      </tp>
      <tp>
        <v>0</v>
        <stp/>
        <stp>IO2004-P-4200.CFE</stp>
        <stp>Ask_Price1</stp>
        <tr r="J31" s="1"/>
      </tp>
      <tp>
        <v>6.6000000000000005</v>
        <stp/>
        <stp>IO2004-C-4100.CFE</stp>
        <stp>Bid_Price1</stp>
        <tr r="H15" s="1"/>
      </tp>
      <tp>
        <v>1.4000000000000001</v>
        <stp/>
        <stp>IO2004-C-4500.CFE</stp>
        <stp>Ask_Price1</stp>
        <tr r="J19" s="1"/>
      </tp>
      <tp>
        <v>0</v>
        <stp/>
        <stp>IO2004-P-4600.CFE</stp>
        <stp>Bid_Price1</stp>
        <tr r="H35" s="1"/>
      </tp>
      <tp>
        <v>0</v>
        <stp/>
        <stp>IO2004-P-4500.CFE</stp>
        <stp>Ask_Price1</stp>
        <tr r="J34" s="1"/>
      </tp>
      <tp>
        <v>0.4</v>
        <stp/>
        <stp>IO2004-C-4600.CFE</stp>
        <stp>Bid_Price1</stp>
        <tr r="H20" s="1"/>
      </tp>
      <tp>
        <v>1.8</v>
        <stp/>
        <stp>IO2004-C-4400.CFE</stp>
        <stp>Ask_Price1</stp>
        <tr r="J18" s="1"/>
      </tp>
      <tp>
        <v>0</v>
        <stp/>
        <stp>IO2004-P-4400.CFE</stp>
        <stp>Ask_Price1</stp>
        <tr r="J33" s="1"/>
      </tp>
      <tp>
        <v>0</v>
        <stp/>
        <stp>IO2004-P-4400.CFE</stp>
        <stp>Bid_Price1</stp>
        <tr r="H33" s="1"/>
      </tp>
      <tp>
        <v>1</v>
        <stp/>
        <stp>IO2004-C-4400.CFE</stp>
        <stp>Bid_Price1</stp>
        <tr r="H18" s="1"/>
      </tp>
      <tp>
        <v>1</v>
        <stp/>
        <stp>IO2004-C-4600.CFE</stp>
        <stp>Ask_Price1</stp>
        <tr r="J20" s="1"/>
      </tp>
      <tp>
        <v>0</v>
        <stp/>
        <stp>IO2004-P-4500.CFE</stp>
        <stp>Bid_Price1</stp>
        <tr r="H34" s="1"/>
      </tp>
      <tp>
        <v>0</v>
        <stp/>
        <stp>IO2004-P-4600.CFE</stp>
        <stp>Ask_Price1</stp>
        <tr r="J35" s="1"/>
      </tp>
      <tp>
        <v>0.2</v>
        <stp/>
        <stp>IO2004-C-4500.CFE</stp>
        <stp>Bid_Price1</stp>
        <tr r="H19" s="1"/>
      </tp>
      <tp>
        <v>387.8</v>
        <stp/>
        <stp>IO2005-C-4100.CFE</stp>
        <stp>Ask_Price1</stp>
        <tr r="J44" s="1"/>
      </tp>
      <tp>
        <v>520</v>
        <stp/>
        <stp>IO2005-P-4100.CFE</stp>
        <stp>Ask_Price1</stp>
        <tr r="J53" s="1"/>
      </tp>
      <tp>
        <v>47.4</v>
        <stp/>
        <stp>IO2005-C-4000.CFE</stp>
        <stp>Ask_Price1</stp>
        <tr r="J43" s="1"/>
      </tp>
      <tp>
        <v>0</v>
        <stp/>
        <stp>IO2005-P-4000.CFE</stp>
        <stp>Ask_Price1</stp>
        <tr r="J52" s="1"/>
      </tp>
      <tp>
        <v>7.2</v>
        <stp/>
        <stp>IO2005-P-4000.CFE</stp>
        <stp>Bid_Price1</stp>
        <tr r="H52" s="1"/>
      </tp>
      <tp>
        <v>42</v>
        <stp/>
        <stp>IO2005-C-4000.CFE</stp>
        <stp>Bid_Price1</stp>
        <tr r="H43" s="1"/>
      </tp>
      <tp>
        <v>110</v>
        <stp/>
        <stp>IO2005-P-4100.CFE</stp>
        <stp>Bid_Price1</stp>
        <tr r="H53" s="1"/>
      </tp>
      <tp>
        <v>3</v>
        <stp/>
        <stp>IO2005-C-4100.CFE</stp>
        <stp>Bid_Price1</stp>
        <tr r="H44" s="1"/>
      </tp>
      <tp>
        <v>3724.32</v>
        <stp/>
        <stp>000300.SH</stp>
        <stp>LastPrice</stp>
        <tr r="F2" s="1"/>
      </tp>
      <tp>
        <v>85</v>
        <stp/>
        <stp>IO2006-C-4100.CFE</stp>
        <stp>Ask_Price1</stp>
        <tr r="J63" s="1"/>
      </tp>
      <tp>
        <v>0</v>
        <stp/>
        <stp>IO2006-P-4200.CFE</stp>
        <stp>Bid_Price1</stp>
        <tr r="H79" s="1"/>
      </tp>
      <tp>
        <v>0</v>
        <stp/>
        <stp>IO2006-P-4100.CFE</stp>
        <stp>Ask_Price1</stp>
        <tr r="J78" s="1"/>
      </tp>
      <tp>
        <v>43.6</v>
        <stp/>
        <stp>IO2006-C-4200.CFE</stp>
        <stp>Bid_Price1</stp>
        <tr r="H64" s="1"/>
      </tp>
      <tp>
        <v>128</v>
        <stp/>
        <stp>IO2006-C-4000.CFE</stp>
        <stp>Ask_Price1</stp>
        <tr r="J62" s="1"/>
      </tp>
      <tp>
        <v>0</v>
        <stp/>
        <stp>IO2006-P-4300.CFE</stp>
        <stp>Bid_Price1</stp>
        <tr r="H80" s="1"/>
      </tp>
      <tp>
        <v>0</v>
        <stp/>
        <stp>IO2006-P-4000.CFE</stp>
        <stp>Ask_Price1</stp>
        <tr r="J77" s="1"/>
      </tp>
      <tp>
        <v>30</v>
        <stp/>
        <stp>IO2006-C-4300.CFE</stp>
        <stp>Bid_Price1</stp>
        <tr r="H65" s="1"/>
      </tp>
      <tp>
        <v>50</v>
        <stp/>
        <stp>IO2006-C-4300.CFE</stp>
        <stp>Ask_Price1</stp>
        <tr r="J65" s="1"/>
      </tp>
      <tp>
        <v>382</v>
        <stp/>
        <stp>IO2006-P-4000.CFE</stp>
        <stp>Bid_Price1</stp>
        <tr r="H77" s="1"/>
      </tp>
      <tp>
        <v>0</v>
        <stp/>
        <stp>IO2006-P-4300.CFE</stp>
        <stp>Ask_Price1</stp>
        <tr r="J80" s="1"/>
      </tp>
      <tp>
        <v>77.2</v>
        <stp/>
        <stp>IO2006-C-4000.CFE</stp>
        <stp>Bid_Price1</stp>
        <tr r="H62" s="1"/>
      </tp>
      <tp>
        <v>66</v>
        <stp/>
        <stp>IO2006-C-4200.CFE</stp>
        <stp>Ask_Price1</stp>
        <tr r="J64" s="1"/>
      </tp>
      <tp>
        <v>0</v>
        <stp/>
        <stp>IO2006-P-4100.CFE</stp>
        <stp>Bid_Price1</stp>
        <tr r="H78" s="1"/>
      </tp>
      <tp>
        <v>0</v>
        <stp/>
        <stp>IO2006-P-4200.CFE</stp>
        <stp>Ask_Price1</stp>
        <tr r="J79" s="1"/>
      </tp>
      <tp>
        <v>50.2</v>
        <stp/>
        <stp>IO2006-C-4100.CFE</stp>
        <stp>Bid_Price1</stp>
        <tr r="H63" s="1"/>
      </tp>
      <tp>
        <v>45</v>
        <stp/>
        <stp>IO2006-C-4500.CFE</stp>
        <stp>Ask_Price1</stp>
        <tr r="J67" s="1"/>
      </tp>
      <tp>
        <v>0</v>
        <stp/>
        <stp>IO2006-P-4600.CFE</stp>
        <stp>Bid_Price1</stp>
        <tr r="H83" s="1"/>
      </tp>
      <tp>
        <v>0</v>
        <stp/>
        <stp>IO2006-P-4500.CFE</stp>
        <stp>Ask_Price1</stp>
        <tr r="J82" s="1"/>
      </tp>
      <tp>
        <v>2.2000000000000002</v>
        <stp/>
        <stp>IO2006-C-4600.CFE</stp>
        <stp>Bid_Price1</stp>
        <tr r="H68" s="1"/>
      </tp>
      <tp>
        <v>59.6</v>
        <stp/>
        <stp>IO2006-C-4400.CFE</stp>
        <stp>Ask_Price1</stp>
        <tr r="J66" s="1"/>
      </tp>
      <tp>
        <v>0</v>
        <stp/>
        <stp>IO2006-P-4400.CFE</stp>
        <stp>Ask_Price1</stp>
        <tr r="J81" s="1"/>
      </tp>
      <tp>
        <v>411</v>
        <stp/>
        <stp>IO2006-P-4400.CFE</stp>
        <stp>Bid_Price1</stp>
        <tr r="H81" s="1"/>
      </tp>
      <tp>
        <v>2.2000000000000002</v>
        <stp/>
        <stp>IO2006-C-4400.CFE</stp>
        <stp>Bid_Price1</stp>
        <tr r="H66" s="1"/>
      </tp>
      <tp>
        <v>15.200000000000001</v>
        <stp/>
        <stp>IO2006-C-4600.CFE</stp>
        <stp>Ask_Price1</stp>
        <tr r="J68" s="1"/>
      </tp>
      <tp>
        <v>0</v>
        <stp/>
        <stp>IO2006-P-4500.CFE</stp>
        <stp>Bid_Price1</stp>
        <tr r="H82" s="1"/>
      </tp>
      <tp>
        <v>0</v>
        <stp/>
        <stp>IO2006-P-4600.CFE</stp>
        <stp>Ask_Price1</stp>
        <tr r="J83" s="1"/>
      </tp>
      <tp>
        <v>2.2000000000000002</v>
        <stp/>
        <stp>IO2006-C-4500.CFE</stp>
        <stp>Bid_Price1</stp>
        <tr r="H67" s="1"/>
      </tp>
      <tp>
        <v>1</v>
        <stp/>
        <stp>10002415.SH</stp>
        <stp>Bid_Volume1</stp>
        <tr r="AI85" s="1"/>
      </tp>
      <tp>
        <v>5</v>
        <stp/>
        <stp>10002414.SH</stp>
        <stp>Bid_Volume1</stp>
        <tr r="AI69" s="1"/>
      </tp>
      <tp>
        <v>2</v>
        <stp/>
        <stp>10002413.SH</stp>
        <stp>Bid_Volume1</stp>
        <tr r="AI54" s="1"/>
      </tp>
      <tp>
        <v>20</v>
        <stp/>
        <stp>10002412.SH</stp>
        <stp>Bid_Volume1</stp>
        <tr r="AI21" s="1"/>
      </tp>
      <tp>
        <v>10</v>
        <stp/>
        <stp>10002411.SH</stp>
        <stp>Bid_Volume1</stp>
        <tr r="AI6" s="1"/>
      </tp>
      <tp>
        <v>5</v>
        <stp/>
        <stp>10002431.SH</stp>
        <stp>Bid_Volume1</stp>
        <tr r="AI84" s="1"/>
      </tp>
      <tp>
        <v>9</v>
        <stp/>
        <stp>10002459.SH</stp>
        <stp>Bid_Volume1</stp>
        <tr r="AI44" s="1"/>
      </tp>
      <tp>
        <v>177</v>
        <stp/>
        <stp>10002458.SH</stp>
        <stp>Bid_Volume1</stp>
        <tr r="AI43" s="1"/>
      </tp>
      <tp>
        <v>2</v>
        <stp/>
        <stp>10002457.SH</stp>
        <stp>Bid_Volume1</stp>
        <tr r="AI42" s="1"/>
      </tp>
      <tp>
        <v>5</v>
        <stp/>
        <stp>10002456.SH</stp>
        <stp>Bid_Volume1</stp>
        <tr r="AI41" s="1"/>
      </tp>
      <tp>
        <v>5</v>
        <stp/>
        <stp>10002455.SH</stp>
        <stp>Bid_Volume1</stp>
        <tr r="AI40" s="1"/>
      </tp>
      <tp>
        <v>1</v>
        <stp/>
        <stp>10002454.SH</stp>
        <stp>Bid_Volume1</stp>
        <tr r="AI39" s="1"/>
      </tp>
      <tp>
        <v>3</v>
        <stp/>
        <stp>10002453.SH</stp>
        <stp>Bid_Volume1</stp>
        <tr r="AI38" s="1"/>
      </tp>
      <tp>
        <v>2</v>
        <stp/>
        <stp>10002452.SH</stp>
        <stp>Bid_Volume1</stp>
        <tr r="AI37" s="1"/>
      </tp>
      <tp>
        <v>10</v>
        <stp/>
        <stp>10002451.SH</stp>
        <stp>Bid_Volume1</stp>
        <tr r="AI36" s="1"/>
      </tp>
      <tp>
        <v>2</v>
        <stp/>
        <stp>10002468.SH</stp>
        <stp>Bid_Volume1</stp>
        <tr r="AI53" s="1"/>
      </tp>
      <tp>
        <v>1</v>
        <stp/>
        <stp>10002467.SH</stp>
        <stp>Bid_Volume1</stp>
        <tr r="AI52" s="1"/>
      </tp>
      <tp>
        <v>25</v>
        <stp/>
        <stp>10002466.SH</stp>
        <stp>Bid_Volume1</stp>
        <tr r="AI51" s="1"/>
      </tp>
      <tp>
        <v>17</v>
        <stp/>
        <stp>10002465.SH</stp>
        <stp>Bid_Volume1</stp>
        <tr r="AI50" s="1"/>
      </tp>
      <tp>
        <v>3</v>
        <stp/>
        <stp>10002464.SH</stp>
        <stp>Bid_Volume1</stp>
        <tr r="AI49" s="1"/>
      </tp>
      <tp>
        <v>10</v>
        <stp/>
        <stp>10002463.SH</stp>
        <stp>Bid_Volume1</stp>
        <tr r="AI48" s="1"/>
      </tp>
      <tp>
        <v>14</v>
        <stp/>
        <stp>10002462.SH</stp>
        <stp>Bid_Volume1</stp>
        <tr r="AI47" s="1"/>
      </tp>
      <tp>
        <v>144</v>
        <stp/>
        <stp>10002461.SH</stp>
        <stp>Bid_Volume1</stp>
        <tr r="AI46" s="1"/>
      </tp>
      <tp>
        <v>10</v>
        <stp/>
        <stp>10002460.SH</stp>
        <stp>Bid_Volume1</stp>
        <tr r="AI45" s="1"/>
      </tp>
      <tp>
        <v>1</v>
        <stp/>
        <stp>10002389.SH</stp>
        <stp>Bid_Volume1</stp>
        <tr r="AI7" s="1"/>
      </tp>
      <tp>
        <v>10</v>
        <stp/>
        <stp>10002382.SH</stp>
        <stp>Bid_Volume1</stp>
        <tr r="AI35" s="1"/>
      </tp>
      <tp>
        <v>120</v>
        <stp/>
        <stp>10002381.SH</stp>
        <stp>Bid_Volume1</stp>
        <tr r="AI20" s="1"/>
      </tp>
      <tp>
        <v>7</v>
        <stp/>
        <stp>10002392.SH</stp>
        <stp>Bid_Volume1</stp>
        <tr r="AI23" s="1"/>
      </tp>
      <tp>
        <v>7</v>
        <stp/>
        <stp>10002391.SH</stp>
        <stp>Bid_Volume1</stp>
        <tr r="AI22" s="1"/>
      </tp>
      <tp>
        <v>1</v>
        <stp/>
        <stp>10002390.SH</stp>
        <stp>Bid_Volume1</stp>
        <tr r="AI8" s="1"/>
      </tp>
      <tp>
        <v>15</v>
        <stp/>
        <stp>10002329.SH</stp>
        <stp>Bid_Volume1</stp>
        <tr r="AI88" s="1"/>
      </tp>
      <tp>
        <v>10</v>
        <stp/>
        <stp>10002328.SH</stp>
        <stp>Bid_Volume1</stp>
        <tr r="AI87" s="1"/>
      </tp>
      <tp>
        <v>1</v>
        <stp/>
        <stp>10002327.SH</stp>
        <stp>Bid_Volume1</stp>
        <tr r="AI86" s="1"/>
      </tp>
      <tp>
        <v>5</v>
        <stp/>
        <stp>10002326.SH</stp>
        <stp>Bid_Volume1</stp>
        <tr r="AI72" s="1"/>
      </tp>
      <tp>
        <v>6</v>
        <stp/>
        <stp>10002325.SH</stp>
        <stp>Bid_Volume1</stp>
        <tr r="AI71" s="1"/>
      </tp>
      <tp>
        <v>1</v>
        <stp/>
        <stp>10002324.SH</stp>
        <stp>Bid_Volume1</stp>
        <tr r="AI70" s="1"/>
      </tp>
      <tp>
        <v>29</v>
        <stp/>
        <stp>10002323.SH</stp>
        <stp>Bid_Volume1</stp>
        <tr r="AI57" s="1"/>
      </tp>
      <tp>
        <v>5</v>
        <stp/>
        <stp>10002322.SH</stp>
        <stp>Bid_Volume1</stp>
        <tr r="AI56" s="1"/>
      </tp>
      <tp>
        <v>11</v>
        <stp/>
        <stp>10002321.SH</stp>
        <stp>Bid_Volume1</stp>
        <tr r="AI55" s="1"/>
      </tp>
      <tp>
        <v>40</v>
        <stp/>
        <stp>10002359.SH</stp>
        <stp>Bid_Volume1</stp>
        <tr r="AI19" s="1"/>
      </tp>
      <tp>
        <v>4</v>
        <stp/>
        <stp>10002358.SH</stp>
        <stp>Bid_Volume1</stp>
        <tr r="AI18" s="1"/>
      </tp>
      <tp>
        <v>13</v>
        <stp/>
        <stp>10002357.SH</stp>
        <stp>Bid_Volume1</stp>
        <tr r="AI17" s="1"/>
      </tp>
      <tp>
        <v>66</v>
        <stp/>
        <stp>10002356.SH</stp>
        <stp>Bid_Volume1</stp>
        <tr r="AI16" s="1"/>
      </tp>
      <tp>
        <v>7</v>
        <stp/>
        <stp>10002355.SH</stp>
        <stp>Bid_Volume1</stp>
        <tr r="AI15" s="1"/>
      </tp>
      <tp>
        <v>16</v>
        <stp/>
        <stp>10002354.SH</stp>
        <stp>Bid_Volume1</stp>
        <tr r="AI14" s="1"/>
      </tp>
      <tp>
        <v>16</v>
        <stp/>
        <stp>10002353.SH</stp>
        <stp>Bid_Volume1</stp>
        <tr r="AI13" s="1"/>
      </tp>
      <tp>
        <v>3</v>
        <stp/>
        <stp>10002352.SH</stp>
        <stp>Bid_Volume1</stp>
        <tr r="AI12" s="1"/>
      </tp>
      <tp>
        <v>1</v>
        <stp/>
        <stp>10002351.SH</stp>
        <stp>Bid_Volume1</stp>
        <tr r="AI11" s="1"/>
      </tp>
      <tp>
        <v>1</v>
        <stp/>
        <stp>10002368.SH</stp>
        <stp>Bid_Volume1</stp>
        <tr r="AI34" s="1"/>
      </tp>
      <tp>
        <v>10</v>
        <stp/>
        <stp>10002367.SH</stp>
        <stp>Bid_Volume1</stp>
        <tr r="AI33" s="1"/>
      </tp>
      <tp>
        <v>6</v>
        <stp/>
        <stp>10002366.SH</stp>
        <stp>Bid_Volume1</stp>
        <tr r="AI32" s="1"/>
      </tp>
      <tp>
        <v>13</v>
        <stp/>
        <stp>10002365.SH</stp>
        <stp>Bid_Volume1</stp>
        <tr r="AI31" s="1"/>
      </tp>
      <tp>
        <v>61</v>
        <stp/>
        <stp>10002364.SH</stp>
        <stp>Bid_Volume1</stp>
        <tr r="AI30" s="1"/>
      </tp>
      <tp>
        <v>1</v>
        <stp/>
        <stp>10002363.SH</stp>
        <stp>Bid_Volume1</stp>
        <tr r="AI29" s="1"/>
      </tp>
      <tp>
        <v>1</v>
        <stp/>
        <stp>10002362.SH</stp>
        <stp>Bid_Volume1</stp>
        <tr r="AI28" s="1"/>
      </tp>
      <tp>
        <v>1</v>
        <stp/>
        <stp>10002361.SH</stp>
        <stp>Bid_Volume1</stp>
        <tr r="AI27" s="1"/>
      </tp>
      <tp>
        <v>1</v>
        <stp/>
        <stp>10002360.SH</stp>
        <stp>Bid_Volume1</stp>
        <tr r="AI26" s="1"/>
      </tp>
      <tp>
        <v>17</v>
        <stp/>
        <stp>10002376.SH</stp>
        <stp>Bid_Volume1</stp>
        <tr r="AI25" s="1"/>
      </tp>
      <tp>
        <v>6</v>
        <stp/>
        <stp>10002375.SH</stp>
        <stp>Bid_Volume1</stp>
        <tr r="AI24" s="1"/>
      </tp>
      <tp>
        <v>5</v>
        <stp/>
        <stp>10002374.SH</stp>
        <stp>Bid_Volume1</stp>
        <tr r="AI10" s="1"/>
      </tp>
      <tp>
        <v>10</v>
        <stp/>
        <stp>10002373.SH</stp>
        <stp>Bid_Volume1</stp>
        <tr r="AI9" s="1"/>
      </tp>
      <tp>
        <v>30</v>
        <stp/>
        <stp>10002229.SH</stp>
        <stp>Bid_Volume1</stp>
        <tr r="AI68" s="1"/>
      </tp>
      <tp>
        <v>22</v>
        <stp/>
        <stp>10002222.SH</stp>
        <stp>Bid_Volume1</stp>
        <tr r="AI82" s="1"/>
      </tp>
      <tp>
        <v>10</v>
        <stp/>
        <stp>10002221.SH</stp>
        <stp>Bid_Volume1</stp>
        <tr r="AI67" s="1"/>
      </tp>
      <tp>
        <v>11</v>
        <stp/>
        <stp>10002230.SH</stp>
        <stp>Bid_Volume1</stp>
        <tr r="AI83" s="1"/>
      </tp>
      <tp>
        <v>1</v>
        <stp/>
        <stp>10002249.SH</stp>
        <stp>Bid_Volume1</stp>
        <tr r="AI90" s="1"/>
      </tp>
      <tp>
        <v>5</v>
        <stp/>
        <stp>10002254.SH</stp>
        <stp>Bid_Volume1</stp>
        <tr r="AI95" s="1"/>
      </tp>
      <tp>
        <v>10</v>
        <stp/>
        <stp>10002253.SH</stp>
        <stp>Bid_Volume1</stp>
        <tr r="AI94" s="1"/>
      </tp>
      <tp>
        <v>15</v>
        <stp/>
        <stp>10002252.SH</stp>
        <stp>Bid_Volume1</stp>
        <tr r="AI93" s="1"/>
      </tp>
      <tp>
        <v>6</v>
        <stp/>
        <stp>10002251.SH</stp>
        <stp>Bid_Volume1</stp>
        <tr r="AI92" s="1"/>
      </tp>
      <tp>
        <v>6</v>
        <stp/>
        <stp>10002250.SH</stp>
        <stp>Bid_Volume1</stp>
        <tr r="AI91" s="1"/>
      </tp>
      <tp>
        <v>11</v>
        <stp/>
        <stp>10002271.SH</stp>
        <stp>Bid_Volume1</stp>
        <tr r="AI89" s="1"/>
      </tp>
      <tp>
        <v>15</v>
        <stp/>
        <stp>10002188.SH</stp>
        <stp>Bid_Volume1</stp>
        <tr r="AI81" s="1"/>
      </tp>
      <tp>
        <v>17</v>
        <stp/>
        <stp>10002187.SH</stp>
        <stp>Bid_Volume1</stp>
        <tr r="AI80" s="1"/>
      </tp>
      <tp>
        <v>17</v>
        <stp/>
        <stp>10002186.SH</stp>
        <stp>Bid_Volume1</stp>
        <tr r="AI79" s="1"/>
      </tp>
      <tp>
        <v>19</v>
        <stp/>
        <stp>10002185.SH</stp>
        <stp>Bid_Volume1</stp>
        <tr r="AI78" s="1"/>
      </tp>
      <tp>
        <v>26</v>
        <stp/>
        <stp>10002184.SH</stp>
        <stp>Bid_Volume1</stp>
        <tr r="AI77" s="1"/>
      </tp>
      <tp>
        <v>11</v>
        <stp/>
        <stp>10002183.SH</stp>
        <stp>Bid_Volume1</stp>
        <tr r="AI76" s="1"/>
      </tp>
      <tp>
        <v>2</v>
        <stp/>
        <stp>10002182.SH</stp>
        <stp>Bid_Volume1</stp>
        <tr r="AI75" s="1"/>
      </tp>
      <tp>
        <v>10</v>
        <stp/>
        <stp>10002181.SH</stp>
        <stp>Bid_Volume1</stp>
        <tr r="AI74" s="1"/>
      </tp>
      <tp>
        <v>2</v>
        <stp/>
        <stp>10002180.SH</stp>
        <stp>Bid_Volume1</stp>
        <tr r="AI73" s="1"/>
      </tp>
      <tp>
        <v>10</v>
        <stp/>
        <stp>10002179.SH</stp>
        <stp>Bid_Volume1</stp>
        <tr r="AI66" s="1"/>
      </tp>
      <tp>
        <v>5</v>
        <stp/>
        <stp>10002178.SH</stp>
        <stp>Bid_Volume1</stp>
        <tr r="AI65" s="1"/>
      </tp>
      <tp>
        <v>10</v>
        <stp/>
        <stp>10002177.SH</stp>
        <stp>Bid_Volume1</stp>
        <tr r="AI64" s="1"/>
      </tp>
      <tp>
        <v>1</v>
        <stp/>
        <stp>10002176.SH</stp>
        <stp>Bid_Volume1</stp>
        <tr r="AI63" s="1"/>
      </tp>
      <tp>
        <v>30</v>
        <stp/>
        <stp>10002175.SH</stp>
        <stp>Bid_Volume1</stp>
        <tr r="AI62" s="1"/>
      </tp>
      <tp>
        <v>16</v>
        <stp/>
        <stp>10002174.SH</stp>
        <stp>Bid_Volume1</stp>
        <tr r="AI61" s="1"/>
      </tp>
      <tp>
        <v>15</v>
        <stp/>
        <stp>10002173.SH</stp>
        <stp>Bid_Volume1</stp>
        <tr r="AI60" s="1"/>
      </tp>
      <tp>
        <v>1</v>
        <stp/>
        <stp>10002172.SH</stp>
        <stp>Bid_Volume1</stp>
        <tr r="AI59" s="1"/>
      </tp>
      <tp>
        <v>5</v>
        <stp/>
        <stp>10002171.SH</stp>
        <stp>Bid_Volume1</stp>
        <tr r="AI58" s="1"/>
      </tp>
      <tp>
        <v>39.800000000000004</v>
        <stp/>
        <stp>IO2006-P-3200.CFE</stp>
        <stp>Bid_Price1</stp>
        <tr r="H69" s="1"/>
      </tp>
      <tp>
        <v>0</v>
        <stp/>
        <stp>IO2006-C-3200.CFE</stp>
        <stp>Bid_Price1</stp>
        <tr r="H54" s="1"/>
      </tp>
      <tp>
        <v>60.6</v>
        <stp/>
        <stp>IO2006-P-3300.CFE</stp>
        <stp>Bid_Price1</stp>
        <tr r="H70" s="1"/>
      </tp>
      <tp>
        <v>0</v>
        <stp/>
        <stp>IO2006-C-3300.CFE</stp>
        <stp>Bid_Price1</stp>
        <tr r="H55" s="1"/>
      </tp>
      <tp>
        <v>455</v>
        <stp/>
        <stp>IO2006-C-3300.CFE</stp>
        <stp>Ask_Price1</stp>
        <tr r="J55" s="1"/>
      </tp>
      <tp>
        <v>0</v>
        <stp/>
        <stp>IO2006-P-3300.CFE</stp>
        <stp>Ask_Price1</stp>
        <tr r="J70" s="1"/>
      </tp>
      <tp>
        <v>0</v>
        <stp/>
        <stp>IO2006-C-3200.CFE</stp>
        <stp>Ask_Price1</stp>
        <tr r="J54" s="1"/>
      </tp>
      <tp>
        <v>300</v>
        <stp/>
        <stp>IO2006-P-3200.CFE</stp>
        <stp>Ask_Price1</stp>
        <tr r="J69" s="1"/>
      </tp>
      <tp>
        <v>297.40000000000003</v>
        <stp/>
        <stp>IO2006-C-3500.CFE</stp>
        <stp>Ask_Price1</stp>
        <tr r="J57" s="1"/>
      </tp>
      <tp>
        <v>2.2000000000000002</v>
        <stp/>
        <stp>IO2006-P-3600.CFE</stp>
        <stp>Bid_Price1</stp>
        <tr r="H73" s="1"/>
      </tp>
      <tp>
        <v>0</v>
        <stp/>
        <stp>IO2006-P-3500.CFE</stp>
        <stp>Ask_Price1</stp>
        <tr r="J72" s="1"/>
      </tp>
      <tp>
        <v>7</v>
        <stp/>
        <stp>IO2006-C-3600.CFE</stp>
        <stp>Bid_Price1</stp>
        <tr r="H58" s="1"/>
      </tp>
      <tp>
        <v>0</v>
        <stp/>
        <stp>IO2006-C-3400.CFE</stp>
        <stp>Ask_Price1</stp>
        <tr r="J56" s="1"/>
      </tp>
      <tp>
        <v>2.2000000000000002</v>
        <stp/>
        <stp>IO2006-P-3700.CFE</stp>
        <stp>Bid_Price1</stp>
        <tr r="H74" s="1"/>
      </tp>
      <tp>
        <v>0</v>
        <stp/>
        <stp>IO2006-P-3400.CFE</stp>
        <stp>Ask_Price1</stp>
        <tr r="J71" s="1"/>
      </tp>
      <tp>
        <v>111</v>
        <stp/>
        <stp>IO2006-C-3700.CFE</stp>
        <stp>Bid_Price1</stp>
        <tr r="H59" s="1"/>
      </tp>
      <tp>
        <v>0</v>
        <stp/>
        <stp>IO2006-C-3700.CFE</stp>
        <stp>Ask_Price1</stp>
        <tr r="J59" s="1"/>
      </tp>
      <tp>
        <v>7</v>
        <stp/>
        <stp>IO2006-P-3400.CFE</stp>
        <stp>Bid_Price1</stp>
        <tr r="H71" s="1"/>
      </tp>
      <tp>
        <v>0</v>
        <stp/>
        <stp>IO2006-P-3700.CFE</stp>
        <stp>Ask_Price1</stp>
        <tr r="J74" s="1"/>
      </tp>
      <tp>
        <v>2</v>
        <stp/>
        <stp>IO2006-C-3400.CFE</stp>
        <stp>Bid_Price1</stp>
        <tr r="H56" s="1"/>
      </tp>
      <tp>
        <v>283.2</v>
        <stp/>
        <stp>IO2006-C-3600.CFE</stp>
        <stp>Ask_Price1</stp>
        <tr r="J58" s="1"/>
      </tp>
      <tp>
        <v>26</v>
        <stp/>
        <stp>IO2006-P-3500.CFE</stp>
        <stp>Bid_Price1</stp>
        <tr r="H72" s="1"/>
      </tp>
      <tp>
        <v>0</v>
        <stp/>
        <stp>IO2006-P-3600.CFE</stp>
        <stp>Ask_Price1</stp>
        <tr r="J73" s="1"/>
      </tp>
      <tp>
        <v>2</v>
        <stp/>
        <stp>IO2006-C-3500.CFE</stp>
        <stp>Bid_Price1</stp>
        <tr r="H57" s="1"/>
      </tp>
      <tp>
        <v>113</v>
        <stp/>
        <stp>IO2006-C-3900.CFE</stp>
        <stp>Ask_Price1</stp>
        <tr r="J61" s="1"/>
      </tp>
      <tp>
        <v>0</v>
        <stp/>
        <stp>IO2006-P-3900.CFE</stp>
        <stp>Ask_Price1</stp>
        <tr r="J76" s="1"/>
      </tp>
      <tp>
        <v>156</v>
        <stp/>
        <stp>IO2006-C-3800.CFE</stp>
        <stp>Ask_Price1</stp>
        <tr r="J60" s="1"/>
      </tp>
      <tp>
        <v>268.39999999999998</v>
        <stp/>
        <stp>IO2006-P-3800.CFE</stp>
        <stp>Ask_Price1</stp>
        <tr r="J75" s="1"/>
      </tp>
      <tp>
        <v>2.2000000000000002</v>
        <stp/>
        <stp>IO2006-P-3800.CFE</stp>
        <stp>Bid_Price1</stp>
        <tr r="H75" s="1"/>
      </tp>
      <tp>
        <v>56</v>
        <stp/>
        <stp>IO2006-C-3800.CFE</stp>
        <stp>Bid_Price1</stp>
        <tr r="H60" s="1"/>
      </tp>
      <tp>
        <v>53</v>
        <stp/>
        <stp>IO2006-P-3900.CFE</stp>
        <stp>Bid_Price1</stp>
        <tr r="H76" s="1"/>
      </tp>
      <tp>
        <v>38</v>
        <stp/>
        <stp>IO2006-C-3900.CFE</stp>
        <stp>Bid_Price1</stp>
        <tr r="H61" s="1"/>
      </tp>
      <tp>
        <v>27.6</v>
        <stp/>
        <stp>IO2005-P-3300.CFE</stp>
        <stp>Bid_Price1</stp>
        <tr r="H45" s="1"/>
      </tp>
      <tp>
        <v>0</v>
        <stp/>
        <stp>IO2005-C-3300.CFE</stp>
        <stp>Bid_Price1</stp>
        <tr r="H36" s="1"/>
      </tp>
      <tp>
        <v>0</v>
        <stp/>
        <stp>IO2005-C-3300.CFE</stp>
        <stp>Ask_Price1</stp>
        <tr r="J36" s="1"/>
      </tp>
      <tp>
        <v>36</v>
        <stp/>
        <stp>IO2005-P-3300.CFE</stp>
        <stp>Ask_Price1</stp>
        <tr r="J45" s="1"/>
      </tp>
      <tp>
        <v>0</v>
        <stp/>
        <stp>IO2005-C-3500.CFE</stp>
        <stp>Ask_Price1</stp>
        <tr r="J38" s="1"/>
      </tp>
      <tp>
        <v>100.8</v>
        <stp/>
        <stp>IO2005-P-3600.CFE</stp>
        <stp>Bid_Price1</stp>
        <tr r="H48" s="1"/>
      </tp>
      <tp>
        <v>75</v>
        <stp/>
        <stp>IO2005-P-3500.CFE</stp>
        <stp>Ask_Price1</stp>
        <tr r="J47" s="1"/>
      </tp>
      <tp>
        <v>198</v>
        <stp/>
        <stp>IO2005-C-3600.CFE</stp>
        <stp>Bid_Price1</stp>
        <tr r="H39" s="1"/>
      </tp>
      <tp>
        <v>0</v>
        <stp/>
        <stp>IO2005-C-3400.CFE</stp>
        <stp>Ask_Price1</stp>
        <tr r="J37" s="1"/>
      </tp>
      <tp>
        <v>12</v>
        <stp/>
        <stp>IO2005-P-3700.CFE</stp>
        <stp>Bid_Price1</stp>
        <tr r="H49" s="1"/>
      </tp>
      <tp>
        <v>0</v>
        <stp/>
        <stp>IO2005-P-3400.CFE</stp>
        <stp>Ask_Price1</stp>
        <tr r="J46" s="1"/>
      </tp>
      <tp>
        <v>143.6</v>
        <stp/>
        <stp>IO2005-C-3700.CFE</stp>
        <stp>Bid_Price1</stp>
        <tr r="H40" s="1"/>
      </tp>
      <tp>
        <v>0</v>
        <stp/>
        <stp>IO2005-C-3700.CFE</stp>
        <stp>Ask_Price1</stp>
        <tr r="J40" s="1"/>
      </tp>
      <tp>
        <v>43.6</v>
        <stp/>
        <stp>IO2005-P-3400.CFE</stp>
        <stp>Bid_Price1</stp>
        <tr r="H46" s="1"/>
      </tp>
      <tp>
        <v>0</v>
        <stp/>
        <stp>IO2005-P-3700.CFE</stp>
        <stp>Ask_Price1</stp>
        <tr r="J49" s="1"/>
      </tp>
      <tp>
        <v>7.2</v>
        <stp/>
        <stp>IO2005-C-3400.CFE</stp>
        <stp>Bid_Price1</stp>
        <tr r="H37" s="1"/>
      </tp>
      <tp>
        <v>203</v>
        <stp/>
        <stp>IO2005-C-3600.CFE</stp>
        <stp>Ask_Price1</stp>
        <tr r="J39" s="1"/>
      </tp>
      <tp>
        <v>67.8</v>
        <stp/>
        <stp>IO2005-P-3500.CFE</stp>
        <stp>Bid_Price1</stp>
        <tr r="H47" s="1"/>
      </tp>
      <tp>
        <v>110</v>
        <stp/>
        <stp>IO2005-P-3600.CFE</stp>
        <stp>Ask_Price1</stp>
        <tr r="J48" s="1"/>
      </tp>
      <tp>
        <v>263.39999999999998</v>
        <stp/>
        <stp>IO2005-C-3500.CFE</stp>
        <stp>Bid_Price1</stp>
        <tr r="H38" s="1"/>
      </tp>
      <tp>
        <v>71</v>
        <stp/>
        <stp>IO2005-C-3900.CFE</stp>
        <stp>Ask_Price1</stp>
        <tr r="J42" s="1"/>
      </tp>
      <tp>
        <v>0</v>
        <stp/>
        <stp>IO2005-P-3900.CFE</stp>
        <stp>Ask_Price1</stp>
        <tr r="J51" s="1"/>
      </tp>
      <tp>
        <v>112.8</v>
        <stp/>
        <stp>IO2005-C-3800.CFE</stp>
        <stp>Ask_Price1</stp>
        <tr r="J41" s="1"/>
      </tp>
      <tp>
        <v>206.8</v>
        <stp/>
        <stp>IO2005-P-3800.CFE</stp>
        <stp>Ask_Price1</stp>
        <tr r="J50" s="1"/>
      </tp>
      <tp>
        <v>12</v>
        <stp/>
        <stp>IO2005-P-3800.CFE</stp>
        <stp>Bid_Price1</stp>
        <tr r="H50" s="1"/>
      </tp>
      <tp>
        <v>90.2</v>
        <stp/>
        <stp>IO2005-C-3800.CFE</stp>
        <stp>Bid_Price1</stp>
        <tr r="H41" s="1"/>
      </tp>
      <tp>
        <v>12</v>
        <stp/>
        <stp>IO2005-P-3900.CFE</stp>
        <stp>Bid_Price1</stp>
        <tr r="H51" s="1"/>
      </tp>
      <tp>
        <v>68</v>
        <stp/>
        <stp>IO2005-C-3900.CFE</stp>
        <stp>Bid_Price1</stp>
        <tr r="H42" s="1"/>
      </tp>
      <tp>
        <v>3.7110000000000003</v>
        <stp/>
        <stp>510300.SH</stp>
        <stp>LastPrice</stp>
        <tr r="AF2" s="1"/>
      </tp>
      <tp>
        <v>4</v>
        <stp/>
        <stp>IO2004-P-3200.CFE</stp>
        <stp>Bid_Price1</stp>
        <tr r="H21" s="1"/>
      </tp>
      <tp>
        <v>0</v>
        <stp/>
        <stp>IO2004-C-3200.CFE</stp>
        <stp>Bid_Price1</stp>
        <tr r="H6" s="1"/>
      </tp>
      <tp>
        <v>7</v>
        <stp/>
        <stp>IO2004-P-3300.CFE</stp>
        <stp>Bid_Price1</stp>
        <tr r="H22" s="1"/>
      </tp>
      <tp>
        <v>66.2</v>
        <stp/>
        <stp>IO2004-C-3300.CFE</stp>
        <stp>Bid_Price1</stp>
        <tr r="H7" s="1"/>
      </tp>
      <tp>
        <v>0</v>
        <stp/>
        <stp>IO2004-C-3300.CFE</stp>
        <stp>Ask_Price1</stp>
        <tr r="J7" s="1"/>
      </tp>
      <tp>
        <v>7.6000000000000005</v>
        <stp/>
        <stp>IO2004-P-3300.CFE</stp>
        <stp>Ask_Price1</stp>
        <tr r="J22" s="1"/>
      </tp>
      <tp>
        <v>0</v>
        <stp/>
        <stp>IO2004-C-3200.CFE</stp>
        <stp>Ask_Price1</stp>
        <tr r="J6" s="1"/>
      </tp>
      <tp>
        <v>4.8</v>
        <stp/>
        <stp>IO2004-P-3200.CFE</stp>
        <stp>Ask_Price1</stp>
        <tr r="J21" s="1"/>
      </tp>
      <tp>
        <v>0</v>
        <stp/>
        <stp>IO2004-C-3500.CFE</stp>
        <stp>Ask_Price1</stp>
        <tr r="J9" s="1"/>
      </tp>
      <tp>
        <v>47.800000000000004</v>
        <stp/>
        <stp>IO2004-P-3600.CFE</stp>
        <stp>Bid_Price1</stp>
        <tr r="H25" s="1"/>
      </tp>
      <tp>
        <v>26.6</v>
        <stp/>
        <stp>IO2004-P-3500.CFE</stp>
        <stp>Ask_Price1</stp>
        <tr r="J24" s="1"/>
      </tp>
      <tp>
        <v>145</v>
        <stp/>
        <stp>IO2004-C-3600.CFE</stp>
        <stp>Bid_Price1</stp>
        <tr r="H10" s="1"/>
      </tp>
      <tp>
        <v>348</v>
        <stp/>
        <stp>IO2004-C-3400.CFE</stp>
        <stp>Ask_Price1</stp>
        <tr r="J8" s="1"/>
      </tp>
      <tp>
        <v>85.600000000000009</v>
        <stp/>
        <stp>IO2004-P-3700.CFE</stp>
        <stp>Bid_Price1</stp>
        <tr r="H26" s="1"/>
      </tp>
      <tp>
        <v>14.4</v>
        <stp/>
        <stp>IO2004-P-3400.CFE</stp>
        <stp>Ask_Price1</stp>
        <tr r="J23" s="1"/>
      </tp>
      <tp>
        <v>94</v>
        <stp/>
        <stp>IO2004-C-3700.CFE</stp>
        <stp>Bid_Price1</stp>
        <tr r="H11" s="1"/>
      </tp>
      <tp>
        <v>95.2</v>
        <stp/>
        <stp>IO2004-C-3700.CFE</stp>
        <stp>Ask_Price1</stp>
        <tr r="J11" s="1"/>
      </tp>
      <tp>
        <v>13.200000000000001</v>
        <stp/>
        <stp>IO2004-P-3400.CFE</stp>
        <stp>Bid_Price1</stp>
        <tr r="H23" s="1"/>
      </tp>
      <tp>
        <v>86.2</v>
        <stp/>
        <stp>IO2004-P-3700.CFE</stp>
        <stp>Ask_Price1</stp>
        <tr r="J26" s="1"/>
      </tp>
      <tp>
        <v>286</v>
        <stp/>
        <stp>IO2004-C-3400.CFE</stp>
        <stp>Bid_Price1</stp>
        <tr r="H8" s="1"/>
      </tp>
      <tp>
        <v>162.20000000000002</v>
        <stp/>
        <stp>IO2004-C-3600.CFE</stp>
        <stp>Ask_Price1</stp>
        <tr r="J10" s="1"/>
      </tp>
      <tp>
        <v>25</v>
        <stp/>
        <stp>IO2004-P-3500.CFE</stp>
        <stp>Bid_Price1</stp>
        <tr r="H24" s="1"/>
      </tp>
      <tp>
        <v>48.4</v>
        <stp/>
        <stp>IO2004-P-3600.CFE</stp>
        <stp>Ask_Price1</stp>
        <tr r="J25" s="1"/>
      </tp>
      <tp>
        <v>168</v>
        <stp/>
        <stp>IO2004-C-3500.CFE</stp>
        <stp>Bid_Price1</stp>
        <tr r="H9" s="1"/>
      </tp>
      <tp>
        <v>30</v>
        <stp/>
        <stp>IO2004-C-3900.CFE</stp>
        <stp>Ask_Price1</stp>
        <tr r="J13" s="1"/>
      </tp>
      <tp>
        <v>0</v>
        <stp/>
        <stp>IO2004-P-3900.CFE</stp>
        <stp>Ask_Price1</stp>
        <tr r="J28" s="1"/>
      </tp>
      <tp>
        <v>54.4</v>
        <stp/>
        <stp>IO2004-C-3800.CFE</stp>
        <stp>Ask_Price1</stp>
        <tr r="J12" s="1"/>
      </tp>
      <tp>
        <v>147</v>
        <stp/>
        <stp>IO2004-P-3800.CFE</stp>
        <stp>Ask_Price1</stp>
        <tr r="J27" s="1"/>
      </tp>
      <tp>
        <v>1</v>
        <stp/>
        <stp>10002468.SH</stp>
        <stp>Ask_Volume1</stp>
        <tr r="AK53" s="1"/>
      </tp>
      <tp>
        <v>10</v>
        <stp/>
        <stp>10002467.SH</stp>
        <stp>Ask_Volume1</stp>
        <tr r="AK52" s="1"/>
      </tp>
      <tp>
        <v>26</v>
        <stp/>
        <stp>10002466.SH</stp>
        <stp>Ask_Volume1</stp>
        <tr r="AK51" s="1"/>
      </tp>
      <tp>
        <v>2</v>
        <stp/>
        <stp>10002465.SH</stp>
        <stp>Ask_Volume1</stp>
        <tr r="AK50" s="1"/>
      </tp>
      <tp>
        <v>7</v>
        <stp/>
        <stp>10002464.SH</stp>
        <stp>Ask_Volume1</stp>
        <tr r="AK49" s="1"/>
      </tp>
      <tp>
        <v>28</v>
        <stp/>
        <stp>10002463.SH</stp>
        <stp>Ask_Volume1</stp>
        <tr r="AK48" s="1"/>
      </tp>
      <tp>
        <v>10</v>
        <stp/>
        <stp>10002462.SH</stp>
        <stp>Ask_Volume1</stp>
        <tr r="AK47" s="1"/>
      </tp>
      <tp>
        <v>2</v>
        <stp/>
        <stp>10002461.SH</stp>
        <stp>Ask_Volume1</stp>
        <tr r="AK46" s="1"/>
      </tp>
      <tp>
        <v>5</v>
        <stp/>
        <stp>10002460.SH</stp>
        <stp>Ask_Volume1</stp>
        <tr r="AK45" s="1"/>
      </tp>
      <tp>
        <v>1</v>
        <stp/>
        <stp>10002459.SH</stp>
        <stp>Ask_Volume1</stp>
        <tr r="AK44" s="1"/>
      </tp>
      <tp>
        <v>2</v>
        <stp/>
        <stp>10002458.SH</stp>
        <stp>Ask_Volume1</stp>
        <tr r="AK43" s="1"/>
      </tp>
      <tp>
        <v>1</v>
        <stp/>
        <stp>10002457.SH</stp>
        <stp>Ask_Volume1</stp>
        <tr r="AK42" s="1"/>
      </tp>
      <tp>
        <v>47</v>
        <stp/>
        <stp>10002456.SH</stp>
        <stp>Ask_Volume1</stp>
        <tr r="AK41" s="1"/>
      </tp>
      <tp>
        <v>3</v>
        <stp/>
        <stp>10002455.SH</stp>
        <stp>Ask_Volume1</stp>
        <tr r="AK40" s="1"/>
      </tp>
      <tp>
        <v>1</v>
        <stp/>
        <stp>10002454.SH</stp>
        <stp>Ask_Volume1</stp>
        <tr r="AK39" s="1"/>
      </tp>
      <tp>
        <v>1</v>
        <stp/>
        <stp>10002453.SH</stp>
        <stp>Ask_Volume1</stp>
        <tr r="AK38" s="1"/>
      </tp>
      <tp>
        <v>10</v>
        <stp/>
        <stp>10002452.SH</stp>
        <stp>Ask_Volume1</stp>
        <tr r="AK37" s="1"/>
      </tp>
      <tp>
        <v>10</v>
        <stp/>
        <stp>10002451.SH</stp>
        <stp>Ask_Volume1</stp>
        <tr r="AK36" s="1"/>
      </tp>
      <tp>
        <v>1</v>
        <stp/>
        <stp>10002431.SH</stp>
        <stp>Ask_Volume1</stp>
        <tr r="AK84" s="1"/>
      </tp>
      <tp>
        <v>1</v>
        <stp/>
        <stp>10002415.SH</stp>
        <stp>Ask_Volume1</stp>
        <tr r="AK85" s="1"/>
      </tp>
      <tp>
        <v>1</v>
        <stp/>
        <stp>10002414.SH</stp>
        <stp>Ask_Volume1</stp>
        <tr r="AK69" s="1"/>
      </tp>
      <tp>
        <v>10</v>
        <stp/>
        <stp>10002413.SH</stp>
        <stp>Ask_Volume1</stp>
        <tr r="AK54" s="1"/>
      </tp>
      <tp>
        <v>18</v>
        <stp/>
        <stp>10002412.SH</stp>
        <stp>Ask_Volume1</stp>
        <tr r="AK21" s="1"/>
      </tp>
      <tp>
        <v>1</v>
        <stp/>
        <stp>10002411.SH</stp>
        <stp>Ask_Volume1</stp>
        <tr r="AK6" s="1"/>
      </tp>
      <tp>
        <v>135</v>
        <stp/>
        <stp>IO2004-P-3800.CFE</stp>
        <stp>Bid_Price1</stp>
        <tr r="H27" s="1"/>
      </tp>
      <tp>
        <v>51.4</v>
        <stp/>
        <stp>IO2004-C-3800.CFE</stp>
        <stp>Bid_Price1</stp>
        <tr r="H12" s="1"/>
      </tp>
      <tp>
        <v>7</v>
        <stp/>
        <stp>IO2004-P-3900.CFE</stp>
        <stp>Bid_Price1</stp>
        <tr r="H28" s="1"/>
      </tp>
      <tp>
        <v>26.6</v>
        <stp/>
        <stp>IO2004-C-3900.CFE</stp>
        <stp>Bid_Price1</stp>
        <tr r="H13" s="1"/>
      </tp>
      <tp>
        <v>11</v>
        <stp/>
        <stp>10002179.SH</stp>
        <stp>Ask_Volume1</stp>
        <tr r="AK66" s="1"/>
      </tp>
      <tp>
        <v>1</v>
        <stp/>
        <stp>10002178.SH</stp>
        <stp>Ask_Volume1</stp>
        <tr r="AK65" s="1"/>
      </tp>
      <tp>
        <v>1</v>
        <stp/>
        <stp>10002177.SH</stp>
        <stp>Ask_Volume1</stp>
        <tr r="AK64" s="1"/>
      </tp>
      <tp>
        <v>1</v>
        <stp/>
        <stp>10002176.SH</stp>
        <stp>Ask_Volume1</stp>
        <tr r="AK63" s="1"/>
      </tp>
      <tp>
        <v>1</v>
        <stp/>
        <stp>10002175.SH</stp>
        <stp>Ask_Volume1</stp>
        <tr r="AK62" s="1"/>
      </tp>
      <tp>
        <v>15</v>
        <stp/>
        <stp>10002174.SH</stp>
        <stp>Ask_Volume1</stp>
        <tr r="AK61" s="1"/>
      </tp>
      <tp>
        <v>3</v>
        <stp/>
        <stp>10002173.SH</stp>
        <stp>Ask_Volume1</stp>
        <tr r="AK60" s="1"/>
      </tp>
      <tp>
        <v>1</v>
        <stp/>
        <stp>10002172.SH</stp>
        <stp>Ask_Volume1</stp>
        <tr r="AK59" s="1"/>
      </tp>
      <tp>
        <v>20</v>
        <stp/>
        <stp>10002171.SH</stp>
        <stp>Ask_Volume1</stp>
        <tr r="AK58" s="1"/>
      </tp>
      <tp>
        <v>10</v>
        <stp/>
        <stp>10002188.SH</stp>
        <stp>Ask_Volume1</stp>
        <tr r="AK81" s="1"/>
      </tp>
      <tp>
        <v>10</v>
        <stp/>
        <stp>10002187.SH</stp>
        <stp>Ask_Volume1</stp>
        <tr r="AK80" s="1"/>
      </tp>
      <tp>
        <v>10</v>
        <stp/>
        <stp>10002186.SH</stp>
        <stp>Ask_Volume1</stp>
        <tr r="AK79" s="1"/>
      </tp>
      <tp>
        <v>15</v>
        <stp/>
        <stp>10002185.SH</stp>
        <stp>Ask_Volume1</stp>
        <tr r="AK78" s="1"/>
      </tp>
      <tp>
        <v>10</v>
        <stp/>
        <stp>10002184.SH</stp>
        <stp>Ask_Volume1</stp>
        <tr r="AK77" s="1"/>
      </tp>
      <tp>
        <v>1</v>
        <stp/>
        <stp>10002183.SH</stp>
        <stp>Ask_Volume1</stp>
        <tr r="AK76" s="1"/>
      </tp>
      <tp>
        <v>1</v>
        <stp/>
        <stp>10002182.SH</stp>
        <stp>Ask_Volume1</stp>
        <tr r="AK75" s="1"/>
      </tp>
      <tp>
        <v>17</v>
        <stp/>
        <stp>10002181.SH</stp>
        <stp>Ask_Volume1</stp>
        <tr r="AK74" s="1"/>
      </tp>
      <tp>
        <v>1</v>
        <stp/>
        <stp>10002180.SH</stp>
        <stp>Ask_Volume1</stp>
        <tr r="AK73" s="1"/>
      </tp>
      <tp>
        <v>2</v>
        <stp/>
        <stp>10002376.SH</stp>
        <stp>Ask_Volume1</stp>
        <tr r="AK25" s="1"/>
      </tp>
      <tp>
        <v>6</v>
        <stp/>
        <stp>10002375.SH</stp>
        <stp>Ask_Volume1</stp>
        <tr r="AK24" s="1"/>
      </tp>
      <tp>
        <v>1</v>
        <stp/>
        <stp>10002374.SH</stp>
        <stp>Ask_Volume1</stp>
        <tr r="AK10" s="1"/>
      </tp>
      <tp>
        <v>1</v>
        <stp/>
        <stp>10002373.SH</stp>
        <stp>Ask_Volume1</stp>
        <tr r="AK9" s="1"/>
      </tp>
      <tp>
        <v>0</v>
        <stp/>
        <stp>10002368.SH</stp>
        <stp>Ask_Volume1</stp>
        <tr r="AK34" s="1"/>
      </tp>
      <tp>
        <v>10</v>
        <stp/>
        <stp>10002367.SH</stp>
        <stp>Ask_Volume1</stp>
        <tr r="AK33" s="1"/>
      </tp>
      <tp>
        <v>0</v>
        <stp/>
        <stp>10002366.SH</stp>
        <stp>Ask_Volume1</stp>
        <tr r="AK32" s="1"/>
      </tp>
      <tp>
        <v>2</v>
        <stp/>
        <stp>10002365.SH</stp>
        <stp>Ask_Volume1</stp>
        <tr r="AK31" s="1"/>
      </tp>
      <tp>
        <v>1</v>
        <stp/>
        <stp>10002364.SH</stp>
        <stp>Ask_Volume1</stp>
        <tr r="AK30" s="1"/>
      </tp>
      <tp>
        <v>1</v>
        <stp/>
        <stp>10002363.SH</stp>
        <stp>Ask_Volume1</stp>
        <tr r="AK29" s="1"/>
      </tp>
      <tp>
        <v>9</v>
        <stp/>
        <stp>10002362.SH</stp>
        <stp>Ask_Volume1</stp>
        <tr r="AK28" s="1"/>
      </tp>
      <tp>
        <v>1</v>
        <stp/>
        <stp>10002361.SH</stp>
        <stp>Ask_Volume1</stp>
        <tr r="AK27" s="1"/>
      </tp>
      <tp>
        <v>13</v>
        <stp/>
        <stp>10002360.SH</stp>
        <stp>Ask_Volume1</stp>
        <tr r="AK26" s="1"/>
      </tp>
      <tp>
        <v>124</v>
        <stp/>
        <stp>10002359.SH</stp>
        <stp>Ask_Volume1</stp>
        <tr r="AK19" s="1"/>
      </tp>
      <tp>
        <v>15</v>
        <stp/>
        <stp>10002358.SH</stp>
        <stp>Ask_Volume1</stp>
        <tr r="AK18" s="1"/>
      </tp>
      <tp>
        <v>3</v>
        <stp/>
        <stp>10002357.SH</stp>
        <stp>Ask_Volume1</stp>
        <tr r="AK17" s="1"/>
      </tp>
      <tp>
        <v>5</v>
        <stp/>
        <stp>10002356.SH</stp>
        <stp>Ask_Volume1</stp>
        <tr r="AK16" s="1"/>
      </tp>
      <tp>
        <v>26</v>
        <stp/>
        <stp>10002355.SH</stp>
        <stp>Ask_Volume1</stp>
        <tr r="AK15" s="1"/>
      </tp>
      <tp>
        <v>8</v>
        <stp/>
        <stp>10002354.SH</stp>
        <stp>Ask_Volume1</stp>
        <tr r="AK14" s="1"/>
      </tp>
      <tp>
        <v>2</v>
        <stp/>
        <stp>10002353.SH</stp>
        <stp>Ask_Volume1</stp>
        <tr r="AK13" s="1"/>
      </tp>
      <tp>
        <v>49</v>
        <stp/>
        <stp>10002352.SH</stp>
        <stp>Ask_Volume1</stp>
        <tr r="AK12" s="1"/>
      </tp>
      <tp>
        <v>1</v>
        <stp/>
        <stp>10002351.SH</stp>
        <stp>Ask_Volume1</stp>
        <tr r="AK11" s="1"/>
      </tp>
      <tp>
        <v>10</v>
        <stp/>
        <stp>10002329.SH</stp>
        <stp>Ask_Volume1</stp>
        <tr r="AK88" s="1"/>
      </tp>
      <tp>
        <v>10</v>
        <stp/>
        <stp>10002328.SH</stp>
        <stp>Ask_Volume1</stp>
        <tr r="AK87" s="1"/>
      </tp>
      <tp>
        <v>1</v>
        <stp/>
        <stp>10002327.SH</stp>
        <stp>Ask_Volume1</stp>
        <tr r="AK86" s="1"/>
      </tp>
      <tp>
        <v>1</v>
        <stp/>
        <stp>10002326.SH</stp>
        <stp>Ask_Volume1</stp>
        <tr r="AK72" s="1"/>
      </tp>
      <tp>
        <v>5</v>
        <stp/>
        <stp>10002325.SH</stp>
        <stp>Ask_Volume1</stp>
        <tr r="AK71" s="1"/>
      </tp>
      <tp>
        <v>11</v>
        <stp/>
        <stp>10002324.SH</stp>
        <stp>Ask_Volume1</stp>
        <tr r="AK70" s="1"/>
      </tp>
      <tp>
        <v>26</v>
        <stp/>
        <stp>10002323.SH</stp>
        <stp>Ask_Volume1</stp>
        <tr r="AK57" s="1"/>
      </tp>
      <tp>
        <v>13</v>
        <stp/>
        <stp>10002322.SH</stp>
        <stp>Ask_Volume1</stp>
        <tr r="AK56" s="1"/>
      </tp>
      <tp>
        <v>10</v>
        <stp/>
        <stp>10002321.SH</stp>
        <stp>Ask_Volume1</stp>
        <tr r="AK55" s="1"/>
      </tp>
      <tp>
        <v>22</v>
        <stp/>
        <stp>10002392.SH</stp>
        <stp>Ask_Volume1</stp>
        <tr r="AK23" s="1"/>
      </tp>
      <tp>
        <v>10</v>
        <stp/>
        <stp>10002391.SH</stp>
        <stp>Ask_Volume1</stp>
        <tr r="AK22" s="1"/>
      </tp>
      <tp>
        <v>1</v>
        <stp/>
        <stp>10002390.SH</stp>
        <stp>Ask_Volume1</stp>
        <tr r="AK8" s="1"/>
      </tp>
      <tp>
        <v>3</v>
        <stp/>
        <stp>10002389.SH</stp>
        <stp>Ask_Volume1</stp>
        <tr r="AK7" s="1"/>
      </tp>
      <tp>
        <v>10</v>
        <stp/>
        <stp>10002382.SH</stp>
        <stp>Ask_Volume1</stp>
        <tr r="AK35" s="1"/>
      </tp>
      <tp>
        <v>3</v>
        <stp/>
        <stp>10002381.SH</stp>
        <stp>Ask_Volume1</stp>
        <tr r="AK20" s="1"/>
      </tp>
      <tp>
        <v>15</v>
        <stp/>
        <stp>10002271.SH</stp>
        <stp>Ask_Volume1</stp>
        <tr r="AK89" s="1"/>
      </tp>
      <tp>
        <v>2</v>
        <stp/>
        <stp>10002254.SH</stp>
        <stp>Ask_Volume1</stp>
        <tr r="AK95" s="1"/>
      </tp>
      <tp>
        <v>10</v>
        <stp/>
        <stp>10002253.SH</stp>
        <stp>Ask_Volume1</stp>
        <tr r="AK94" s="1"/>
      </tp>
      <tp>
        <v>14</v>
        <stp/>
        <stp>10002252.SH</stp>
        <stp>Ask_Volume1</stp>
        <tr r="AK93" s="1"/>
      </tp>
      <tp>
        <v>18</v>
        <stp/>
        <stp>10002251.SH</stp>
        <stp>Ask_Volume1</stp>
        <tr r="AK92" s="1"/>
      </tp>
      <tp>
        <v>1</v>
        <stp/>
        <stp>10002250.SH</stp>
        <stp>Ask_Volume1</stp>
        <tr r="AK91" s="1"/>
      </tp>
      <tp>
        <v>4</v>
        <stp/>
        <stp>10002249.SH</stp>
        <stp>Ask_Volume1</stp>
        <tr r="AK90" s="1"/>
      </tp>
      <tp>
        <v>1</v>
        <stp/>
        <stp>10002230.SH</stp>
        <stp>Ask_Volume1</stp>
        <tr r="AK83" s="1"/>
      </tp>
      <tp>
        <v>1</v>
        <stp/>
        <stp>10002229.SH</stp>
        <stp>Ask_Volume1</stp>
        <tr r="AK68" s="1"/>
      </tp>
      <tp>
        <v>10</v>
        <stp/>
        <stp>10002222.SH</stp>
        <stp>Ask_Volume1</stp>
        <tr r="AK82" s="1"/>
      </tp>
      <tp>
        <v>10</v>
        <stp/>
        <stp>10002221.SH</stp>
        <stp>Ask_Volume1</stp>
        <tr r="AK67" s="1"/>
      </tp>
      <tp>
        <v>0</v>
        <stp/>
        <stp>IO2009-C-3100.CFE</stp>
        <stp>Ask_Price1</stp>
        <tr r="J84" s="1"/>
      </tp>
      <tp>
        <v>450</v>
        <stp/>
        <stp>IO2009-C-3200.CFE</stp>
        <stp>Bid_Price1</stp>
        <tr r="H85" s="1"/>
      </tp>
      <tp>
        <v>400</v>
        <stp/>
        <stp>IO2009-C-3300.CFE</stp>
        <stp>Bid_Price1</stp>
        <tr r="H86" s="1"/>
      </tp>
      <tp>
        <v>482</v>
        <stp/>
        <stp>IO2009-C-3300.CFE</stp>
        <stp>Ask_Price1</stp>
        <tr r="J86" s="1"/>
      </tp>
      <tp>
        <v>0</v>
        <stp/>
        <stp>IO2009-C-3200.CFE</stp>
        <stp>Ask_Price1</stp>
        <tr r="J85" s="1"/>
      </tp>
      <tp>
        <v>595</v>
        <stp/>
        <stp>IO2009-C-3100.CFE</stp>
        <stp>Bid_Price1</stp>
        <tr r="H84" s="1"/>
      </tp>
      <tp>
        <v>0</v>
        <stp/>
        <stp>IO2009-C-3500.CFE</stp>
        <stp>Ask_Price1</stp>
        <tr r="J88" s="1"/>
      </tp>
      <tp>
        <v>7</v>
        <stp/>
        <stp>IO2009-C-3600.CFE</stp>
        <stp>Bid_Price1</stp>
        <tr r="H89" s="1"/>
      </tp>
      <tp>
        <v>0</v>
        <stp/>
        <stp>IO2009-C-3400.CFE</stp>
        <stp>Ask_Price1</stp>
        <tr r="J87" s="1"/>
      </tp>
      <tp>
        <v>7</v>
        <stp/>
        <stp>IO2009-C-3700.CFE</stp>
        <stp>Bid_Price1</stp>
        <tr r="H90" s="1"/>
      </tp>
      <tp>
        <v>252.6</v>
        <stp/>
        <stp>IO2009-C-3700.CFE</stp>
        <stp>Ask_Price1</stp>
        <tr r="J90" s="1"/>
      </tp>
      <tp>
        <v>0</v>
        <stp/>
        <stp>IO2009-C-3400.CFE</stp>
        <stp>Bid_Price1</stp>
        <tr r="H87" s="1"/>
      </tp>
      <tp>
        <v>0</v>
        <stp/>
        <stp>IO2009-C-3600.CFE</stp>
        <stp>Ask_Price1</stp>
        <tr r="J89" s="1"/>
      </tp>
      <tp>
        <v>7</v>
        <stp/>
        <stp>IO2009-C-3500.CFE</stp>
        <stp>Bid_Price1</stp>
        <tr r="H88" s="1"/>
      </tp>
      <tp>
        <v>187</v>
        <stp/>
        <stp>IO2009-C-3900.CFE</stp>
        <stp>Ask_Price1</stp>
        <tr r="J92" s="1"/>
      </tp>
      <tp>
        <v>207.8</v>
        <stp/>
        <stp>IO2009-C-3800.CFE</stp>
        <stp>Ask_Price1</stp>
        <tr r="J91" s="1"/>
      </tp>
      <tp>
        <v>190</v>
        <stp/>
        <stp>IO2009-C-3800.CFE</stp>
        <stp>Bid_Price1</stp>
        <tr r="H91" s="1"/>
      </tp>
      <tp>
        <v>7</v>
        <stp/>
        <stp>IO2009-C-3900.CFE</stp>
        <stp>Bid_Price1</stp>
        <tr r="H92" s="1"/>
      </tp>
      <tp>
        <v>486</v>
        <stp/>
        <stp>IO2009-C-4100.CFE</stp>
        <stp>Ask_Price1</stp>
        <tr r="J94" s="1"/>
      </tp>
      <tp>
        <v>7</v>
        <stp/>
        <stp>IO2009-C-4200.CFE</stp>
        <stp>Bid_Price1</stp>
        <tr r="H95" s="1"/>
      </tp>
      <tp>
        <v>147</v>
        <stp/>
        <stp>IO2009-C-4000.CFE</stp>
        <stp>Ask_Price1</stp>
        <tr r="J93" s="1"/>
      </tp>
      <tp>
        <v>10</v>
        <stp/>
        <stp>IO2009-C-4000.CFE</stp>
        <stp>Bid_Price1</stp>
        <tr r="H93" s="1"/>
      </tp>
      <tp>
        <v>104</v>
        <stp/>
        <stp>IO2009-C-4200.CFE</stp>
        <stp>Ask_Price1</stp>
        <tr r="J95" s="1"/>
      </tp>
      <tp>
        <v>7</v>
        <stp/>
        <stp>IO2009-C-4100.CFE</stp>
        <stp>Bid_Price1</stp>
        <tr r="H94" s="1"/>
      </tp>
      <tp>
        <v>3734.53</v>
        <stp/>
        <stp>000300.SH</stp>
        <stp>PreClose</stp>
        <tr r="G2" s="1"/>
      </tp>
      <tp>
        <v>0.318</v>
        <stp/>
        <stp>10002390.SH</stp>
        <stp>LastPrice</stp>
        <tr r="AF8" s="1"/>
      </tp>
      <tp>
        <v>1.1300000000000001E-2</v>
        <stp/>
        <stp>10002391.SH</stp>
        <stp>LastPrice</stp>
        <tr r="AF22" s="1"/>
      </tp>
      <tp>
        <v>1.89E-2</v>
        <stp/>
        <stp>10002392.SH</stp>
        <stp>LastPrice</stp>
        <tr r="AF23" s="1"/>
      </tp>
      <tp>
        <v>0.1487</v>
        <stp/>
        <stp>10002180.SH</stp>
        <stp>LastPrice</stp>
        <tr r="AF73" s="1"/>
      </tp>
      <tp>
        <v>1E-3</v>
        <stp/>
        <stp>10002381.SH</stp>
        <stp>LastPrice</stp>
        <tr r="AF20" s="1"/>
      </tp>
      <tp>
        <v>0.1963</v>
        <stp/>
        <stp>10002181.SH</stp>
        <stp>LastPrice</stp>
        <tr r="AF74" s="1"/>
      </tp>
      <tp>
        <v>0.90300000000000002</v>
        <stp/>
        <stp>10002382.SH</stp>
        <stp>LastPrice</stp>
        <tr r="AF35" s="1"/>
      </tp>
      <tp>
        <v>0.25090000000000001</v>
        <stp/>
        <stp>10002182.SH</stp>
        <stp>LastPrice</stp>
        <tr r="AF75" s="1"/>
      </tp>
      <tp>
        <v>0.31290000000000001</v>
        <stp/>
        <stp>10002183.SH</stp>
        <stp>LastPrice</stp>
        <tr r="AF76" s="1"/>
      </tp>
      <tp>
        <v>0.38580000000000003</v>
        <stp/>
        <stp>10002184.SH</stp>
        <stp>LastPrice</stp>
        <tr r="AF77" s="1"/>
      </tp>
      <tp>
        <v>0.45980000000000004</v>
        <stp/>
        <stp>10002185.SH</stp>
        <stp>LastPrice</stp>
        <tr r="AF78" s="1"/>
      </tp>
      <tp>
        <v>0.53770000000000007</v>
        <stp/>
        <stp>10002186.SH</stp>
        <stp>LastPrice</stp>
        <tr r="AF79" s="1"/>
      </tp>
      <tp>
        <v>0.62080000000000002</v>
        <stp/>
        <stp>10002187.SH</stp>
        <stp>LastPrice</stp>
        <tr r="AF80" s="1"/>
      </tp>
      <tp>
        <v>0.71660000000000001</v>
        <stp/>
        <stp>10002188.SH</stp>
        <stp>LastPrice</stp>
        <tr r="AF81" s="1"/>
      </tp>
      <tp>
        <v>0.41100000000000003</v>
        <stp/>
        <stp>10002389.SH</stp>
        <stp>LastPrice</stp>
        <tr r="AF7" s="1"/>
      </tp>
      <tp>
        <v>2982</v>
        <stp/>
        <stp>10002459.SH</stp>
        <stp>Volume</stp>
        <tr r="AG44" s="1"/>
      </tp>
      <tp>
        <v>726</v>
        <stp/>
        <stp>10002249.SH</stp>
        <stp>Volume</stp>
        <tr r="AG90" s="1"/>
      </tp>
      <tp>
        <v>819</v>
        <stp/>
        <stp>10002229.SH</stp>
        <stp>Volume</stp>
        <tr r="AG68" s="1"/>
      </tp>
      <tp>
        <v>675</v>
        <stp/>
        <stp>10002389.SH</stp>
        <stp>Volume</stp>
        <tr r="AG7" s="1"/>
      </tp>
      <tp>
        <v>1756</v>
        <stp/>
        <stp>10002359.SH</stp>
        <stp>Volume</stp>
        <tr r="AG19" s="1"/>
      </tp>
      <tp>
        <v>31</v>
        <stp/>
        <stp>10002329.SH</stp>
        <stp>Volume</stp>
        <tr r="AG88" s="1"/>
      </tp>
      <tp>
        <v>549</v>
        <stp/>
        <stp>10002179.SH</stp>
        <stp>Volume</stp>
        <tr r="AG66" s="1"/>
      </tp>
      <tp>
        <v>2914</v>
        <stp/>
        <stp>10002458.SH</stp>
        <stp>Volume</stp>
        <tr r="AG43" s="1"/>
      </tp>
      <tp>
        <v>129</v>
        <stp/>
        <stp>10002468.SH</stp>
        <stp>Volume</stp>
        <tr r="AG53" s="1"/>
      </tp>
      <tp>
        <v>1804</v>
        <stp/>
        <stp>10002358.SH</stp>
        <stp>Volume</stp>
        <tr r="AG18" s="1"/>
      </tp>
      <tp>
        <v>157</v>
        <stp/>
        <stp>10002368.SH</stp>
        <stp>Volume</stp>
        <tr r="AG34" s="1"/>
      </tp>
      <tp>
        <v>7</v>
        <stp/>
        <stp>10002328.SH</stp>
        <stp>Volume</stp>
        <tr r="AG87" s="1"/>
      </tp>
      <tp>
        <v>0</v>
        <stp/>
        <stp>10002188.SH</stp>
        <stp>Volume</stp>
        <tr r="AG81" s="1"/>
      </tp>
      <tp>
        <v>683</v>
        <stp/>
        <stp>10002178.SH</stp>
        <stp>Volume</stp>
        <tr r="AG65" s="1"/>
      </tp>
      <tp>
        <v>5603</v>
        <stp/>
        <stp>10002455.SH</stp>
        <stp>Volume</stp>
        <tr r="AG40" s="1"/>
      </tp>
      <tp>
        <v>1434</v>
        <stp/>
        <stp>10002465.SH</stp>
        <stp>Volume</stp>
        <tr r="AG50" s="1"/>
      </tp>
      <tp>
        <v>51</v>
        <stp/>
        <stp>10002415.SH</stp>
        <stp>Volume</stp>
        <tr r="AG85" s="1"/>
      </tp>
      <tp>
        <v>14035</v>
        <stp/>
        <stp>10002355.SH</stp>
        <stp>Volume</stp>
        <tr r="AG15" s="1"/>
      </tp>
      <tp>
        <v>43947</v>
        <stp/>
        <stp>10002375.SH</stp>
        <stp>Volume</stp>
        <tr r="AG24" s="1"/>
      </tp>
      <tp>
        <v>451</v>
        <stp/>
        <stp>10002365.SH</stp>
        <stp>Volume</stp>
        <tr r="AG31" s="1"/>
      </tp>
      <tp>
        <v>759</v>
        <stp/>
        <stp>10002325.SH</stp>
        <stp>Volume</stp>
        <tr r="AG71" s="1"/>
      </tp>
      <tp>
        <v>156</v>
        <stp/>
        <stp>10002185.SH</stp>
        <stp>Volume</stp>
        <tr r="AG78" s="1"/>
      </tp>
      <tp>
        <v>1037</v>
        <stp/>
        <stp>10002175.SH</stp>
        <stp>Volume</stp>
        <tr r="AG62" s="1"/>
      </tp>
      <tp>
        <v>0.91080000000000005</v>
        <stp/>
        <stp>10002230.SH</stp>
        <stp>LastPrice</stp>
        <tr r="AF83" s="1"/>
      </tp>
      <tp>
        <v>0.66880000000000006</v>
        <stp/>
        <stp>10002431.SH</stp>
        <stp>LastPrice</stp>
        <tr r="AF84" s="1"/>
      </tp>
      <tp>
        <v>1367</v>
        <stp/>
        <stp>10002454.SH</stp>
        <stp>Volume</stp>
        <tr r="AG39" s="1"/>
      </tp>
      <tp>
        <v>6116</v>
        <stp/>
        <stp>10002464.SH</stp>
        <stp>Volume</stp>
        <tr r="AG49" s="1"/>
      </tp>
      <tp>
        <v>840</v>
        <stp/>
        <stp>10002414.SH</stp>
        <stp>Volume</stp>
        <tr r="AG69" s="1"/>
      </tp>
      <tp>
        <v>410</v>
        <stp/>
        <stp>10002254.SH</stp>
        <stp>Volume</stp>
        <tr r="AG95" s="1"/>
      </tp>
      <tp>
        <v>24629</v>
        <stp/>
        <stp>10002354.SH</stp>
        <stp>Volume</stp>
        <tr r="AG14" s="1"/>
      </tp>
      <tp>
        <v>32399</v>
        <stp/>
        <stp>10002374.SH</stp>
        <stp>Volume</stp>
        <tr r="AG10" s="1"/>
      </tp>
      <tp>
        <v>525</v>
        <stp/>
        <stp>10002364.SH</stp>
        <stp>Volume</stp>
        <tr r="AG30" s="1"/>
      </tp>
      <tp>
        <v>863</v>
        <stp/>
        <stp>10002324.SH</stp>
        <stp>Volume</stp>
        <tr r="AG70" s="1"/>
      </tp>
      <tp>
        <v>81</v>
        <stp/>
        <stp>10002184.SH</stp>
        <stp>Volume</stp>
        <tr r="AG77" s="1"/>
      </tp>
      <tp>
        <v>1143</v>
        <stp/>
        <stp>10002174.SH</stp>
        <stp>Volume</stp>
        <tr r="AG61" s="1"/>
      </tp>
      <tp>
        <v>0.46010000000000001</v>
        <stp/>
        <stp>10002321.SH</stp>
        <stp>LastPrice</stp>
        <tr r="AF55" s="1"/>
      </tp>
      <tp>
        <v>1.9800000000000002E-2</v>
        <stp/>
        <stp>10002221.SH</stp>
        <stp>LastPrice</stp>
        <tr r="AF67" s="1"/>
      </tp>
      <tp>
        <v>0.3836</v>
        <stp/>
        <stp>10002322.SH</stp>
        <stp>LastPrice</stp>
        <tr r="AF56" s="1"/>
      </tp>
      <tp>
        <v>0.80730000000000002</v>
        <stp/>
        <stp>10002222.SH</stp>
        <stp>LastPrice</stp>
        <tr r="AF82" s="1"/>
      </tp>
      <tp>
        <v>0.31070000000000003</v>
        <stp/>
        <stp>10002323.SH</stp>
        <stp>LastPrice</stp>
        <tr r="AF57" s="1"/>
      </tp>
      <tp>
        <v>5.8600000000000006E-2</v>
        <stp/>
        <stp>10002324.SH</stp>
        <stp>LastPrice</stp>
        <tr r="AF70" s="1"/>
      </tp>
      <tp>
        <v>8.1100000000000005E-2</v>
        <stp/>
        <stp>10002325.SH</stp>
        <stp>LastPrice</stp>
        <tr r="AF71" s="1"/>
      </tp>
      <tp>
        <v>0.1106</v>
        <stp/>
        <stp>10002326.SH</stp>
        <stp>LastPrice</stp>
        <tr r="AF72" s="1"/>
      </tp>
      <tp>
        <v>0.5141</v>
        <stp/>
        <stp>10002327.SH</stp>
        <stp>LastPrice</stp>
        <tr r="AF86" s="1"/>
      </tp>
      <tp>
        <v>0.45700000000000002</v>
        <stp/>
        <stp>10002328.SH</stp>
        <stp>LastPrice</stp>
        <tr r="AF87" s="1"/>
      </tp>
      <tp>
        <v>0.38600000000000001</v>
        <stp/>
        <stp>10002329.SH</stp>
        <stp>LastPrice</stp>
        <tr r="AF88" s="1"/>
      </tp>
      <tp>
        <v>1.5000000000000001E-2</v>
        <stp/>
        <stp>10002229.SH</stp>
        <stp>LastPrice</stp>
        <tr r="AF68" s="1"/>
      </tp>
      <tp>
        <v>3770</v>
        <stp/>
        <stp>10002457.SH</stp>
        <stp>Volume</stp>
        <tr r="AG42" s="1"/>
      </tp>
      <tp>
        <v>184</v>
        <stp/>
        <stp>10002467.SH</stp>
        <stp>Volume</stp>
        <tr r="AG52" s="1"/>
      </tp>
      <tp>
        <v>1583</v>
        <stp/>
        <stp>10002357.SH</stp>
        <stp>Volume</stp>
        <tr r="AG17" s="1"/>
      </tp>
      <tp>
        <v>129</v>
        <stp/>
        <stp>10002367.SH</stp>
        <stp>Volume</stp>
        <tr r="AG33" s="1"/>
      </tp>
      <tp>
        <v>51</v>
        <stp/>
        <stp>10002327.SH</stp>
        <stp>Volume</stp>
        <tr r="AG86" s="1"/>
      </tp>
      <tp>
        <v>2</v>
        <stp/>
        <stp>10002187.SH</stp>
        <stp>Volume</stp>
        <tr r="AG80" s="1"/>
      </tp>
      <tp>
        <v>1926</v>
        <stp/>
        <stp>10002177.SH</stp>
        <stp>Volume</stp>
        <tr r="AG64" s="1"/>
      </tp>
      <tp>
        <v>0.50360000000000005</v>
        <stp/>
        <stp>10002411.SH</stp>
        <stp>LastPrice</stp>
        <tr r="AF6" s="1"/>
      </tp>
      <tp>
        <v>6.9000000000000008E-3</v>
        <stp/>
        <stp>10002412.SH</stp>
        <stp>LastPrice</stp>
        <tr r="AF21" s="1"/>
      </tp>
      <tp>
        <v>0.54930000000000001</v>
        <stp/>
        <stp>10002413.SH</stp>
        <stp>LastPrice</stp>
        <tr r="AF54" s="1"/>
      </tp>
      <tp>
        <v>4.2000000000000003E-2</v>
        <stp/>
        <stp>10002414.SH</stp>
        <stp>LastPrice</stp>
        <tr r="AF69" s="1"/>
      </tp>
      <tp>
        <v>0.59689999999999999</v>
        <stp/>
        <stp>10002415.SH</stp>
        <stp>LastPrice</stp>
        <tr r="AF85" s="1"/>
      </tp>
      <tp>
        <v>4070</v>
        <stp/>
        <stp>10002456.SH</stp>
        <stp>Volume</stp>
        <tr r="AG41" s="1"/>
      </tp>
      <tp>
        <v>757</v>
        <stp/>
        <stp>10002466.SH</stp>
        <stp>Volume</stp>
        <tr r="AG51" s="1"/>
      </tp>
      <tp>
        <v>6854</v>
        <stp/>
        <stp>10002356.SH</stp>
        <stp>Volume</stp>
        <tr r="AG16" s="1"/>
      </tp>
      <tp>
        <v>53422</v>
        <stp/>
        <stp>10002376.SH</stp>
        <stp>Volume</stp>
        <tr r="AG25" s="1"/>
      </tp>
      <tp>
        <v>188</v>
        <stp/>
        <stp>10002366.SH</stp>
        <stp>Volume</stp>
        <tr r="AG32" s="1"/>
      </tp>
      <tp>
        <v>889</v>
        <stp/>
        <stp>10002326.SH</stp>
        <stp>Volume</stp>
        <tr r="AG72" s="1"/>
      </tp>
      <tp>
        <v>7</v>
        <stp/>
        <stp>10002186.SH</stp>
        <stp>Volume</stp>
        <tr r="AG79" s="1"/>
      </tp>
      <tp>
        <v>1785</v>
        <stp/>
        <stp>10002176.SH</stp>
        <stp>Volume</stp>
        <tr r="AG63" s="1"/>
      </tp>
      <tp>
        <v>215</v>
        <stp/>
        <stp>10002451.SH</stp>
        <stp>Volume</stp>
        <tr r="AG36" s="1"/>
      </tp>
      <tp>
        <v>3835</v>
        <stp/>
        <stp>10002461.SH</stp>
        <stp>Volume</stp>
        <tr r="AG46" s="1"/>
      </tp>
      <tp>
        <v>448</v>
        <stp/>
        <stp>10002411.SH</stp>
        <stp>Volume</stp>
        <tr r="AG6" s="1"/>
      </tp>
      <tp>
        <v>34</v>
        <stp/>
        <stp>10002431.SH</stp>
        <stp>Volume</stp>
        <tr r="AG84" s="1"/>
      </tp>
      <tp>
        <v>284</v>
        <stp/>
        <stp>10002251.SH</stp>
        <stp>Volume</stp>
        <tr r="AG92" s="1"/>
      </tp>
      <tp>
        <v>118</v>
        <stp/>
        <stp>10002271.SH</stp>
        <stp>Volume</stp>
        <tr r="AG89" s="1"/>
      </tp>
      <tp>
        <v>676</v>
        <stp/>
        <stp>10002221.SH</stp>
        <stp>Volume</stp>
        <tr r="AG67" s="1"/>
      </tp>
      <tp>
        <v>12303</v>
        <stp/>
        <stp>10002391.SH</stp>
        <stp>Volume</stp>
        <tr r="AG22" s="1"/>
      </tp>
      <tp>
        <v>1276</v>
        <stp/>
        <stp>10002381.SH</stp>
        <stp>Volume</stp>
        <tr r="AG20" s="1"/>
      </tp>
      <tp>
        <v>80339</v>
        <stp/>
        <stp>10002351.SH</stp>
        <stp>Volume</stp>
        <tr r="AG11" s="1"/>
      </tp>
      <tp>
        <v>26667</v>
        <stp/>
        <stp>10002361.SH</stp>
        <stp>Volume</stp>
        <tr r="AG27" s="1"/>
      </tp>
      <tp>
        <v>103</v>
        <stp/>
        <stp>10002321.SH</stp>
        <stp>Volume</stp>
        <tr r="AG55" s="1"/>
      </tp>
      <tp>
        <v>1250</v>
        <stp/>
        <stp>10002181.SH</stp>
        <stp>Volume</stp>
        <tr r="AG74" s="1"/>
      </tp>
      <tp>
        <v>718</v>
        <stp/>
        <stp>10002171.SH</stp>
        <stp>Volume</stp>
        <tr r="AG58" s="1"/>
      </tp>
      <tp>
        <v>0.32950000000000002</v>
        <stp/>
        <stp>10002271.SH</stp>
        <stp>LastPrice</stp>
        <tr r="AF89" s="1"/>
      </tp>
      <tp>
        <v>0.249</v>
        <stp/>
        <stp>10002171.SH</stp>
        <stp>LastPrice</stp>
        <tr r="AF58" s="1"/>
      </tp>
      <tp>
        <v>0.19600000000000001</v>
        <stp/>
        <stp>10002172.SH</stp>
        <stp>LastPrice</stp>
        <tr r="AF59" s="1"/>
      </tp>
      <tp>
        <v>0.23340000000000002</v>
        <stp/>
        <stp>10002373.SH</stp>
        <stp>LastPrice</stp>
        <tr r="AF9" s="1"/>
      </tp>
      <tp>
        <v>0.152</v>
        <stp/>
        <stp>10002173.SH</stp>
        <stp>LastPrice</stp>
        <tr r="AF60" s="1"/>
      </tp>
      <tp>
        <v>0.159</v>
        <stp/>
        <stp>10002374.SH</stp>
        <stp>LastPrice</stp>
        <tr r="AF10" s="1"/>
      </tp>
      <tp>
        <v>0.1154</v>
        <stp/>
        <stp>10002174.SH</stp>
        <stp>LastPrice</stp>
        <tr r="AF61" s="1"/>
      </tp>
      <tp>
        <v>3.4200000000000001E-2</v>
        <stp/>
        <stp>10002375.SH</stp>
        <stp>LastPrice</stp>
        <tr r="AF24" s="1"/>
      </tp>
      <tp>
        <v>8.77E-2</v>
        <stp/>
        <stp>10002175.SH</stp>
        <stp>LastPrice</stp>
        <tr r="AF62" s="1"/>
      </tp>
      <tp>
        <v>5.8700000000000002E-2</v>
        <stp/>
        <stp>10002376.SH</stp>
        <stp>LastPrice</stp>
        <tr r="AF25" s="1"/>
      </tp>
      <tp>
        <v>6.4899999999999999E-2</v>
        <stp/>
        <stp>10002176.SH</stp>
        <stp>LastPrice</stp>
        <tr r="AF63" s="1"/>
      </tp>
      <tp>
        <v>4.7800000000000002E-2</v>
        <stp/>
        <stp>10002177.SH</stp>
        <stp>LastPrice</stp>
        <tr r="AF64" s="1"/>
      </tp>
      <tp>
        <v>3.5099999999999999E-2</v>
        <stp/>
        <stp>10002178.SH</stp>
        <stp>LastPrice</stp>
        <tr r="AF65" s="1"/>
      </tp>
      <tp>
        <v>2.64E-2</v>
        <stp/>
        <stp>10002179.SH</stp>
        <stp>LastPrice</stp>
        <tr r="AF66" s="1"/>
      </tp>
      <tp>
        <v>4593</v>
        <stp/>
        <stp>10002460.SH</stp>
        <stp>Volume</stp>
        <tr r="AG45" s="1"/>
      </tp>
      <tp>
        <v>394</v>
        <stp/>
        <stp>10002250.SH</stp>
        <stp>Volume</stp>
        <tr r="AG91" s="1"/>
      </tp>
      <tp>
        <v>38</v>
        <stp/>
        <stp>10002230.SH</stp>
        <stp>Volume</stp>
        <tr r="AG83" s="1"/>
      </tp>
      <tp>
        <v>3448</v>
        <stp/>
        <stp>10002390.SH</stp>
        <stp>Volume</stp>
        <tr r="AG8" s="1"/>
      </tp>
      <tp>
        <v>63873</v>
        <stp/>
        <stp>10002360.SH</stp>
        <stp>Volume</stp>
        <tr r="AG26" s="1"/>
      </tp>
      <tp>
        <v>2310</v>
        <stp/>
        <stp>10002180.SH</stp>
        <stp>Volume</stp>
        <tr r="AG73" s="1"/>
      </tp>
      <tp>
        <v>3.8200000000000005E-2</v>
        <stp/>
        <stp>10002460.SH</stp>
        <stp>LastPrice</stp>
        <tr r="AF45" s="1"/>
      </tp>
      <tp>
        <v>9.9400000000000002E-2</v>
        <stp/>
        <stp>10002360.SH</stp>
        <stp>LastPrice</stp>
        <tr r="AF26" s="1"/>
      </tp>
      <tp>
        <v>5.67E-2</v>
        <stp/>
        <stp>10002461.SH</stp>
        <stp>LastPrice</stp>
        <tr r="AF46" s="1"/>
      </tp>
      <tp>
        <v>0.15640000000000001</v>
        <stp/>
        <stp>10002361.SH</stp>
        <stp>LastPrice</stp>
        <tr r="AF27" s="1"/>
      </tp>
      <tp>
        <v>8.3100000000000007E-2</v>
        <stp/>
        <stp>10002462.SH</stp>
        <stp>LastPrice</stp>
        <tr r="AF47" s="1"/>
      </tp>
      <tp>
        <v>0.22990000000000002</v>
        <stp/>
        <stp>10002362.SH</stp>
        <stp>LastPrice</stp>
        <tr r="AF28" s="1"/>
      </tp>
      <tp>
        <v>0.1177</v>
        <stp/>
        <stp>10002463.SH</stp>
        <stp>LastPrice</stp>
        <tr r="AF48" s="1"/>
      </tp>
      <tp>
        <v>0.31280000000000002</v>
        <stp/>
        <stp>10002363.SH</stp>
        <stp>LastPrice</stp>
        <tr r="AF29" s="1"/>
      </tp>
      <tp>
        <v>0.16350000000000001</v>
        <stp/>
        <stp>10002464.SH</stp>
        <stp>LastPrice</stp>
        <tr r="AF49" s="1"/>
      </tp>
      <tp>
        <v>0.40760000000000002</v>
        <stp/>
        <stp>10002364.SH</stp>
        <stp>LastPrice</stp>
        <tr r="AF30" s="1"/>
      </tp>
      <tp>
        <v>0.2177</v>
        <stp/>
        <stp>10002465.SH</stp>
        <stp>LastPrice</stp>
        <tr r="AF50" s="1"/>
      </tp>
      <tp>
        <v>0.50540000000000007</v>
        <stp/>
        <stp>10002365.SH</stp>
        <stp>LastPrice</stp>
        <tr r="AF31" s="1"/>
      </tp>
      <tp>
        <v>0.28360000000000002</v>
        <stp/>
        <stp>10002466.SH</stp>
        <stp>LastPrice</stp>
        <tr r="AF51" s="1"/>
      </tp>
      <tp>
        <v>0.60499999999999998</v>
        <stp/>
        <stp>10002366.SH</stp>
        <stp>LastPrice</stp>
        <tr r="AF32" s="1"/>
      </tp>
      <tp>
        <v>0.36200000000000004</v>
        <stp/>
        <stp>10002467.SH</stp>
        <stp>LastPrice</stp>
        <tr r="AF52" s="1"/>
      </tp>
      <tp>
        <v>0.70279999999999998</v>
        <stp/>
        <stp>10002367.SH</stp>
        <stp>LastPrice</stp>
        <tr r="AF33" s="1"/>
      </tp>
      <tp>
        <v>0.44230000000000003</v>
        <stp/>
        <stp>10002468.SH</stp>
        <stp>LastPrice</stp>
        <tr r="AF53" s="1"/>
      </tp>
      <tp>
        <v>0.80149999999999999</v>
        <stp/>
        <stp>10002368.SH</stp>
        <stp>LastPrice</stp>
        <tr r="AF34" s="1"/>
      </tp>
      <tp>
        <v>741</v>
        <stp/>
        <stp>10002453.SH</stp>
        <stp>Volume</stp>
        <tr r="AG38" s="1"/>
      </tp>
      <tp>
        <v>2992</v>
        <stp/>
        <stp>10002463.SH</stp>
        <stp>Volume</stp>
        <tr r="AG48" s="1"/>
      </tp>
      <tp>
        <v>16</v>
        <stp/>
        <stp>10002413.SH</stp>
        <stp>Volume</stp>
        <tr r="AG54" s="1"/>
      </tp>
      <tp>
        <v>216</v>
        <stp/>
        <stp>10002253.SH</stp>
        <stp>Volume</stp>
        <tr r="AG94" s="1"/>
      </tp>
      <tp>
        <v>52565</v>
        <stp/>
        <stp>10002353.SH</stp>
        <stp>Volume</stp>
        <tr r="AG13" s="1"/>
      </tp>
      <tp>
        <v>8338</v>
        <stp/>
        <stp>10002373.SH</stp>
        <stp>Volume</stp>
        <tr r="AG9" s="1"/>
      </tp>
      <tp>
        <v>4760</v>
        <stp/>
        <stp>10002363.SH</stp>
        <stp>Volume</stp>
        <tr r="AG29" s="1"/>
      </tp>
      <tp>
        <v>358</v>
        <stp/>
        <stp>10002323.SH</stp>
        <stp>Volume</stp>
        <tr r="AG57" s="1"/>
      </tp>
      <tp>
        <v>505</v>
        <stp/>
        <stp>10002183.SH</stp>
        <stp>Volume</stp>
        <tr r="AG76" s="1"/>
      </tp>
      <tp>
        <v>2687</v>
        <stp/>
        <stp>10002173.SH</stp>
        <stp>Volume</stp>
        <tr r="AG60" s="1"/>
      </tp>
      <tp>
        <v>0.2361</v>
        <stp/>
        <stp>10002250.SH</stp>
        <stp>LastPrice</stp>
        <tr r="AF91" s="1"/>
      </tp>
      <tp>
        <v>0.4299</v>
        <stp/>
        <stp>10002451.SH</stp>
        <stp>LastPrice</stp>
        <tr r="AF36" s="1"/>
      </tp>
      <tp>
        <v>9.8600000000000007E-2</v>
        <stp/>
        <stp>10002351.SH</stp>
        <stp>LastPrice</stp>
        <tr r="AF11" s="1"/>
      </tp>
      <tp>
        <v>0.19570000000000001</v>
        <stp/>
        <stp>10002251.SH</stp>
        <stp>LastPrice</stp>
        <tr r="AF92" s="1"/>
      </tp>
      <tp>
        <v>0.35060000000000002</v>
        <stp/>
        <stp>10002452.SH</stp>
        <stp>LastPrice</stp>
        <tr r="AF37" s="1"/>
      </tp>
      <tp>
        <v>5.7600000000000005E-2</v>
        <stp/>
        <stp>10002352.SH</stp>
        <stp>LastPrice</stp>
        <tr r="AF12" s="1"/>
      </tp>
      <tp>
        <v>0.16220000000000001</v>
        <stp/>
        <stp>10002252.SH</stp>
        <stp>LastPrice</stp>
        <tr r="AF93" s="1"/>
      </tp>
      <tp>
        <v>0.27729999999999999</v>
        <stp/>
        <stp>10002453.SH</stp>
        <stp>LastPrice</stp>
        <tr r="AF38" s="1"/>
      </tp>
      <tp>
        <v>3.1100000000000003E-2</v>
        <stp/>
        <stp>10002353.SH</stp>
        <stp>LastPrice</stp>
        <tr r="AF13" s="1"/>
      </tp>
      <tp>
        <v>0.13400000000000001</v>
        <stp/>
        <stp>10002253.SH</stp>
        <stp>LastPrice</stp>
        <tr r="AF94" s="1"/>
      </tp>
      <tp>
        <v>0.2127</v>
        <stp/>
        <stp>10002454.SH</stp>
        <stp>LastPrice</stp>
        <tr r="AF39" s="1"/>
      </tp>
      <tp>
        <v>1.5900000000000001E-2</v>
        <stp/>
        <stp>10002354.SH</stp>
        <stp>LastPrice</stp>
        <tr r="AF14" s="1"/>
      </tp>
      <tp>
        <v>0.1114</v>
        <stp/>
        <stp>10002254.SH</stp>
        <stp>LastPrice</stp>
        <tr r="AF95" s="1"/>
      </tp>
      <tp>
        <v>0.15810000000000002</v>
        <stp/>
        <stp>10002455.SH</stp>
        <stp>LastPrice</stp>
        <tr r="AF40" s="1"/>
      </tp>
      <tp>
        <v>8.4000000000000012E-3</v>
        <stp/>
        <stp>10002355.SH</stp>
        <stp>LastPrice</stp>
        <tr r="AF15" s="1"/>
      </tp>
      <tp>
        <v>0.11180000000000001</v>
        <stp/>
        <stp>10002456.SH</stp>
        <stp>LastPrice</stp>
        <tr r="AF41" s="1"/>
      </tp>
      <tp>
        <v>4.7000000000000002E-3</v>
        <stp/>
        <stp>10002356.SH</stp>
        <stp>LastPrice</stp>
        <tr r="AF16" s="1"/>
      </tp>
      <tp>
        <v>8.0399999999999999E-2</v>
        <stp/>
        <stp>10002457.SH</stp>
        <stp>LastPrice</stp>
        <tr r="AF42" s="1"/>
      </tp>
      <tp>
        <v>2.5000000000000001E-3</v>
        <stp/>
        <stp>10002357.SH</stp>
        <stp>LastPrice</stp>
        <tr r="AF17" s="1"/>
      </tp>
      <tp>
        <v>5.5200000000000006E-2</v>
        <stp/>
        <stp>10002458.SH</stp>
        <stp>LastPrice</stp>
        <tr r="AF43" s="1"/>
      </tp>
      <tp>
        <v>1.8000000000000002E-3</v>
        <stp/>
        <stp>10002358.SH</stp>
        <stp>LastPrice</stp>
        <tr r="AF18" s="1"/>
      </tp>
      <tp>
        <v>3.6700000000000003E-2</v>
        <stp/>
        <stp>10002459.SH</stp>
        <stp>LastPrice</stp>
        <tr r="AF44" s="1"/>
      </tp>
      <tp>
        <v>1.5E-3</v>
        <stp/>
        <stp>10002359.SH</stp>
        <stp>LastPrice</stp>
        <tr r="AF19" s="1"/>
      </tp>
      <tp>
        <v>195</v>
        <stp/>
        <stp>10002452.SH</stp>
        <stp>Volume</stp>
        <tr r="AG37" s="1"/>
      </tp>
      <tp>
        <v>4084</v>
        <stp/>
        <stp>10002462.SH</stp>
        <stp>Volume</stp>
        <tr r="AG47" s="1"/>
      </tp>
      <tp>
        <v>10902</v>
        <stp/>
        <stp>10002412.SH</stp>
        <stp>Volume</stp>
        <tr r="AG21" s="1"/>
      </tp>
      <tp>
        <v>437</v>
        <stp/>
        <stp>10002252.SH</stp>
        <stp>Volume</stp>
        <tr r="AG93" s="1"/>
      </tp>
      <tp>
        <v>10</v>
        <stp/>
        <stp>10002222.SH</stp>
        <stp>Volume</stp>
        <tr r="AG82" s="1"/>
      </tp>
      <tp>
        <v>24165</v>
        <stp/>
        <stp>10002392.SH</stp>
        <stp>Volume</stp>
        <tr r="AG23" s="1"/>
      </tp>
      <tp>
        <v>306</v>
        <stp/>
        <stp>10002382.SH</stp>
        <stp>Volume</stp>
        <tr r="AG35" s="1"/>
      </tp>
      <tp>
        <v>66936</v>
        <stp/>
        <stp>10002352.SH</stp>
        <stp>Volume</stp>
        <tr r="AG12" s="1"/>
      </tp>
      <tp>
        <v>11443</v>
        <stp/>
        <stp>10002362.SH</stp>
        <stp>Volume</stp>
        <tr r="AG28" s="1"/>
      </tp>
      <tp>
        <v>146</v>
        <stp/>
        <stp>10002322.SH</stp>
        <stp>Volume</stp>
        <tr r="AG56" s="1"/>
      </tp>
      <tp>
        <v>762</v>
        <stp/>
        <stp>10002182.SH</stp>
        <stp>Volume</stp>
        <tr r="AG75" s="1"/>
      </tp>
      <tp>
        <v>1455</v>
        <stp/>
        <stp>10002172.SH</stp>
        <stp>Volume</stp>
        <tr r="AG59" s="1"/>
      </tp>
      <tp>
        <v>0.28350000000000003</v>
        <stp/>
        <stp>10002249.SH</stp>
        <stp>LastPrice</stp>
        <tr r="AF90" s="1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9" Type="http://schemas.openxmlformats.org/officeDocument/2006/relationships/volatileDependencies" Target="volatileDependenci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19049</xdr:colOff>
      <xdr:row>36</xdr:row>
      <xdr:rowOff>80728</xdr:rowOff>
    </xdr:to>
    <xdr:pic>
      <xdr:nvPicPr>
        <xdr:cNvPr id="2" name="图片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943849" cy="666440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Wind/Wind.NET.Client/WindNET/DataBrowse/XLA/WindFunc.xl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definedNames>
      <definedName name="f_nav_iopv"/>
      <definedName name="s_dq_preclose"/>
      <definedName name="s_dq_presettle"/>
      <definedName name="s_dq_volume"/>
      <definedName name="td"/>
      <definedName name="w_info_callput"/>
      <definedName name="w_info_lasttradingdate"/>
      <definedName name="w_info_strikeprice"/>
      <definedName name="w_info_strikeratio"/>
    </defined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CL287"/>
  <sheetViews>
    <sheetView tabSelected="1" zoomScale="70" zoomScaleNormal="70" workbookViewId="0">
      <pane xSplit="5" ySplit="5" topLeftCell="AQ6" activePane="bottomRight" state="frozen"/>
      <selection pane="topRight" activeCell="E1" sqref="E1"/>
      <selection pane="bottomLeft" activeCell="A7" sqref="A7"/>
      <selection pane="bottomRight" activeCell="BU39" sqref="BU39"/>
    </sheetView>
  </sheetViews>
  <sheetFormatPr defaultRowHeight="14.4"/>
  <cols>
    <col min="1" max="1" width="2" style="49" customWidth="1"/>
    <col min="2" max="2" width="14.44140625" customWidth="1"/>
    <col min="3" max="3" width="1.77734375" customWidth="1"/>
    <col min="4" max="4" width="5.21875" style="125" customWidth="1"/>
    <col min="5" max="5" width="6.77734375" style="18" customWidth="1"/>
    <col min="6" max="6" width="6.77734375" style="4" customWidth="1"/>
    <col min="7" max="7" width="7.33203125" style="3" customWidth="1"/>
    <col min="8" max="8" width="6.77734375" style="4" customWidth="1"/>
    <col min="9" max="9" width="5.21875" style="3" customWidth="1"/>
    <col min="10" max="10" width="6.77734375" style="4" customWidth="1"/>
    <col min="11" max="11" width="6" style="19" customWidth="1"/>
    <col min="12" max="12" width="6.77734375" style="4" customWidth="1"/>
    <col min="13" max="13" width="6.77734375" style="6" customWidth="1"/>
    <col min="14" max="14" width="6.77734375" hidden="1" customWidth="1"/>
    <col min="15" max="15" width="7.21875" style="4" hidden="1" customWidth="1"/>
    <col min="16" max="16" width="7.21875" hidden="1" customWidth="1"/>
    <col min="17" max="17" width="8.109375" style="6" customWidth="1"/>
    <col min="18" max="18" width="6.77734375" style="11" customWidth="1"/>
    <col min="19" max="19" width="5.44140625" style="55" customWidth="1"/>
    <col min="20" max="20" width="5" style="55" customWidth="1"/>
    <col min="21" max="27" width="7.33203125" hidden="1" customWidth="1"/>
    <col min="28" max="28" width="11.44140625" style="85" customWidth="1"/>
    <col min="29" max="29" width="1.77734375" customWidth="1"/>
    <col min="30" max="30" width="6.88671875" style="32" customWidth="1"/>
    <col min="31" max="31" width="6.88671875" style="18" customWidth="1"/>
    <col min="32" max="32" width="6.77734375" style="4" customWidth="1"/>
    <col min="33" max="33" width="7.88671875" style="3" customWidth="1"/>
    <col min="34" max="34" width="6.77734375" style="4" customWidth="1"/>
    <col min="35" max="35" width="5.5546875" style="3" customWidth="1"/>
    <col min="36" max="36" width="6.77734375" style="4" customWidth="1"/>
    <col min="37" max="37" width="5.109375" style="19" customWidth="1"/>
    <col min="38" max="38" width="6.77734375" style="4" customWidth="1"/>
    <col min="39" max="39" width="6.77734375" style="6" customWidth="1"/>
    <col min="40" max="40" width="7.21875" hidden="1" customWidth="1"/>
    <col min="41" max="41" width="7.88671875" style="4" hidden="1" customWidth="1"/>
    <col min="42" max="42" width="6.77734375" hidden="1" customWidth="1"/>
    <col min="43" max="43" width="8" style="6" customWidth="1"/>
    <col min="44" max="44" width="8.44140625" style="11" customWidth="1"/>
    <col min="45" max="45" width="6.77734375" style="11" customWidth="1"/>
    <col min="46" max="46" width="7.44140625" style="11" customWidth="1"/>
    <col min="47" max="47" width="0.77734375" style="81" customWidth="1"/>
    <col min="48" max="48" width="6.5546875" style="49" customWidth="1"/>
    <col min="49" max="49" width="3.44140625" hidden="1" customWidth="1"/>
    <col min="50" max="50" width="3.44140625" style="16" hidden="1" customWidth="1"/>
    <col min="51" max="52" width="3.44140625" style="9" hidden="1" customWidth="1"/>
    <col min="53" max="55" width="7.109375" style="6" customWidth="1"/>
    <col min="56" max="56" width="7.109375" style="12" customWidth="1"/>
    <col min="57" max="59" width="8" customWidth="1"/>
    <col min="60" max="60" width="8" style="11" customWidth="1"/>
    <col min="61" max="62" width="8.44140625" customWidth="1"/>
    <col min="63" max="63" width="8.77734375" customWidth="1"/>
    <col min="64" max="64" width="8" style="55" customWidth="1"/>
    <col min="65" max="65" width="0.77734375" style="81" customWidth="1"/>
    <col min="66" max="68" width="7.109375" style="6" customWidth="1"/>
    <col min="69" max="69" width="7.109375" style="12" customWidth="1"/>
    <col min="70" max="72" width="7.77734375" customWidth="1"/>
    <col min="73" max="73" width="7.77734375" style="11" customWidth="1"/>
    <col min="74" max="74" width="8.33203125" customWidth="1"/>
    <col min="75" max="75" width="9.5546875" customWidth="1"/>
    <col min="76" max="76" width="8.33203125" customWidth="1"/>
    <col min="77" max="77" width="8.33203125" style="11" customWidth="1"/>
    <col min="80" max="80" width="17.44140625" customWidth="1"/>
    <col min="81" max="81" width="8" customWidth="1"/>
    <col min="82" max="82" width="12.6640625" customWidth="1"/>
    <col min="84" max="84" width="5.6640625" customWidth="1"/>
    <col min="85" max="85" width="11.44140625" customWidth="1"/>
    <col min="86" max="87" width="17.44140625" customWidth="1"/>
    <col min="89" max="89" width="13.88671875" customWidth="1"/>
  </cols>
  <sheetData>
    <row r="1" spans="1:90" s="26" customFormat="1" ht="32.4" customHeight="1">
      <c r="A1" s="52" t="s">
        <v>248</v>
      </c>
      <c r="B1" s="110" t="s">
        <v>243</v>
      </c>
      <c r="C1" s="91"/>
      <c r="D1" s="92"/>
      <c r="E1" s="93"/>
      <c r="F1" s="94" t="s">
        <v>14</v>
      </c>
      <c r="G1" s="96" t="s">
        <v>255</v>
      </c>
      <c r="H1" s="96" t="s">
        <v>33</v>
      </c>
      <c r="I1" s="96" t="s">
        <v>250</v>
      </c>
      <c r="J1" s="96" t="s">
        <v>13</v>
      </c>
      <c r="K1" s="95"/>
      <c r="L1" s="97" t="s">
        <v>4</v>
      </c>
      <c r="M1" s="91"/>
      <c r="N1" s="91"/>
      <c r="O1" s="91" t="s">
        <v>6</v>
      </c>
      <c r="P1" s="98" t="s">
        <v>7</v>
      </c>
      <c r="Q1" s="96" t="s">
        <v>251</v>
      </c>
      <c r="R1" s="99"/>
      <c r="S1" s="91"/>
      <c r="T1" s="91"/>
      <c r="U1" s="72"/>
      <c r="V1" s="72"/>
      <c r="W1" s="72"/>
      <c r="X1" s="72"/>
      <c r="Y1" s="72"/>
      <c r="Z1" s="72"/>
      <c r="AA1" s="72"/>
      <c r="AB1" s="111" t="s">
        <v>244</v>
      </c>
      <c r="AC1" s="100"/>
      <c r="AD1" s="101"/>
      <c r="AE1" s="102"/>
      <c r="AF1" s="103" t="s">
        <v>14</v>
      </c>
      <c r="AG1" s="119" t="s">
        <v>255</v>
      </c>
      <c r="AH1" s="105" t="s">
        <v>33</v>
      </c>
      <c r="AI1" s="105" t="s">
        <v>249</v>
      </c>
      <c r="AJ1" s="105" t="s">
        <v>13</v>
      </c>
      <c r="AK1" s="104"/>
      <c r="AL1" s="106" t="s">
        <v>4</v>
      </c>
      <c r="AM1" s="100"/>
      <c r="AN1" s="100"/>
      <c r="AO1" s="105" t="s">
        <v>11</v>
      </c>
      <c r="AP1" s="105" t="s">
        <v>10</v>
      </c>
      <c r="AQ1" s="105" t="s">
        <v>251</v>
      </c>
      <c r="AR1" s="107"/>
      <c r="AS1" s="135"/>
      <c r="AT1" s="107"/>
      <c r="AU1" s="80"/>
      <c r="AV1" s="106" t="s">
        <v>406</v>
      </c>
      <c r="AX1" s="27"/>
      <c r="AY1" s="28"/>
      <c r="AZ1" s="28"/>
      <c r="BA1" s="157" t="s">
        <v>36</v>
      </c>
      <c r="BB1" s="158"/>
      <c r="BC1" s="158"/>
      <c r="BD1" s="158"/>
      <c r="BE1" s="158"/>
      <c r="BF1" s="158"/>
      <c r="BG1" s="158"/>
      <c r="BH1" s="158"/>
      <c r="BI1" s="158"/>
      <c r="BJ1" s="158"/>
      <c r="BK1" s="158"/>
      <c r="BL1" s="159"/>
      <c r="BM1" s="80"/>
      <c r="BN1" s="148" t="s">
        <v>35</v>
      </c>
      <c r="BO1" s="149"/>
      <c r="BP1" s="149"/>
      <c r="BQ1" s="149"/>
      <c r="BR1" s="149"/>
      <c r="BS1" s="149"/>
      <c r="BT1" s="149"/>
      <c r="BU1" s="149"/>
      <c r="BV1" s="149"/>
      <c r="BW1" s="149"/>
      <c r="BX1" s="149"/>
      <c r="BY1" s="150"/>
    </row>
    <row r="2" spans="1:90">
      <c r="A2" s="50"/>
      <c r="B2" t="s">
        <v>1</v>
      </c>
      <c r="C2" s="109"/>
      <c r="E2" s="2">
        <f>F2/G2-1</f>
        <v>-2.7339451015254701E-3</v>
      </c>
      <c r="F2" s="5">
        <f>RTD("wdf.rtq",,B2,"LastPrice")</f>
        <v>3724.32</v>
      </c>
      <c r="G2" s="4">
        <f>RTD("wdf.rtq",,B2,"PreClose")</f>
        <v>3734.53</v>
      </c>
      <c r="H2" s="6">
        <v>100</v>
      </c>
      <c r="I2" s="3">
        <v>1</v>
      </c>
      <c r="J2" s="5">
        <v>16.5</v>
      </c>
      <c r="K2" s="53"/>
      <c r="L2" s="5">
        <f>[1]!s_dq_preclose(B2,"",1)</f>
        <v>3734.5306</v>
      </c>
      <c r="M2"/>
      <c r="O2" s="1">
        <v>0.1</v>
      </c>
      <c r="P2" s="5">
        <v>0.5</v>
      </c>
      <c r="Q2" s="30">
        <v>1</v>
      </c>
      <c r="R2" s="136">
        <f ca="1">IF(NOW()-TODAY()&lt;17/24,[1]!td(TODAY()-1),[1]!td(TODAY()))+0</f>
        <v>43923</v>
      </c>
      <c r="S2" s="108"/>
      <c r="T2" s="108"/>
      <c r="AB2" s="85" t="s">
        <v>408</v>
      </c>
      <c r="AD2" s="121">
        <f ca="1">AG2/G2*1000-1</f>
        <v>-3.6229458593183272E-3</v>
      </c>
      <c r="AE2" s="2">
        <f ca="1">AF2/AG2-1</f>
        <v>-2.6874496103197476E-3</v>
      </c>
      <c r="AF2" s="7">
        <f>RTD("wdf.rtq",,AB2,"LastPrice")</f>
        <v>3.7110000000000003</v>
      </c>
      <c r="AG2" s="3">
        <f ca="1">IF(NOW()-TODAY()&gt;1.5/24,[1]!f_nav_iopv(AB2,[1]!td(TODAY()-1)),[1]!f_nav_iopv(AB2,[1]!td(TODAY()-2)))</f>
        <v>3.7210000000000001</v>
      </c>
      <c r="AH2" s="6">
        <v>10000</v>
      </c>
      <c r="AI2" s="3">
        <v>10</v>
      </c>
      <c r="AJ2" s="5">
        <v>2.2999999999999998</v>
      </c>
      <c r="AK2" s="53"/>
      <c r="AL2" s="7">
        <f>[1]!s_dq_preclose(AB2,"",1)</f>
        <v>3.7229999999999999</v>
      </c>
      <c r="AM2"/>
      <c r="AO2" s="1">
        <v>0.12</v>
      </c>
      <c r="AP2" s="1">
        <v>7.0000000000000007E-2</v>
      </c>
      <c r="AQ2" s="30">
        <v>1.2</v>
      </c>
      <c r="AR2" s="136">
        <f ca="1">R2</f>
        <v>43923</v>
      </c>
      <c r="AS2" s="108"/>
      <c r="AT2" s="108"/>
      <c r="AV2" s="132" t="s">
        <v>407</v>
      </c>
      <c r="BA2" s="6">
        <v>2</v>
      </c>
      <c r="BB2" s="3">
        <v>0.2</v>
      </c>
      <c r="BC2" s="3">
        <f>BA2*BB2</f>
        <v>0.4</v>
      </c>
      <c r="BD2" s="12" t="s">
        <v>16</v>
      </c>
      <c r="BN2" s="6">
        <v>2</v>
      </c>
      <c r="BO2" s="3">
        <v>0.2</v>
      </c>
      <c r="BP2" s="3">
        <f>BN2*BO2</f>
        <v>0.4</v>
      </c>
      <c r="BQ2" s="12" t="s">
        <v>16</v>
      </c>
    </row>
    <row r="3" spans="1:90">
      <c r="A3" s="88"/>
      <c r="D3" s="32"/>
      <c r="G3" s="22">
        <f>SUM(G6:G911)</f>
        <v>11390</v>
      </c>
      <c r="H3" s="6">
        <f>[1]!w_info_strikeratio(#REF!,"")</f>
        <v>0</v>
      </c>
      <c r="I3" s="22">
        <f>SUM(I6:I911)</f>
        <v>186</v>
      </c>
      <c r="J3" s="5"/>
      <c r="K3" s="22">
        <f>SUM(K6:K911)</f>
        <v>114</v>
      </c>
      <c r="O3"/>
      <c r="P3" s="6"/>
      <c r="R3" s="22">
        <f ca="1">SUM(R6:R911)</f>
        <v>25427</v>
      </c>
      <c r="S3" s="22"/>
      <c r="T3" s="22"/>
      <c r="U3" s="22"/>
      <c r="V3" s="22"/>
      <c r="W3" s="22"/>
      <c r="X3" s="22"/>
      <c r="Y3" s="22"/>
      <c r="Z3" s="22"/>
      <c r="AA3" s="22"/>
      <c r="AB3" s="120">
        <f ca="1">AF3/AF2-1</f>
        <v>-4.6620782208739442E-5</v>
      </c>
      <c r="AD3" s="2">
        <f ca="1">AF3/F2*1000-1</f>
        <v>-3.6229458593183272E-3</v>
      </c>
      <c r="AE3" s="18" t="s">
        <v>327</v>
      </c>
      <c r="AF3" s="7">
        <f ca="1">IF(NOW()-TODAY()&gt;17/24,[1]!f_nav_iopv(AB2,[1]!td(TODAY())),AG2*(1+E2))</f>
        <v>3.7108269902772237</v>
      </c>
      <c r="AG3" s="22">
        <f>SUM(AG6:AG911)/$AI$2</f>
        <v>62163.6</v>
      </c>
      <c r="AH3" s="6">
        <f>[1]!w_info_strikeratio(#REF!,"")</f>
        <v>0</v>
      </c>
      <c r="AI3" s="22">
        <f>SUM(AI6:AI911)/$AI$2</f>
        <v>135</v>
      </c>
      <c r="AJ3" s="54">
        <v>1.3</v>
      </c>
      <c r="AK3" s="22">
        <f>SUM(AK6:AK911)/$AI$2</f>
        <v>83</v>
      </c>
      <c r="AL3" s="7"/>
      <c r="AM3" s="1"/>
      <c r="AN3" s="1"/>
      <c r="AO3"/>
      <c r="AP3" s="6"/>
      <c r="AQ3" s="112">
        <v>1</v>
      </c>
      <c r="AR3" s="16">
        <f ca="1">SUM(AR6:AR911)</f>
        <v>140548.60000000003</v>
      </c>
      <c r="AS3" s="16"/>
      <c r="AT3" s="16"/>
      <c r="AV3" s="134">
        <v>1</v>
      </c>
      <c r="BA3" s="6">
        <v>2</v>
      </c>
      <c r="BB3" s="15">
        <v>1E-4</v>
      </c>
      <c r="BC3" s="15">
        <f>BA3*BB3</f>
        <v>2.0000000000000001E-4</v>
      </c>
      <c r="BD3" s="12" t="s">
        <v>16</v>
      </c>
      <c r="BE3" s="23">
        <f t="shared" ref="BE3:BL3" ca="1" si="0">AVERAGE(BE6:BE911)</f>
        <v>-1.6002084549464869E-2</v>
      </c>
      <c r="BF3" s="23">
        <f t="shared" ca="1" si="0"/>
        <v>-0.11451657761396487</v>
      </c>
      <c r="BG3" s="23">
        <f t="shared" ca="1" si="0"/>
        <v>3.9001224353637329E-2</v>
      </c>
      <c r="BH3" s="24">
        <f t="shared" ca="1" si="0"/>
        <v>3.9981605166341264E-2</v>
      </c>
      <c r="BI3" s="23">
        <f t="shared" ca="1" si="0"/>
        <v>-0.11202415187405579</v>
      </c>
      <c r="BJ3" s="23">
        <f t="shared" ca="1" si="0"/>
        <v>-0.70342117775998281</v>
      </c>
      <c r="BK3" s="23">
        <f t="shared" ca="1" si="0"/>
        <v>0.17419567247161247</v>
      </c>
      <c r="BL3" s="24">
        <f t="shared" ca="1" si="0"/>
        <v>0.18510463937594876</v>
      </c>
      <c r="BN3" s="6">
        <v>2</v>
      </c>
      <c r="BO3" s="15">
        <v>1E-4</v>
      </c>
      <c r="BP3" s="15">
        <f>BN3*BO3</f>
        <v>2.0000000000000001E-4</v>
      </c>
      <c r="BQ3" s="12" t="s">
        <v>16</v>
      </c>
      <c r="BR3" s="23">
        <f t="shared" ref="BR3:BY3" ca="1" si="1">AVERAGE(BR6:BR911)</f>
        <v>2.0725608623111237E-3</v>
      </c>
      <c r="BS3" s="23">
        <f t="shared" ca="1" si="1"/>
        <v>-4.6111709723829622E-2</v>
      </c>
      <c r="BT3" s="23">
        <f t="shared" ca="1" si="1"/>
        <v>0.13202707538647615</v>
      </c>
      <c r="BU3" s="24">
        <f t="shared" ca="1" si="1"/>
        <v>0.1455540994021306</v>
      </c>
      <c r="BV3" s="23">
        <f t="shared" ca="1" si="1"/>
        <v>-9.9482605682004788E-2</v>
      </c>
      <c r="BW3" s="23">
        <f t="shared" ca="1" si="1"/>
        <v>-0.39045585654362708</v>
      </c>
      <c r="BX3" s="23">
        <f t="shared" ca="1" si="1"/>
        <v>0.69306086340768069</v>
      </c>
      <c r="BY3" s="24">
        <f t="shared" ca="1" si="1"/>
        <v>0.91964968914696765</v>
      </c>
    </row>
    <row r="4" spans="1:90" s="67" customFormat="1">
      <c r="A4" s="87"/>
      <c r="B4" s="151" t="s">
        <v>243</v>
      </c>
      <c r="C4" s="152"/>
      <c r="D4" s="152"/>
      <c r="E4" s="152"/>
      <c r="F4" s="152"/>
      <c r="G4" s="152"/>
      <c r="H4" s="152"/>
      <c r="I4" s="152"/>
      <c r="J4" s="152"/>
      <c r="K4" s="152"/>
      <c r="L4" s="152"/>
      <c r="M4" s="152"/>
      <c r="N4" s="152"/>
      <c r="O4" s="152"/>
      <c r="P4" s="152"/>
      <c r="Q4" s="152"/>
      <c r="R4" s="153"/>
      <c r="S4" s="117"/>
      <c r="T4" s="117"/>
      <c r="U4" s="20"/>
      <c r="V4" s="20"/>
      <c r="W4" s="20"/>
      <c r="X4" s="20"/>
      <c r="Y4" s="20"/>
      <c r="Z4" s="20"/>
      <c r="AA4" s="20"/>
      <c r="AB4" s="154" t="s">
        <v>244</v>
      </c>
      <c r="AC4" s="155"/>
      <c r="AD4" s="155"/>
      <c r="AE4" s="155"/>
      <c r="AF4" s="155"/>
      <c r="AG4" s="155"/>
      <c r="AH4" s="155"/>
      <c r="AI4" s="155"/>
      <c r="AJ4" s="155"/>
      <c r="AK4" s="155"/>
      <c r="AL4" s="155"/>
      <c r="AM4" s="155"/>
      <c r="AN4" s="155"/>
      <c r="AO4" s="155"/>
      <c r="AP4" s="155"/>
      <c r="AQ4" s="155"/>
      <c r="AR4" s="156"/>
      <c r="AS4" s="118"/>
      <c r="AT4" s="118"/>
      <c r="AU4" s="82"/>
      <c r="AV4" s="133"/>
      <c r="AX4" s="33"/>
      <c r="AY4" s="21"/>
      <c r="AZ4" s="21"/>
      <c r="BA4" s="145" t="s">
        <v>26</v>
      </c>
      <c r="BB4" s="145"/>
      <c r="BC4" s="145"/>
      <c r="BD4" s="146"/>
      <c r="BE4" s="147" t="s">
        <v>245</v>
      </c>
      <c r="BF4" s="145"/>
      <c r="BG4" s="145"/>
      <c r="BH4" s="146"/>
      <c r="BI4" s="147" t="s">
        <v>15</v>
      </c>
      <c r="BJ4" s="145"/>
      <c r="BK4" s="145"/>
      <c r="BL4" s="145"/>
      <c r="BM4" s="82"/>
      <c r="BN4" s="143" t="s">
        <v>246</v>
      </c>
      <c r="BO4" s="143"/>
      <c r="BP4" s="143"/>
      <c r="BQ4" s="144"/>
      <c r="BR4" s="142" t="s">
        <v>245</v>
      </c>
      <c r="BS4" s="143"/>
      <c r="BT4" s="143"/>
      <c r="BU4" s="144"/>
      <c r="BV4" s="142" t="s">
        <v>15</v>
      </c>
      <c r="BW4" s="143"/>
      <c r="BX4" s="143"/>
      <c r="BY4" s="144"/>
      <c r="CD4" s="68" t="s">
        <v>0</v>
      </c>
      <c r="CE4" s="69" t="str">
        <f>IF([1]!w_info_callput(CD4)="认购","C","P")</f>
        <v>C</v>
      </c>
      <c r="CF4" s="70">
        <f>[1]!w_info_strikeprice(CD4,"")</f>
        <v>3.6</v>
      </c>
      <c r="CG4" s="71" t="str">
        <f>[1]!w_info_lasttradingdate(CD4)</f>
        <v>2020-02-26</v>
      </c>
      <c r="CH4" s="67" t="str">
        <f>"IO20"&amp;MID(CG4,6,2)&amp;"-"&amp;CE4&amp;"-"&amp;CF4*1000&amp;".CFE"</f>
        <v>IO2002-C-3600.CFE</v>
      </c>
      <c r="CI4" s="67" t="e">
        <f>VLOOKUP(CH4,CB:CB,1,0)</f>
        <v>#N/A</v>
      </c>
    </row>
    <row r="5" spans="1:90" s="25" customFormat="1" ht="52.2" customHeight="1">
      <c r="A5" s="57" t="s">
        <v>247</v>
      </c>
      <c r="B5" s="58" t="s">
        <v>31</v>
      </c>
      <c r="C5" s="89" t="s">
        <v>34</v>
      </c>
      <c r="D5" s="90" t="s">
        <v>2</v>
      </c>
      <c r="E5" s="60" t="s">
        <v>12</v>
      </c>
      <c r="F5" s="58" t="s">
        <v>17</v>
      </c>
      <c r="G5" s="61" t="s">
        <v>18</v>
      </c>
      <c r="H5" s="58" t="s">
        <v>19</v>
      </c>
      <c r="I5" s="61" t="s">
        <v>20</v>
      </c>
      <c r="J5" s="58" t="s">
        <v>21</v>
      </c>
      <c r="K5" s="61" t="s">
        <v>22</v>
      </c>
      <c r="L5" s="62" t="s">
        <v>3</v>
      </c>
      <c r="M5" s="63" t="s">
        <v>9</v>
      </c>
      <c r="N5" s="58" t="s">
        <v>23</v>
      </c>
      <c r="O5" s="62" t="s">
        <v>24</v>
      </c>
      <c r="P5" s="58" t="s">
        <v>25</v>
      </c>
      <c r="Q5" s="63" t="s">
        <v>5</v>
      </c>
      <c r="R5" s="64" t="s">
        <v>8</v>
      </c>
      <c r="S5" s="64" t="s">
        <v>256</v>
      </c>
      <c r="T5" s="64" t="s">
        <v>257</v>
      </c>
      <c r="U5" s="58"/>
      <c r="V5" s="58"/>
      <c r="W5" s="58"/>
      <c r="X5" s="58"/>
      <c r="Y5" s="58"/>
      <c r="Z5" s="58"/>
      <c r="AA5" s="58"/>
      <c r="AB5" s="86" t="s">
        <v>32</v>
      </c>
      <c r="AC5" s="89" t="s">
        <v>34</v>
      </c>
      <c r="AD5" s="59" t="s">
        <v>2</v>
      </c>
      <c r="AE5" s="90" t="s">
        <v>12</v>
      </c>
      <c r="AF5" s="58" t="s">
        <v>17</v>
      </c>
      <c r="AG5" s="61" t="s">
        <v>18</v>
      </c>
      <c r="AH5" s="58" t="s">
        <v>19</v>
      </c>
      <c r="AI5" s="61" t="s">
        <v>20</v>
      </c>
      <c r="AJ5" s="58" t="s">
        <v>21</v>
      </c>
      <c r="AK5" s="61" t="s">
        <v>22</v>
      </c>
      <c r="AL5" s="62" t="s">
        <v>3</v>
      </c>
      <c r="AM5" s="63" t="s">
        <v>9</v>
      </c>
      <c r="AN5" s="58" t="s">
        <v>23</v>
      </c>
      <c r="AO5" s="62" t="s">
        <v>24</v>
      </c>
      <c r="AP5" s="58" t="s">
        <v>25</v>
      </c>
      <c r="AQ5" s="63" t="s">
        <v>5</v>
      </c>
      <c r="AR5" s="64" t="s">
        <v>8</v>
      </c>
      <c r="AS5" s="64" t="s">
        <v>256</v>
      </c>
      <c r="AT5" s="64" t="s">
        <v>257</v>
      </c>
      <c r="AU5" s="83"/>
      <c r="AV5" s="66" t="s">
        <v>258</v>
      </c>
      <c r="AX5" s="65"/>
      <c r="AY5" s="66"/>
      <c r="AZ5" s="66"/>
      <c r="BA5" s="113" t="s">
        <v>253</v>
      </c>
      <c r="BB5" s="113" t="s">
        <v>254</v>
      </c>
      <c r="BC5" s="113" t="str">
        <f>"本方
一档
 + "&amp;BA2&amp;" 跳"</f>
        <v>本方
一档
 + 2 跳</v>
      </c>
      <c r="BD5" s="114" t="s">
        <v>252</v>
      </c>
      <c r="BE5" s="113" t="str">
        <f>BA5</f>
        <v>最新
价</v>
      </c>
      <c r="BF5" s="113" t="str">
        <f>BB5</f>
        <v>对手
盘</v>
      </c>
      <c r="BG5" s="113" t="str">
        <f>BC5</f>
        <v>本方
一档
 + 2 跳</v>
      </c>
      <c r="BH5" s="114" t="str">
        <f>BD5</f>
        <v>本方
一档</v>
      </c>
      <c r="BI5" s="113" t="str">
        <f>BA5</f>
        <v>最新
价</v>
      </c>
      <c r="BJ5" s="113" t="str">
        <f>BB5</f>
        <v>对手
盘</v>
      </c>
      <c r="BK5" s="113" t="str">
        <f>BC5</f>
        <v>本方
一档
 + 2 跳</v>
      </c>
      <c r="BL5" s="115" t="str">
        <f>BD5</f>
        <v>本方
一档</v>
      </c>
      <c r="BM5" s="116"/>
      <c r="BN5" s="113" t="s">
        <v>253</v>
      </c>
      <c r="BO5" s="113" t="s">
        <v>254</v>
      </c>
      <c r="BP5" s="113" t="str">
        <f>"本方
一档
 + "&amp;BN2&amp;" 跳"</f>
        <v>本方
一档
 + 2 跳</v>
      </c>
      <c r="BQ5" s="114" t="s">
        <v>252</v>
      </c>
      <c r="BR5" s="113" t="str">
        <f>BN5</f>
        <v>最新
价</v>
      </c>
      <c r="BS5" s="113" t="str">
        <f>BO5</f>
        <v>对手
盘</v>
      </c>
      <c r="BT5" s="113" t="str">
        <f>BP5</f>
        <v>本方
一档
 + 2 跳</v>
      </c>
      <c r="BU5" s="114" t="str">
        <f>BQ5</f>
        <v>本方
一档</v>
      </c>
      <c r="BV5" s="113" t="str">
        <f>BN5</f>
        <v>最新
价</v>
      </c>
      <c r="BW5" s="113" t="str">
        <f>BO5</f>
        <v>对手
盘</v>
      </c>
      <c r="BX5" s="113" t="str">
        <f>BP5</f>
        <v>本方
一档
 + 2 跳</v>
      </c>
      <c r="BY5" s="114" t="str">
        <f>BQ5</f>
        <v>本方
一档</v>
      </c>
      <c r="CD5" s="25" t="s">
        <v>441</v>
      </c>
      <c r="CE5" s="25" t="s">
        <v>442</v>
      </c>
      <c r="CF5" s="25" t="s">
        <v>443</v>
      </c>
      <c r="CG5" s="25" t="s">
        <v>444</v>
      </c>
      <c r="CH5" s="25" t="s">
        <v>445</v>
      </c>
      <c r="CI5" s="25" t="s">
        <v>446</v>
      </c>
    </row>
    <row r="6" spans="1:90">
      <c r="A6" s="50" t="str">
        <f t="shared" ref="A6:A13" si="2">IF(C6&amp;D6&amp;YEAR(E6)&amp;MONTH(E6)=AC6&amp;AD6*1000&amp;YEAR(AE6)&amp;MONTH(AE6),"T","F")</f>
        <v>T</v>
      </c>
      <c r="B6" t="s">
        <v>328</v>
      </c>
      <c r="C6" s="29" t="str">
        <f t="shared" ref="C6:C53" si="3">IF(MID(B6,8,1)="C","C","P")</f>
        <v>C</v>
      </c>
      <c r="D6" s="125">
        <f>[1]!w_info_strikeprice(B6,"")</f>
        <v>3200</v>
      </c>
      <c r="E6" s="18" t="str">
        <f>[1]!w_info_lasttradingdate(B6)</f>
        <v>2020-04-17</v>
      </c>
      <c r="F6" s="4">
        <f>IF(G6&gt;0,RTD("wdf.rtq",,$B6,F$5),0)</f>
        <v>522.79999999999995</v>
      </c>
      <c r="G6" s="73">
        <f>RTD("wdf.rtq",,$B6,G$5)</f>
        <v>3</v>
      </c>
      <c r="H6" s="4">
        <f>RTD("wdf.rtq",,$B6,H$5)</f>
        <v>0</v>
      </c>
      <c r="I6" s="73">
        <f>RTD("wdf.rtq",,$B6,I$5)</f>
        <v>0</v>
      </c>
      <c r="J6" s="4">
        <f>RTD("wdf.rtq",,$B6,J$5)</f>
        <v>0</v>
      </c>
      <c r="K6" s="73">
        <f>RTD("wdf.rtq",,$B6,K$5)</f>
        <v>0</v>
      </c>
      <c r="L6" s="4">
        <f>[1]!s_dq_presettle(B6,"")</f>
        <v>528.20000000000005</v>
      </c>
      <c r="M6" s="6">
        <f t="shared" ref="M6:M53" si="4">IF(C6="P",MAX($F$2-D6,0),MAX(0,D6-$F$2))</f>
        <v>0</v>
      </c>
      <c r="N6" s="3">
        <f t="shared" ref="N6:N53" si="5">H$2*I$2*F6</f>
        <v>52279.999999999993</v>
      </c>
      <c r="O6" s="6">
        <f t="shared" ref="O6:O53" si="6">($F$2*$O$2-M6)*H$2</f>
        <v>37243.200000000004</v>
      </c>
      <c r="P6" s="3">
        <f t="shared" ref="P6:P53" si="7">$O$2*$P$2*D6*H$2</f>
        <v>16000</v>
      </c>
      <c r="Q6" s="6">
        <f t="shared" ref="Q6:Q18" si="8">I$2*(N6+MAX(O6,P6))*$Q$2+0.01</f>
        <v>89523.209999999992</v>
      </c>
      <c r="R6" s="75">
        <f ca="1">IF(NOW()-TODAY()&gt;15/24, G6, [1]!s_dq_volume(B6,R$2,1))/$I$2</f>
        <v>14</v>
      </c>
      <c r="S6" s="78">
        <f t="shared" ref="S6:S14" si="9">IF(C6="C",MAX($F$2-D6,0),MAX(D6-$F$2,0))</f>
        <v>524.32000000000016</v>
      </c>
      <c r="T6" s="78">
        <f t="shared" ref="T6:T14" si="10">F6-S6</f>
        <v>-1.5200000000002092</v>
      </c>
      <c r="AB6" s="17" t="s">
        <v>400</v>
      </c>
      <c r="AC6" s="29" t="str">
        <f>IF([1]!w_info_callput(AB6)="认购","C","P")</f>
        <v>C</v>
      </c>
      <c r="AD6" s="31">
        <f>[1]!w_info_strikeprice(AB6,"")</f>
        <v>3.2</v>
      </c>
      <c r="AE6" s="18" t="str">
        <f>[1]!w_info_lasttradingdate(AB6)</f>
        <v>2020-04-22</v>
      </c>
      <c r="AF6" s="15">
        <f>RTD("wdf.rtq",,$AB6,F$5)</f>
        <v>0.50360000000000005</v>
      </c>
      <c r="AG6" s="73">
        <f>RTD("wdf.rtq",,$AB6,G$5)</f>
        <v>448</v>
      </c>
      <c r="AH6" s="15">
        <f>RTD("wdf.rtq",,$AB6,H$5)</f>
        <v>0.50209999999999999</v>
      </c>
      <c r="AI6" s="73">
        <f>RTD("wdf.rtq",,$AB6,I$5)</f>
        <v>10</v>
      </c>
      <c r="AJ6" s="15">
        <f>RTD("wdf.rtq",,$AB6,J$5)</f>
        <v>0.52</v>
      </c>
      <c r="AK6" s="77">
        <f>RTD("wdf.rtq",,$AB6,K$5)</f>
        <v>1</v>
      </c>
      <c r="AL6" s="15">
        <f>[1]!s_dq_presettle(AB6,"")</f>
        <v>0.52310000000000001</v>
      </c>
      <c r="AM6" s="15">
        <f t="shared" ref="AM6:AM53" si="11">IF(AC6="P",MAX($AF$2-AD6,0),MAX(0,AD6-$AF$2))</f>
        <v>0</v>
      </c>
      <c r="AN6" s="3">
        <f t="shared" ref="AN6:AN53" si="12">AH$2*AI$2*AF6</f>
        <v>50360.000000000007</v>
      </c>
      <c r="AO6" s="15">
        <f t="shared" ref="AO6:AO14" si="13">$AO$2*$AF$2-AM6</f>
        <v>0.44531999999999999</v>
      </c>
      <c r="AP6" s="14">
        <f t="shared" ref="AP6:AP53" si="14">IF(AC6="C",$AP$2*AF6,$AP$2*AD6)</f>
        <v>3.5252000000000006E-2</v>
      </c>
      <c r="AQ6" s="8">
        <f t="shared" ref="AQ6:AQ17" si="15">AH$2*AI$2*IF(AC6="C", MAX(AO6,AP6)+AF6, MIN(AF6+MAX(AO6,AP6),AD6) )*$AQ$2+0.01</f>
        <v>113870.40999999999</v>
      </c>
      <c r="AR6" s="78">
        <f ca="1">IF(NOW()-TODAY()&gt;15/24, AG6, [1]!s_dq_volume(AB6,AR$2,1))/AI$2</f>
        <v>153.30000000000001</v>
      </c>
      <c r="AS6" s="122">
        <f t="shared" ref="AS6:AS14" si="16">IF(AC6="C",MAX($AF$2-AD6,0),MAX(AD6-$AF$2,0))</f>
        <v>0.51100000000000012</v>
      </c>
      <c r="AT6" s="122">
        <f t="shared" ref="AT6:AT14" si="17">AF6-AS6</f>
        <v>-7.4000000000000732E-3</v>
      </c>
      <c r="AV6" s="49">
        <f t="shared" ref="AV6:AV42" ca="1" si="18">IF(AV$3=1,S6*$H$2*$I$2 - IF(AC6="C",MAX($AF$3-AD6,0),MAX(AD6-$AF$3,0))*$AH$2*$AI$2, AV$3*SIGN(S6*$H$2*$I$2 - IF(AC6="C",MAX($AF$3-AD6,0),MAX(AD6-$AF$3,0))*$AH$2*$AI$2))</f>
        <v>1349.3009722776624</v>
      </c>
      <c r="AY6" s="10"/>
      <c r="AZ6" s="10"/>
      <c r="BA6" s="6">
        <f t="shared" ref="BA6:BA13" ca="1" si="19">IF(AND(F6&gt;0,AF6&gt;0),(H$2*I$2*F6-AH$2*AI$2*AF6)-2*$I$2*$J$2-2*$AI$2*$AJ$2-AV6,0)</f>
        <v>491.69902772232308</v>
      </c>
      <c r="BB6" s="6">
        <f t="shared" ref="BB6:BB13" si="20">IF(AND(H6&gt;0,AJ6&gt;0),H$2*I$2*H6-AH$2*AI$2*AJ6-2*$I$2*$J$2-2*$AI$2*$AJ$2-AV6,0)</f>
        <v>0</v>
      </c>
      <c r="BC6" s="6">
        <f t="shared" ref="BC6:BC13" si="21">IF(AND(J6&gt;0,AH6&gt;0),H$2*I$2*J6-AH$2*AI$2*AH6-2*$I$2*$J$2-2*$AI$2*$AJ$2-H$2*I$2*$BC$2-AH$2*AI$2*$BC$3-AV6,0)</f>
        <v>0</v>
      </c>
      <c r="BD6" s="12">
        <f t="shared" ref="BD6:BD13" si="22">IF(AND(J6&gt;0,AH6&gt;0),H$2*I$2*J6-AH$2*AI$2*AH6-2*$I$2*$J$2-2*$AI$2*$AJ$2-AV6,0)</f>
        <v>0</v>
      </c>
      <c r="BE6" s="2">
        <f t="shared" ref="BE6:BE13" ca="1" si="23">BA6/(Q6+AH$2*AI$2*AF6)</f>
        <v>3.5150682324370675E-3</v>
      </c>
      <c r="BF6" s="2">
        <f t="shared" ref="BF6:BF13" si="24">BB6/(Q6+AH$2*AI$2*AJ6)</f>
        <v>0</v>
      </c>
      <c r="BG6" s="2">
        <f t="shared" ref="BG6:BG13" si="25">BC6/(Q6+AH$2*AI$2*(AH6+$BC$3))</f>
        <v>0</v>
      </c>
      <c r="BH6" s="13">
        <f t="shared" ref="BH6:BH13" si="26">BD6/(Q6+AH$2*AI$2*AH6)</f>
        <v>0</v>
      </c>
      <c r="BI6" s="2">
        <f t="shared" ref="BI6:BI13" ca="1" si="27">BE6*365/(AE6+1-TODAY())</f>
        <v>6.4149995241976482E-2</v>
      </c>
      <c r="BJ6" s="2">
        <f t="shared" ref="BJ6:BJ13" ca="1" si="28">BF6*365/(AE6+1-TODAY())</f>
        <v>0</v>
      </c>
      <c r="BK6" s="2">
        <f t="shared" ref="BK6:BK13" ca="1" si="29">BG6*365/(AE6+1-TODAY())</f>
        <v>0</v>
      </c>
      <c r="BL6" s="56">
        <f t="shared" ref="BL6:BL13" ca="1" si="30">BH6*365/(AE6+1-TODAY())</f>
        <v>0</v>
      </c>
      <c r="BN6" s="6">
        <f t="shared" ref="BN6:BN13" ca="1" si="31">IF(AND(F6&gt;0,AF6&gt;0),-H$2*I$2*F6+AH$2*AI$2*AF6-2*$I$2*$J$2-2*$AI$2*$AJ$2+AV6,0)</f>
        <v>-649.69902772232308</v>
      </c>
      <c r="BO6" s="6">
        <f t="shared" ref="BO6:BO13" si="32">IF(AND(J6&gt;0,AH6&gt;0),-H$2*I$2*J6+AH$2*AI$2*AH6-2*$I$2*$J$2-2*$AI$2*$AJ$2+AV6,0)</f>
        <v>0</v>
      </c>
      <c r="BP6" s="6">
        <f t="shared" ref="BP6:BP13" si="33">IF(AND(H6&gt;0,AJ6&gt;0),-H$2*I$2*H6+AH$2*AI$2*AJ6-2*$I$2*$J$2-2*$AI$2*$AJ$2-H$2*I$2*$BC$2-AH$2*AI$2*$BC$3+AV6,0)</f>
        <v>0</v>
      </c>
      <c r="BQ6" s="12">
        <f t="shared" ref="BQ6:BQ13" si="34">IF(AND(H6&gt;0,AJ6&gt;0),-H$2*I$2*H6+AH$2*AI$2*AJ6-2*$I$2*$J$2-2*$AI$2*$AJ$2+AV6,0)</f>
        <v>0</v>
      </c>
      <c r="BR6" s="2">
        <f t="shared" ref="BR6:BR13" ca="1" si="35">BN6/(AQ6+H$2*I$2*F6)</f>
        <v>-3.9103064971210315E-3</v>
      </c>
      <c r="BS6" s="2">
        <f t="shared" ref="BS6:BS13" si="36">BO6/(AQ6+H$2*I$2*J6)</f>
        <v>0</v>
      </c>
      <c r="BT6" s="2">
        <f t="shared" ref="BT6:BT13" si="37">BP6/(AQ6+H$2*I$2*(H6+$BP$3))</f>
        <v>0</v>
      </c>
      <c r="BU6" s="13">
        <f t="shared" ref="BU6:BU13" si="38">BQ6/(AQ6+H$2*I$2*H6)</f>
        <v>0</v>
      </c>
      <c r="BV6" s="2">
        <f t="shared" ref="BV6:BV13" ca="1" si="39">BR6*365/(AE6+1-TODAY())</f>
        <v>-7.1363093572458819E-2</v>
      </c>
      <c r="BW6" s="2">
        <f t="shared" ref="BW6:BW13" ca="1" si="40">BS6*365/(AE6+1-TODAY())</f>
        <v>0</v>
      </c>
      <c r="BX6" s="2">
        <f t="shared" ref="BX6:BX13" ca="1" si="41">BT6*365/(AE6+1-TODAY())</f>
        <v>0</v>
      </c>
      <c r="BY6" s="13">
        <f t="shared" ref="BY6:BY13" ca="1" si="42">BU6*365/(AE6+1-TODAY())</f>
        <v>0</v>
      </c>
      <c r="CB6" s="17" t="s">
        <v>429</v>
      </c>
      <c r="CC6" s="123" t="b">
        <f t="shared" ref="CC6:CC36" si="43">AB6=CD6</f>
        <v>1</v>
      </c>
      <c r="CD6" s="17" t="s">
        <v>400</v>
      </c>
      <c r="CE6" s="138" t="str">
        <f>IF([1]!w_info_callput(CD6)="认购","C","P")</f>
        <v>C</v>
      </c>
      <c r="CF6" s="139">
        <f>[1]!w_info_strikeprice(CD6,"")</f>
        <v>3.2</v>
      </c>
      <c r="CG6" s="140" t="str">
        <f>[1]!w_info_lasttradingdate(CD6)</f>
        <v>2020-04-22</v>
      </c>
      <c r="CH6" s="55" t="str">
        <f t="shared" ref="CH6:CH37" si="44">"IO20"&amp;MID(CG6,6,2)&amp;"-"&amp;CE6&amp;"-"&amp;CF6*1000&amp;".CFE"</f>
        <v>IO2004-C-3200.CFE</v>
      </c>
      <c r="CI6" s="55" t="str">
        <f t="shared" ref="CI6:CI37" si="45">VLOOKUP(CH6,CB:CB,1,0)</f>
        <v>IO2004-C-3200.CFE</v>
      </c>
      <c r="CK6" s="17" t="s">
        <v>193</v>
      </c>
      <c r="CL6" s="17"/>
    </row>
    <row r="7" spans="1:90">
      <c r="A7" s="50" t="str">
        <f t="shared" si="2"/>
        <v>T</v>
      </c>
      <c r="B7" t="s">
        <v>37</v>
      </c>
      <c r="C7" s="29" t="str">
        <f t="shared" si="3"/>
        <v>C</v>
      </c>
      <c r="D7" s="125">
        <f>[1]!w_info_strikeprice(B7,"")</f>
        <v>3300</v>
      </c>
      <c r="E7" s="18" t="str">
        <f>[1]!w_info_lasttradingdate(B7)</f>
        <v>2020-04-17</v>
      </c>
      <c r="F7" s="4">
        <f>IF(G7&gt;0,RTD("wdf.rtq",,$B7,F$5),0)</f>
        <v>411.2</v>
      </c>
      <c r="G7" s="73">
        <f>RTD("wdf.rtq",,$B7,G$5)</f>
        <v>21</v>
      </c>
      <c r="H7" s="4">
        <f>RTD("wdf.rtq",,$B7,H$5)</f>
        <v>66.2</v>
      </c>
      <c r="I7" s="73">
        <f>RTD("wdf.rtq",,$B7,I$5)</f>
        <v>1</v>
      </c>
      <c r="J7" s="4">
        <f>RTD("wdf.rtq",,$B7,J$5)</f>
        <v>0</v>
      </c>
      <c r="K7" s="73">
        <f>RTD("wdf.rtq",,$B7,K$5)</f>
        <v>0</v>
      </c>
      <c r="L7" s="4">
        <f>[1]!s_dq_presettle(B7,"")</f>
        <v>407.8</v>
      </c>
      <c r="M7" s="6">
        <f t="shared" si="4"/>
        <v>0</v>
      </c>
      <c r="N7" s="3">
        <f t="shared" si="5"/>
        <v>41120</v>
      </c>
      <c r="O7" s="6">
        <f t="shared" si="6"/>
        <v>37243.200000000004</v>
      </c>
      <c r="P7" s="3">
        <f t="shared" si="7"/>
        <v>16500</v>
      </c>
      <c r="Q7" s="6">
        <f t="shared" si="8"/>
        <v>78363.210000000006</v>
      </c>
      <c r="R7" s="75">
        <f ca="1">IF(NOW()-TODAY()&gt;15/24, G7, [1]!s_dq_volume(B7,R$2,1))/$I$2</f>
        <v>35</v>
      </c>
      <c r="S7" s="78">
        <f t="shared" si="9"/>
        <v>424.32000000000016</v>
      </c>
      <c r="T7" s="78">
        <f t="shared" si="10"/>
        <v>-13.120000000000175</v>
      </c>
      <c r="AB7" s="17" t="s">
        <v>394</v>
      </c>
      <c r="AC7" s="29" t="str">
        <f>IF([1]!w_info_callput(AB7)="认购","C","P")</f>
        <v>C</v>
      </c>
      <c r="AD7" s="31">
        <f>[1]!w_info_strikeprice(AB7,"")</f>
        <v>3.3</v>
      </c>
      <c r="AE7" s="18" t="str">
        <f>[1]!w_info_lasttradingdate(AB7)</f>
        <v>2020-04-22</v>
      </c>
      <c r="AF7" s="15">
        <f>RTD("wdf.rtq",,$AB7,F$5)</f>
        <v>0.41100000000000003</v>
      </c>
      <c r="AG7" s="73">
        <f>RTD("wdf.rtq",,$AB7,G$5)</f>
        <v>675</v>
      </c>
      <c r="AH7" s="15">
        <f>RTD("wdf.rtq",,$AB7,H$5)</f>
        <v>0.40610000000000002</v>
      </c>
      <c r="AI7" s="73">
        <f>RTD("wdf.rtq",,$AB7,I$5)</f>
        <v>1</v>
      </c>
      <c r="AJ7" s="15">
        <f>RTD("wdf.rtq",,$AB7,J$5)</f>
        <v>0.42310000000000003</v>
      </c>
      <c r="AK7" s="77">
        <f>RTD("wdf.rtq",,$AB7,K$5)</f>
        <v>3</v>
      </c>
      <c r="AL7" s="15">
        <f>[1]!s_dq_presettle(AB7,"")</f>
        <v>0.42699999999999999</v>
      </c>
      <c r="AM7" s="15">
        <f t="shared" si="11"/>
        <v>0</v>
      </c>
      <c r="AN7" s="3">
        <f t="shared" si="12"/>
        <v>41100</v>
      </c>
      <c r="AO7" s="15">
        <f t="shared" si="13"/>
        <v>0.44531999999999999</v>
      </c>
      <c r="AP7" s="14">
        <f t="shared" si="14"/>
        <v>2.8770000000000004E-2</v>
      </c>
      <c r="AQ7" s="8">
        <f t="shared" si="15"/>
        <v>102758.40999999999</v>
      </c>
      <c r="AR7" s="78">
        <f ca="1">IF(NOW()-TODAY()&gt;15/24, AG7, [1]!s_dq_volume(AB7,AR$2,1))/AI$2</f>
        <v>384.8</v>
      </c>
      <c r="AS7" s="122">
        <f t="shared" si="16"/>
        <v>0.41100000000000048</v>
      </c>
      <c r="AT7" s="122">
        <f t="shared" si="17"/>
        <v>-4.4408920985006262E-16</v>
      </c>
      <c r="AV7" s="49">
        <f t="shared" ca="1" si="18"/>
        <v>1349.3009722776187</v>
      </c>
      <c r="AY7" s="10"/>
      <c r="AZ7" s="10"/>
      <c r="BA7" s="6">
        <f t="shared" ca="1" si="19"/>
        <v>-1408.3009722776187</v>
      </c>
      <c r="BB7" s="6">
        <f t="shared" ca="1" si="20"/>
        <v>-37118.300972277619</v>
      </c>
      <c r="BC7" s="6">
        <f t="shared" si="21"/>
        <v>0</v>
      </c>
      <c r="BD7" s="12">
        <f t="shared" si="22"/>
        <v>0</v>
      </c>
      <c r="BE7" s="2">
        <f t="shared" ca="1" si="23"/>
        <v>-1.1788574677322153E-2</v>
      </c>
      <c r="BF7" s="2">
        <f t="shared" ca="1" si="24"/>
        <v>-0.30759354932447408</v>
      </c>
      <c r="BG7" s="2">
        <f t="shared" si="25"/>
        <v>0</v>
      </c>
      <c r="BH7" s="13">
        <f t="shared" si="26"/>
        <v>0</v>
      </c>
      <c r="BI7" s="2">
        <f t="shared" ca="1" si="27"/>
        <v>-0.2151414878611293</v>
      </c>
      <c r="BJ7" s="2">
        <f t="shared" ca="1" si="28"/>
        <v>-5.6135822751716518</v>
      </c>
      <c r="BK7" s="2">
        <f t="shared" ca="1" si="29"/>
        <v>0</v>
      </c>
      <c r="BL7" s="56">
        <f t="shared" ca="1" si="30"/>
        <v>0</v>
      </c>
      <c r="BN7" s="6">
        <f t="shared" ca="1" si="31"/>
        <v>1250.3009722776187</v>
      </c>
      <c r="BO7" s="6">
        <f t="shared" si="32"/>
        <v>0</v>
      </c>
      <c r="BP7" s="6">
        <f t="shared" ca="1" si="33"/>
        <v>36900.300972277619</v>
      </c>
      <c r="BQ7" s="12">
        <f t="shared" ca="1" si="34"/>
        <v>36960.300972277619</v>
      </c>
      <c r="BR7" s="2">
        <f t="shared" ca="1" si="35"/>
        <v>8.68998324541965E-3</v>
      </c>
      <c r="BS7" s="2">
        <f t="shared" si="36"/>
        <v>0</v>
      </c>
      <c r="BT7" s="2">
        <f t="shared" ca="1" si="37"/>
        <v>0.33736360059545217</v>
      </c>
      <c r="BU7" s="13">
        <f t="shared" ca="1" si="38"/>
        <v>0.33791221660908788</v>
      </c>
      <c r="BV7" s="2">
        <f t="shared" ca="1" si="39"/>
        <v>0.15859219422890863</v>
      </c>
      <c r="BW7" s="2">
        <f t="shared" ca="1" si="40"/>
        <v>0</v>
      </c>
      <c r="BX7" s="2">
        <f t="shared" ca="1" si="41"/>
        <v>6.1568857108670025</v>
      </c>
      <c r="BY7" s="13">
        <f t="shared" ca="1" si="42"/>
        <v>6.1668979531158543</v>
      </c>
      <c r="CB7" s="17" t="s">
        <v>328</v>
      </c>
      <c r="CC7" s="123" t="b">
        <f t="shared" si="43"/>
        <v>1</v>
      </c>
      <c r="CD7" s="17" t="s">
        <v>394</v>
      </c>
      <c r="CE7" s="138" t="str">
        <f>IF([1]!w_info_callput(CD7)="认购","C","P")</f>
        <v>C</v>
      </c>
      <c r="CF7" s="139">
        <f>[1]!w_info_strikeprice(CD7,"")</f>
        <v>3.3</v>
      </c>
      <c r="CG7" s="140" t="str">
        <f>[1]!w_info_lasttradingdate(CD7)</f>
        <v>2020-04-22</v>
      </c>
      <c r="CH7" s="55" t="str">
        <f t="shared" si="44"/>
        <v>IO2004-C-3300.CFE</v>
      </c>
      <c r="CI7" s="55" t="str">
        <f t="shared" si="45"/>
        <v>IO2004-C-3300.CFE</v>
      </c>
      <c r="CK7" s="17" t="s">
        <v>194</v>
      </c>
      <c r="CL7" s="17"/>
    </row>
    <row r="8" spans="1:90">
      <c r="A8" s="50" t="str">
        <f t="shared" si="2"/>
        <v>T</v>
      </c>
      <c r="B8" t="s">
        <v>39</v>
      </c>
      <c r="C8" s="29" t="str">
        <f t="shared" si="3"/>
        <v>C</v>
      </c>
      <c r="D8" s="125">
        <f>[1]!w_info_strikeprice(B8,"")</f>
        <v>3400</v>
      </c>
      <c r="E8" s="18" t="str">
        <f>[1]!w_info_lasttradingdate(B8)</f>
        <v>2020-04-17</v>
      </c>
      <c r="F8" s="4">
        <f>IF(G8&gt;0,RTD("wdf.rtq",,$B8,F$5),0)</f>
        <v>325.40000000000003</v>
      </c>
      <c r="G8" s="73">
        <f>RTD("wdf.rtq",,$B8,G$5)</f>
        <v>36</v>
      </c>
      <c r="H8" s="4">
        <f>RTD("wdf.rtq",,$B8,H$5)</f>
        <v>286</v>
      </c>
      <c r="I8" s="73">
        <f>RTD("wdf.rtq",,$B8,I$5)</f>
        <v>1</v>
      </c>
      <c r="J8" s="4">
        <f>RTD("wdf.rtq",,$B8,J$5)</f>
        <v>348</v>
      </c>
      <c r="K8" s="73">
        <f>RTD("wdf.rtq",,$B8,K$5)</f>
        <v>1</v>
      </c>
      <c r="L8" s="4">
        <f>[1]!s_dq_presettle(B8,"")</f>
        <v>314.39999999999998</v>
      </c>
      <c r="M8" s="6">
        <f t="shared" si="4"/>
        <v>0</v>
      </c>
      <c r="N8" s="3">
        <f t="shared" si="5"/>
        <v>32540.000000000004</v>
      </c>
      <c r="O8" s="6">
        <f t="shared" si="6"/>
        <v>37243.200000000004</v>
      </c>
      <c r="P8" s="3">
        <f t="shared" si="7"/>
        <v>17000</v>
      </c>
      <c r="Q8" s="6">
        <f t="shared" si="8"/>
        <v>69783.210000000006</v>
      </c>
      <c r="R8" s="75">
        <f ca="1">IF(NOW()-TODAY()&gt;15/24, G8, [1]!s_dq_volume(B8,R$2,1))/$I$2</f>
        <v>78</v>
      </c>
      <c r="S8" s="78">
        <f t="shared" si="9"/>
        <v>324.32000000000016</v>
      </c>
      <c r="T8" s="78">
        <f t="shared" si="10"/>
        <v>1.0799999999998704</v>
      </c>
      <c r="AB8" s="17" t="s">
        <v>395</v>
      </c>
      <c r="AC8" s="29" t="str">
        <f>IF([1]!w_info_callput(AB8)="认购","C","P")</f>
        <v>C</v>
      </c>
      <c r="AD8" s="31">
        <f>[1]!w_info_strikeprice(AB8,"")</f>
        <v>3.4</v>
      </c>
      <c r="AE8" s="18" t="str">
        <f>[1]!w_info_lasttradingdate(AB8)</f>
        <v>2020-04-22</v>
      </c>
      <c r="AF8" s="15">
        <f>RTD("wdf.rtq",,$AB8,F$5)</f>
        <v>0.318</v>
      </c>
      <c r="AG8" s="73">
        <f>RTD("wdf.rtq",,$AB8,G$5)</f>
        <v>3448</v>
      </c>
      <c r="AH8" s="15">
        <f>RTD("wdf.rtq",,$AB8,H$5)</f>
        <v>0.317</v>
      </c>
      <c r="AI8" s="73">
        <f>RTD("wdf.rtq",,$AB8,I$5)</f>
        <v>1</v>
      </c>
      <c r="AJ8" s="15">
        <f>RTD("wdf.rtq",,$AB8,J$5)</f>
        <v>0.3211</v>
      </c>
      <c r="AK8" s="77">
        <f>RTD("wdf.rtq",,$AB8,K$5)</f>
        <v>1</v>
      </c>
      <c r="AL8" s="15">
        <f>[1]!s_dq_presettle(AB8,"")</f>
        <v>0.33310000000000001</v>
      </c>
      <c r="AM8" s="15">
        <f t="shared" si="11"/>
        <v>0</v>
      </c>
      <c r="AN8" s="3">
        <f t="shared" si="12"/>
        <v>31800</v>
      </c>
      <c r="AO8" s="15">
        <f t="shared" si="13"/>
        <v>0.44531999999999999</v>
      </c>
      <c r="AP8" s="14">
        <f t="shared" si="14"/>
        <v>2.2260000000000002E-2</v>
      </c>
      <c r="AQ8" s="8">
        <f t="shared" si="15"/>
        <v>91598.409999999989</v>
      </c>
      <c r="AR8" s="78">
        <f ca="1">IF(NOW()-TODAY()&gt;15/24, AG8, [1]!s_dq_volume(AB8,AR$2,1))/AI$2</f>
        <v>940</v>
      </c>
      <c r="AS8" s="122">
        <f t="shared" si="16"/>
        <v>0.31100000000000039</v>
      </c>
      <c r="AT8" s="122">
        <f t="shared" si="17"/>
        <v>6.9999999999996176E-3</v>
      </c>
      <c r="AV8" s="49">
        <f t="shared" ca="1" si="18"/>
        <v>1349.3009722776333</v>
      </c>
      <c r="AY8" s="10"/>
      <c r="AZ8" s="10"/>
      <c r="BA8" s="6">
        <f t="shared" ca="1" si="19"/>
        <v>-688.30097227762963</v>
      </c>
      <c r="BB8" s="6">
        <f t="shared" ca="1" si="20"/>
        <v>-4938.3009722776333</v>
      </c>
      <c r="BC8" s="6">
        <f t="shared" ca="1" si="21"/>
        <v>1611.6990277223667</v>
      </c>
      <c r="BD8" s="12">
        <f t="shared" ca="1" si="22"/>
        <v>1671.6990277223667</v>
      </c>
      <c r="BE8" s="2">
        <f t="shared" ca="1" si="23"/>
        <v>-6.7757355991962609E-3</v>
      </c>
      <c r="BF8" s="2">
        <f t="shared" ca="1" si="24"/>
        <v>-4.8465456847199467E-2</v>
      </c>
      <c r="BG8" s="2">
        <f t="shared" ca="1" si="25"/>
        <v>1.5878305993695833E-2</v>
      </c>
      <c r="BH8" s="13">
        <f t="shared" ca="1" si="26"/>
        <v>1.6472666047145795E-2</v>
      </c>
      <c r="BI8" s="2">
        <f t="shared" ca="1" si="27"/>
        <v>-0.12365717468533177</v>
      </c>
      <c r="BJ8" s="2">
        <f t="shared" ca="1" si="28"/>
        <v>-0.8844945874613902</v>
      </c>
      <c r="BK8" s="2">
        <f t="shared" ca="1" si="29"/>
        <v>0.28977908438494893</v>
      </c>
      <c r="BL8" s="56">
        <f t="shared" ca="1" si="30"/>
        <v>0.30062615536041071</v>
      </c>
      <c r="BN8" s="6">
        <f t="shared" ca="1" si="31"/>
        <v>530.30097227762963</v>
      </c>
      <c r="BO8" s="6">
        <f t="shared" ca="1" si="32"/>
        <v>-1829.6990277223667</v>
      </c>
      <c r="BP8" s="6">
        <f t="shared" ca="1" si="33"/>
        <v>4720.3009722776333</v>
      </c>
      <c r="BQ8" s="12">
        <f t="shared" ca="1" si="34"/>
        <v>4780.3009722776333</v>
      </c>
      <c r="BR8" s="2">
        <f t="shared" ca="1" si="35"/>
        <v>4.2718524611168266E-3</v>
      </c>
      <c r="BS8" s="2">
        <f t="shared" ca="1" si="36"/>
        <v>-1.4475649082313352E-2</v>
      </c>
      <c r="BT8" s="2">
        <f t="shared" ca="1" si="37"/>
        <v>3.9270903723764392E-2</v>
      </c>
      <c r="BU8" s="13">
        <f t="shared" ca="1" si="38"/>
        <v>3.9770084914414708E-2</v>
      </c>
      <c r="BV8" s="2">
        <f t="shared" ca="1" si="39"/>
        <v>7.7961307415382083E-2</v>
      </c>
      <c r="BW8" s="2">
        <f t="shared" ca="1" si="40"/>
        <v>-0.26418059575221864</v>
      </c>
      <c r="BX8" s="2">
        <f t="shared" ca="1" si="41"/>
        <v>0.71669399295870018</v>
      </c>
      <c r="BY8" s="13">
        <f t="shared" ca="1" si="42"/>
        <v>0.72580404968806844</v>
      </c>
      <c r="CB8" s="17" t="s">
        <v>329</v>
      </c>
      <c r="CC8" s="123" t="b">
        <f t="shared" si="43"/>
        <v>1</v>
      </c>
      <c r="CD8" s="17" t="s">
        <v>395</v>
      </c>
      <c r="CE8" s="138" t="str">
        <f>IF([1]!w_info_callput(CD8)="认购","C","P")</f>
        <v>C</v>
      </c>
      <c r="CF8" s="139">
        <f>[1]!w_info_strikeprice(CD8,"")</f>
        <v>3.4</v>
      </c>
      <c r="CG8" s="140" t="str">
        <f>[1]!w_info_lasttradingdate(CD8)</f>
        <v>2020-04-22</v>
      </c>
      <c r="CH8" s="55" t="str">
        <f t="shared" si="44"/>
        <v>IO2004-C-3400.CFE</v>
      </c>
      <c r="CI8" s="55" t="str">
        <f t="shared" si="45"/>
        <v>IO2004-C-3400.CFE</v>
      </c>
      <c r="CK8" s="17" t="s">
        <v>195</v>
      </c>
      <c r="CL8" s="17"/>
    </row>
    <row r="9" spans="1:90">
      <c r="A9" s="50" t="str">
        <f t="shared" si="2"/>
        <v>T</v>
      </c>
      <c r="B9" t="s">
        <v>41</v>
      </c>
      <c r="C9" s="29" t="str">
        <f t="shared" si="3"/>
        <v>C</v>
      </c>
      <c r="D9" s="125">
        <f>[1]!w_info_strikeprice(B9,"")</f>
        <v>3500</v>
      </c>
      <c r="E9" s="18" t="str">
        <f>[1]!w_info_lasttradingdate(B9)</f>
        <v>2020-04-17</v>
      </c>
      <c r="F9" s="4">
        <f>IF(G9&gt;0,RTD("wdf.rtq",,$B9,F$5),0)</f>
        <v>230.4</v>
      </c>
      <c r="G9" s="73">
        <f>RTD("wdf.rtq",,$B9,G$5)</f>
        <v>256</v>
      </c>
      <c r="H9" s="4">
        <f>RTD("wdf.rtq",,$B9,H$5)</f>
        <v>168</v>
      </c>
      <c r="I9" s="73">
        <f>RTD("wdf.rtq",,$B9,I$5)</f>
        <v>1</v>
      </c>
      <c r="J9" s="4">
        <f>RTD("wdf.rtq",,$B9,J$5)</f>
        <v>0</v>
      </c>
      <c r="K9" s="73">
        <f>RTD("wdf.rtq",,$B9,K$5)</f>
        <v>0</v>
      </c>
      <c r="L9" s="4">
        <f>[1]!s_dq_presettle(B9,"")</f>
        <v>247.2</v>
      </c>
      <c r="M9" s="6">
        <f t="shared" si="4"/>
        <v>0</v>
      </c>
      <c r="N9" s="3">
        <f t="shared" si="5"/>
        <v>23040</v>
      </c>
      <c r="O9" s="6">
        <f t="shared" si="6"/>
        <v>37243.200000000004</v>
      </c>
      <c r="P9" s="3">
        <f t="shared" si="7"/>
        <v>17500</v>
      </c>
      <c r="Q9" s="6">
        <f t="shared" si="8"/>
        <v>60283.210000000006</v>
      </c>
      <c r="R9" s="75">
        <f ca="1">IF(NOW()-TODAY()&gt;15/24, G9, [1]!s_dq_volume(B9,R$2,1))/$I$2</f>
        <v>478</v>
      </c>
      <c r="S9" s="78">
        <f t="shared" si="9"/>
        <v>224.32000000000016</v>
      </c>
      <c r="T9" s="78">
        <f t="shared" si="10"/>
        <v>6.079999999999842</v>
      </c>
      <c r="AB9" s="17" t="s">
        <v>323</v>
      </c>
      <c r="AC9" s="29" t="str">
        <f>IF([1]!w_info_callput(AB9)="认购","C","P")</f>
        <v>C</v>
      </c>
      <c r="AD9" s="31">
        <f>[1]!w_info_strikeprice(AB9,"")</f>
        <v>3.5</v>
      </c>
      <c r="AE9" s="18" t="str">
        <f>[1]!w_info_lasttradingdate(AB9)</f>
        <v>2020-04-22</v>
      </c>
      <c r="AF9" s="15">
        <f>RTD("wdf.rtq",,$AB9,F$5)</f>
        <v>0.23340000000000002</v>
      </c>
      <c r="AG9" s="73">
        <f>RTD("wdf.rtq",,$AB9,G$5)</f>
        <v>8338</v>
      </c>
      <c r="AH9" s="15">
        <f>RTD("wdf.rtq",,$AB9,H$5)</f>
        <v>0.23170000000000002</v>
      </c>
      <c r="AI9" s="73">
        <f>RTD("wdf.rtq",,$AB9,I$5)</f>
        <v>10</v>
      </c>
      <c r="AJ9" s="15">
        <f>RTD("wdf.rtq",,$AB9,J$5)</f>
        <v>0.23450000000000001</v>
      </c>
      <c r="AK9" s="77">
        <f>RTD("wdf.rtq",,$AB9,K$5)</f>
        <v>1</v>
      </c>
      <c r="AL9" s="15">
        <f>[1]!s_dq_presettle(AB9,"")</f>
        <v>0.24660000000000001</v>
      </c>
      <c r="AM9" s="15">
        <f t="shared" si="11"/>
        <v>0</v>
      </c>
      <c r="AN9" s="3">
        <f t="shared" si="12"/>
        <v>23340.000000000004</v>
      </c>
      <c r="AO9" s="15">
        <f t="shared" si="13"/>
        <v>0.44531999999999999</v>
      </c>
      <c r="AP9" s="14">
        <f t="shared" si="14"/>
        <v>1.6338000000000002E-2</v>
      </c>
      <c r="AQ9" s="8">
        <f t="shared" si="15"/>
        <v>81446.409999999989</v>
      </c>
      <c r="AR9" s="78">
        <f ca="1">IF(NOW()-TODAY()&gt;15/24, AG9, [1]!s_dq_volume(AB9,AR$2,1))/AI$2</f>
        <v>2815.2</v>
      </c>
      <c r="AS9" s="122">
        <f t="shared" si="16"/>
        <v>0.2110000000000003</v>
      </c>
      <c r="AT9" s="122">
        <f t="shared" si="17"/>
        <v>2.2399999999999726E-2</v>
      </c>
      <c r="AV9" s="49">
        <f t="shared" ca="1" si="18"/>
        <v>1349.3009722776405</v>
      </c>
      <c r="AY9" s="10"/>
      <c r="AZ9" s="10"/>
      <c r="BA9" s="6">
        <f t="shared" ca="1" si="19"/>
        <v>-1728.3009722776442</v>
      </c>
      <c r="BB9" s="6">
        <f t="shared" ca="1" si="20"/>
        <v>-8078.3009722776405</v>
      </c>
      <c r="BC9" s="6">
        <f t="shared" si="21"/>
        <v>0</v>
      </c>
      <c r="BD9" s="12">
        <f t="shared" si="22"/>
        <v>0</v>
      </c>
      <c r="BE9" s="2">
        <f t="shared" ca="1" si="23"/>
        <v>-2.0667718594845189E-2</v>
      </c>
      <c r="BF9" s="2">
        <f t="shared" ca="1" si="24"/>
        <v>-9.6476666453819693E-2</v>
      </c>
      <c r="BG9" s="2">
        <f t="shared" si="25"/>
        <v>0</v>
      </c>
      <c r="BH9" s="13">
        <f t="shared" si="26"/>
        <v>0</v>
      </c>
      <c r="BI9" s="2">
        <f t="shared" ca="1" si="27"/>
        <v>-0.37718586435592466</v>
      </c>
      <c r="BJ9" s="2">
        <f t="shared" ca="1" si="28"/>
        <v>-1.7606991627822093</v>
      </c>
      <c r="BK9" s="2">
        <f t="shared" ca="1" si="29"/>
        <v>0</v>
      </c>
      <c r="BL9" s="56">
        <f t="shared" ca="1" si="30"/>
        <v>0</v>
      </c>
      <c r="BN9" s="6">
        <f t="shared" ca="1" si="31"/>
        <v>1570.3009722776442</v>
      </c>
      <c r="BO9" s="6">
        <f t="shared" si="32"/>
        <v>0</v>
      </c>
      <c r="BP9" s="6">
        <f t="shared" ca="1" si="33"/>
        <v>7860.3009722776405</v>
      </c>
      <c r="BQ9" s="12">
        <f t="shared" ca="1" si="34"/>
        <v>7920.3009722776405</v>
      </c>
      <c r="BR9" s="2">
        <f t="shared" ca="1" si="35"/>
        <v>1.5028758020087438E-2</v>
      </c>
      <c r="BS9" s="2">
        <f t="shared" si="36"/>
        <v>0</v>
      </c>
      <c r="BT9" s="2">
        <f t="shared" ca="1" si="37"/>
        <v>8.0005970418239536E-2</v>
      </c>
      <c r="BU9" s="13">
        <f t="shared" ca="1" si="38"/>
        <v>8.0616696042915367E-2</v>
      </c>
      <c r="BV9" s="2">
        <f t="shared" ca="1" si="39"/>
        <v>0.27427483386659579</v>
      </c>
      <c r="BW9" s="2">
        <f t="shared" ca="1" si="40"/>
        <v>0</v>
      </c>
      <c r="BX9" s="2">
        <f t="shared" ca="1" si="41"/>
        <v>1.4601089601328714</v>
      </c>
      <c r="BY9" s="13">
        <f t="shared" ca="1" si="42"/>
        <v>1.4712547027832055</v>
      </c>
      <c r="CB9" s="17" t="s">
        <v>37</v>
      </c>
      <c r="CC9" s="123" t="b">
        <f t="shared" si="43"/>
        <v>1</v>
      </c>
      <c r="CD9" s="17" t="s">
        <v>323</v>
      </c>
      <c r="CE9" s="138" t="str">
        <f>IF([1]!w_info_callput(CD9)="认购","C","P")</f>
        <v>C</v>
      </c>
      <c r="CF9" s="139">
        <f>[1]!w_info_strikeprice(CD9,"")</f>
        <v>3.5</v>
      </c>
      <c r="CG9" s="140" t="str">
        <f>[1]!w_info_lasttradingdate(CD9)</f>
        <v>2020-04-22</v>
      </c>
      <c r="CH9" s="55" t="str">
        <f t="shared" si="44"/>
        <v>IO2004-C-3500.CFE</v>
      </c>
      <c r="CI9" s="55" t="str">
        <f t="shared" si="45"/>
        <v>IO2004-C-3500.CFE</v>
      </c>
      <c r="CK9" s="17" t="s">
        <v>196</v>
      </c>
      <c r="CL9" s="17"/>
    </row>
    <row r="10" spans="1:90">
      <c r="A10" s="50" t="str">
        <f t="shared" si="2"/>
        <v>T</v>
      </c>
      <c r="B10" t="s">
        <v>43</v>
      </c>
      <c r="C10" s="29" t="str">
        <f t="shared" si="3"/>
        <v>C</v>
      </c>
      <c r="D10" s="125">
        <f>[1]!w_info_strikeprice(B10,"")</f>
        <v>3600</v>
      </c>
      <c r="E10" s="18" t="str">
        <f>[1]!w_info_lasttradingdate(B10)</f>
        <v>2020-04-17</v>
      </c>
      <c r="F10" s="4">
        <f>IF(G10&gt;0,RTD("wdf.rtq",,$B10,F$5),0)</f>
        <v>156.20000000000002</v>
      </c>
      <c r="G10" s="73">
        <f>RTD("wdf.rtq",,$B10,G$5)</f>
        <v>483</v>
      </c>
      <c r="H10" s="4">
        <f>RTD("wdf.rtq",,$B10,H$5)</f>
        <v>145</v>
      </c>
      <c r="I10" s="73">
        <f>RTD("wdf.rtq",,$B10,I$5)</f>
        <v>8</v>
      </c>
      <c r="J10" s="4">
        <f>RTD("wdf.rtq",,$B10,J$5)</f>
        <v>162.20000000000002</v>
      </c>
      <c r="K10" s="73">
        <f>RTD("wdf.rtq",,$B10,K$5)</f>
        <v>1</v>
      </c>
      <c r="L10" s="4">
        <f>[1]!s_dq_presettle(B10,"")</f>
        <v>168.6</v>
      </c>
      <c r="M10" s="6">
        <f t="shared" si="4"/>
        <v>0</v>
      </c>
      <c r="N10" s="3">
        <f t="shared" si="5"/>
        <v>15620.000000000002</v>
      </c>
      <c r="O10" s="6">
        <f t="shared" si="6"/>
        <v>37243.200000000004</v>
      </c>
      <c r="P10" s="3">
        <f t="shared" si="7"/>
        <v>18000</v>
      </c>
      <c r="Q10" s="6">
        <f t="shared" si="8"/>
        <v>52863.210000000006</v>
      </c>
      <c r="R10" s="75">
        <f ca="1">IF(NOW()-TODAY()&gt;15/24, G10, [1]!s_dq_volume(B10,R$2,1))/$I$2</f>
        <v>1388</v>
      </c>
      <c r="S10" s="78">
        <f t="shared" si="9"/>
        <v>124.32000000000016</v>
      </c>
      <c r="T10" s="78">
        <f t="shared" si="10"/>
        <v>31.879999999999853</v>
      </c>
      <c r="AB10" s="17" t="s">
        <v>324</v>
      </c>
      <c r="AC10" s="29" t="str">
        <f>IF([1]!w_info_callput(AB10)="认购","C","P")</f>
        <v>C</v>
      </c>
      <c r="AD10" s="31">
        <f>[1]!w_info_strikeprice(AB10,"")</f>
        <v>3.6</v>
      </c>
      <c r="AE10" s="18" t="str">
        <f>[1]!w_info_lasttradingdate(AB10)</f>
        <v>2020-04-22</v>
      </c>
      <c r="AF10" s="15">
        <f>RTD("wdf.rtq",,$AB10,F$5)</f>
        <v>0.159</v>
      </c>
      <c r="AG10" s="73">
        <f>RTD("wdf.rtq",,$AB10,G$5)</f>
        <v>32399</v>
      </c>
      <c r="AH10" s="15">
        <f>RTD("wdf.rtq",,$AB10,H$5)</f>
        <v>0.159</v>
      </c>
      <c r="AI10" s="73">
        <f>RTD("wdf.rtq",,$AB10,I$5)</f>
        <v>5</v>
      </c>
      <c r="AJ10" s="15">
        <f>RTD("wdf.rtq",,$AB10,J$5)</f>
        <v>0.16</v>
      </c>
      <c r="AK10" s="77">
        <f>RTD("wdf.rtq",,$AB10,K$5)</f>
        <v>1</v>
      </c>
      <c r="AL10" s="15">
        <f>[1]!s_dq_presettle(AB10,"")</f>
        <v>0.1704</v>
      </c>
      <c r="AM10" s="15">
        <f t="shared" si="11"/>
        <v>0</v>
      </c>
      <c r="AN10" s="3">
        <f t="shared" si="12"/>
        <v>15900</v>
      </c>
      <c r="AO10" s="15">
        <f t="shared" si="13"/>
        <v>0.44531999999999999</v>
      </c>
      <c r="AP10" s="14">
        <f t="shared" si="14"/>
        <v>1.1130000000000001E-2</v>
      </c>
      <c r="AQ10" s="8">
        <f t="shared" si="15"/>
        <v>72518.409999999989</v>
      </c>
      <c r="AR10" s="78">
        <f ca="1">IF(NOW()-TODAY()&gt;15/24, AG10, [1]!s_dq_volume(AB10,AR$2,1))/AI$2</f>
        <v>10382.4</v>
      </c>
      <c r="AS10" s="122">
        <f t="shared" si="16"/>
        <v>0.11100000000000021</v>
      </c>
      <c r="AT10" s="122">
        <f t="shared" si="17"/>
        <v>4.7999999999999793E-2</v>
      </c>
      <c r="AV10" s="49">
        <f t="shared" ca="1" si="18"/>
        <v>1349.3009722776515</v>
      </c>
      <c r="AY10" s="10"/>
      <c r="AZ10" s="10"/>
      <c r="BA10" s="6">
        <f t="shared" ca="1" si="19"/>
        <v>-1708.3009722776496</v>
      </c>
      <c r="BB10" s="6">
        <f t="shared" ca="1" si="20"/>
        <v>-2928.3009722776515</v>
      </c>
      <c r="BC10" s="6">
        <f t="shared" ca="1" si="21"/>
        <v>-1168.3009722776496</v>
      </c>
      <c r="BD10" s="12">
        <f t="shared" ca="1" si="22"/>
        <v>-1108.3009722776496</v>
      </c>
      <c r="BE10" s="2">
        <f t="shared" ca="1" si="23"/>
        <v>-2.4843240626457805E-2</v>
      </c>
      <c r="BF10" s="2">
        <f t="shared" ca="1" si="24"/>
        <v>-4.2523445716190857E-2</v>
      </c>
      <c r="BG10" s="2">
        <f t="shared" ca="1" si="25"/>
        <v>-1.6985263878752526E-2</v>
      </c>
      <c r="BH10" s="13">
        <f t="shared" ca="1" si="26"/>
        <v>-1.6117644482822276E-2</v>
      </c>
      <c r="BI10" s="2">
        <f t="shared" ca="1" si="27"/>
        <v>-0.45338914143285497</v>
      </c>
      <c r="BJ10" s="2">
        <f t="shared" ca="1" si="28"/>
        <v>-0.77605288432048314</v>
      </c>
      <c r="BK10" s="2">
        <f t="shared" ca="1" si="29"/>
        <v>-0.30998106578723361</v>
      </c>
      <c r="BL10" s="56">
        <f t="shared" ca="1" si="30"/>
        <v>-0.29414701181150649</v>
      </c>
      <c r="BN10" s="6">
        <f t="shared" ca="1" si="31"/>
        <v>1550.3009722776496</v>
      </c>
      <c r="BO10" s="127">
        <f t="shared" ca="1" si="32"/>
        <v>950.30097227764963</v>
      </c>
      <c r="BP10" s="6">
        <f t="shared" ca="1" si="33"/>
        <v>2710.3009722776515</v>
      </c>
      <c r="BQ10" s="12">
        <f t="shared" ca="1" si="34"/>
        <v>2770.3009722776515</v>
      </c>
      <c r="BR10" s="2">
        <f t="shared" ca="1" si="35"/>
        <v>1.7589391189126849E-2</v>
      </c>
      <c r="BS10" s="2">
        <f t="shared" ca="1" si="36"/>
        <v>1.0709015095916749E-2</v>
      </c>
      <c r="BT10" s="2">
        <f t="shared" ca="1" si="37"/>
        <v>3.1146286738081251E-2</v>
      </c>
      <c r="BU10" s="13">
        <f t="shared" ca="1" si="38"/>
        <v>3.1835803162545168E-2</v>
      </c>
      <c r="BV10" s="2">
        <f t="shared" ca="1" si="39"/>
        <v>0.32100638920156499</v>
      </c>
      <c r="BW10" s="2">
        <f t="shared" ca="1" si="40"/>
        <v>0.19543952550048066</v>
      </c>
      <c r="BX10" s="2">
        <f t="shared" ca="1" si="41"/>
        <v>0.56841973296998283</v>
      </c>
      <c r="BY10" s="13">
        <f t="shared" ca="1" si="42"/>
        <v>0.58100340771644932</v>
      </c>
      <c r="BZ10">
        <v>1230</v>
      </c>
      <c r="CB10" s="17" t="s">
        <v>38</v>
      </c>
      <c r="CC10" s="123" t="b">
        <f t="shared" si="43"/>
        <v>1</v>
      </c>
      <c r="CD10" s="17" t="s">
        <v>324</v>
      </c>
      <c r="CE10" s="138" t="str">
        <f>IF([1]!w_info_callput(CD10)="认购","C","P")</f>
        <v>C</v>
      </c>
      <c r="CF10" s="139">
        <f>[1]!w_info_strikeprice(CD10,"")</f>
        <v>3.6</v>
      </c>
      <c r="CG10" s="140" t="str">
        <f>[1]!w_info_lasttradingdate(CD10)</f>
        <v>2020-04-22</v>
      </c>
      <c r="CH10" s="55" t="str">
        <f t="shared" si="44"/>
        <v>IO2004-C-3600.CFE</v>
      </c>
      <c r="CI10" s="55" t="str">
        <f t="shared" si="45"/>
        <v>IO2004-C-3600.CFE</v>
      </c>
      <c r="CK10" s="17" t="s">
        <v>197</v>
      </c>
      <c r="CL10" s="17"/>
    </row>
    <row r="11" spans="1:90">
      <c r="A11" s="50" t="str">
        <f t="shared" si="2"/>
        <v>T</v>
      </c>
      <c r="B11" t="s">
        <v>45</v>
      </c>
      <c r="C11" s="29" t="str">
        <f t="shared" si="3"/>
        <v>C</v>
      </c>
      <c r="D11" s="125">
        <f>[1]!w_info_strikeprice(B11,"")</f>
        <v>3700</v>
      </c>
      <c r="E11" s="18" t="str">
        <f>[1]!w_info_lasttradingdate(B11)</f>
        <v>2020-04-17</v>
      </c>
      <c r="F11" s="4">
        <f>IF(G11&gt;0,RTD("wdf.rtq",,$B11,F$5),0)</f>
        <v>94.2</v>
      </c>
      <c r="G11" s="73">
        <f>RTD("wdf.rtq",,$B11,G$5)</f>
        <v>1327</v>
      </c>
      <c r="H11" s="4">
        <f>RTD("wdf.rtq",,$B11,H$5)</f>
        <v>94</v>
      </c>
      <c r="I11" s="73">
        <f>RTD("wdf.rtq",,$B11,I$5)</f>
        <v>1</v>
      </c>
      <c r="J11" s="4">
        <f>RTD("wdf.rtq",,$B11,J$5)</f>
        <v>95.2</v>
      </c>
      <c r="K11" s="73">
        <f>RTD("wdf.rtq",,$B11,K$5)</f>
        <v>1</v>
      </c>
      <c r="L11" s="4">
        <f>[1]!s_dq_presettle(B11,"")</f>
        <v>104.8</v>
      </c>
      <c r="M11" s="6">
        <f t="shared" si="4"/>
        <v>0</v>
      </c>
      <c r="N11" s="3">
        <f t="shared" si="5"/>
        <v>9420</v>
      </c>
      <c r="O11" s="6">
        <f t="shared" si="6"/>
        <v>37243.200000000004</v>
      </c>
      <c r="P11" s="3">
        <f t="shared" si="7"/>
        <v>18500</v>
      </c>
      <c r="Q11" s="6">
        <f t="shared" si="8"/>
        <v>46663.210000000006</v>
      </c>
      <c r="R11" s="75">
        <f ca="1">IF(NOW()-TODAY()&gt;15/24, G11, [1]!s_dq_volume(B11,R$2,1))/$I$2</f>
        <v>3834</v>
      </c>
      <c r="S11" s="78">
        <f t="shared" si="9"/>
        <v>24.320000000000164</v>
      </c>
      <c r="T11" s="78">
        <f t="shared" si="10"/>
        <v>69.879999999999839</v>
      </c>
      <c r="AB11" s="17" t="s">
        <v>299</v>
      </c>
      <c r="AC11" s="29" t="str">
        <f>IF([1]!w_info_callput(AB11)="认购","C","P")</f>
        <v>C</v>
      </c>
      <c r="AD11" s="31">
        <f>[1]!w_info_strikeprice(AB11,"")</f>
        <v>3.7</v>
      </c>
      <c r="AE11" s="18" t="str">
        <f>[1]!w_info_lasttradingdate(AB11)</f>
        <v>2020-04-22</v>
      </c>
      <c r="AF11" s="15">
        <f>RTD("wdf.rtq",,$AB11,F$5)</f>
        <v>9.8600000000000007E-2</v>
      </c>
      <c r="AG11" s="73">
        <f>RTD("wdf.rtq",,$AB11,G$5)</f>
        <v>80339</v>
      </c>
      <c r="AH11" s="15">
        <f>RTD("wdf.rtq",,$AB11,H$5)</f>
        <v>9.8500000000000004E-2</v>
      </c>
      <c r="AI11" s="73">
        <f>RTD("wdf.rtq",,$AB11,I$5)</f>
        <v>1</v>
      </c>
      <c r="AJ11" s="15">
        <f>RTD("wdf.rtq",,$AB11,J$5)</f>
        <v>9.98E-2</v>
      </c>
      <c r="AK11" s="77">
        <f>RTD("wdf.rtq",,$AB11,K$5)</f>
        <v>1</v>
      </c>
      <c r="AL11" s="15">
        <f>[1]!s_dq_presettle(AB11,"")</f>
        <v>0.1076</v>
      </c>
      <c r="AM11" s="15">
        <f t="shared" si="11"/>
        <v>0</v>
      </c>
      <c r="AN11" s="3">
        <f t="shared" si="12"/>
        <v>9860</v>
      </c>
      <c r="AO11" s="15">
        <f t="shared" si="13"/>
        <v>0.44531999999999999</v>
      </c>
      <c r="AP11" s="14">
        <f t="shared" si="14"/>
        <v>6.902000000000001E-3</v>
      </c>
      <c r="AQ11" s="8">
        <f t="shared" si="15"/>
        <v>65270.409999999989</v>
      </c>
      <c r="AR11" s="78">
        <f ca="1">IF(NOW()-TODAY()&gt;15/24, AG11, [1]!s_dq_volume(AB11,AR$2,1))/AI$2</f>
        <v>19887.900000000001</v>
      </c>
      <c r="AS11" s="122">
        <f t="shared" si="16"/>
        <v>1.1000000000000121E-2</v>
      </c>
      <c r="AT11" s="122">
        <f t="shared" si="17"/>
        <v>8.7599999999999886E-2</v>
      </c>
      <c r="AV11" s="49">
        <f t="shared" ca="1" si="18"/>
        <v>1349.3009722776605</v>
      </c>
      <c r="AY11" s="10"/>
      <c r="AZ11" s="10"/>
      <c r="BA11" s="6">
        <f t="shared" ca="1" si="19"/>
        <v>-1868.3009722776605</v>
      </c>
      <c r="BB11" s="6">
        <f t="shared" ca="1" si="20"/>
        <v>-2008.3009722776605</v>
      </c>
      <c r="BC11" s="6">
        <f t="shared" ca="1" si="21"/>
        <v>-1818.3009722776605</v>
      </c>
      <c r="BD11" s="12">
        <f t="shared" ca="1" si="22"/>
        <v>-1758.3009722776605</v>
      </c>
      <c r="BE11" s="2">
        <f t="shared" ca="1" si="23"/>
        <v>-3.3053695504513286E-2</v>
      </c>
      <c r="BF11" s="2">
        <f t="shared" ca="1" si="24"/>
        <v>-3.5455281794193168E-2</v>
      </c>
      <c r="BG11" s="2">
        <f t="shared" ca="1" si="25"/>
        <v>-3.21634128378286E-2</v>
      </c>
      <c r="BH11" s="13">
        <f t="shared" ca="1" si="26"/>
        <v>-3.111309678352478E-2</v>
      </c>
      <c r="BI11" s="2">
        <f t="shared" ca="1" si="27"/>
        <v>-0.60322994295736743</v>
      </c>
      <c r="BJ11" s="2">
        <f t="shared" ca="1" si="28"/>
        <v>-0.64705889274402528</v>
      </c>
      <c r="BK11" s="2">
        <f t="shared" ca="1" si="29"/>
        <v>-0.58698228429037191</v>
      </c>
      <c r="BL11" s="56">
        <f t="shared" ca="1" si="30"/>
        <v>-0.56781401629932726</v>
      </c>
      <c r="BN11" s="6">
        <f t="shared" ca="1" si="31"/>
        <v>1710.3009722776605</v>
      </c>
      <c r="BO11" s="127">
        <f t="shared" ca="1" si="32"/>
        <v>1600.3009722776605</v>
      </c>
      <c r="BP11" s="6">
        <f t="shared" ca="1" si="33"/>
        <v>1790.3009722776605</v>
      </c>
      <c r="BQ11" s="12">
        <f t="shared" ca="1" si="34"/>
        <v>1850.3009722776605</v>
      </c>
      <c r="BR11" s="2">
        <f t="shared" ca="1" si="35"/>
        <v>2.2898535063305459E-2</v>
      </c>
      <c r="BS11" s="2">
        <f t="shared" ca="1" si="36"/>
        <v>2.1397141321697004E-2</v>
      </c>
      <c r="BT11" s="2">
        <f t="shared" ca="1" si="37"/>
        <v>2.3976036729367444E-2</v>
      </c>
      <c r="BU11" s="13">
        <f t="shared" ca="1" si="38"/>
        <v>2.4779574295596619E-2</v>
      </c>
      <c r="BV11" s="2">
        <f t="shared" ca="1" si="39"/>
        <v>0.41789826490532461</v>
      </c>
      <c r="BW11" s="2">
        <f t="shared" ca="1" si="40"/>
        <v>0.39049782912097031</v>
      </c>
      <c r="BX11" s="2">
        <f t="shared" ca="1" si="41"/>
        <v>0.43756267031095586</v>
      </c>
      <c r="BY11" s="13">
        <f t="shared" ca="1" si="42"/>
        <v>0.45222723089463834</v>
      </c>
      <c r="BZ11">
        <v>1200</v>
      </c>
      <c r="CB11" s="17" t="s">
        <v>39</v>
      </c>
      <c r="CC11" s="123" t="b">
        <f t="shared" si="43"/>
        <v>1</v>
      </c>
      <c r="CD11" s="17" t="s">
        <v>299</v>
      </c>
      <c r="CE11" s="138" t="str">
        <f>IF([1]!w_info_callput(CD11)="认购","C","P")</f>
        <v>C</v>
      </c>
      <c r="CF11" s="139">
        <f>[1]!w_info_strikeprice(CD11,"")</f>
        <v>3.7</v>
      </c>
      <c r="CG11" s="140" t="str">
        <f>[1]!w_info_lasttradingdate(CD11)</f>
        <v>2020-04-22</v>
      </c>
      <c r="CH11" s="55" t="str">
        <f t="shared" si="44"/>
        <v>IO2004-C-3700.CFE</v>
      </c>
      <c r="CI11" s="55" t="str">
        <f t="shared" si="45"/>
        <v>IO2004-C-3700.CFE</v>
      </c>
      <c r="CK11" s="17" t="s">
        <v>198</v>
      </c>
      <c r="CL11" s="17"/>
    </row>
    <row r="12" spans="1:90">
      <c r="A12" s="50" t="str">
        <f t="shared" si="2"/>
        <v>T</v>
      </c>
      <c r="B12" t="s">
        <v>47</v>
      </c>
      <c r="C12" s="29" t="str">
        <f t="shared" si="3"/>
        <v>C</v>
      </c>
      <c r="D12" s="125">
        <f>[1]!w_info_strikeprice(B12,"")</f>
        <v>3800</v>
      </c>
      <c r="E12" s="18" t="str">
        <f>[1]!w_info_lasttradingdate(B12)</f>
        <v>2020-04-17</v>
      </c>
      <c r="F12" s="4">
        <f>IF(G12&gt;0,RTD("wdf.rtq",,$B12,F$5),0)</f>
        <v>53</v>
      </c>
      <c r="G12" s="73">
        <f>RTD("wdf.rtq",,$B12,G$5)</f>
        <v>720</v>
      </c>
      <c r="H12" s="4">
        <f>RTD("wdf.rtq",,$B12,H$5)</f>
        <v>51.4</v>
      </c>
      <c r="I12" s="73">
        <f>RTD("wdf.rtq",,$B12,I$5)</f>
        <v>1</v>
      </c>
      <c r="J12" s="4">
        <f>RTD("wdf.rtq",,$B12,J$5)</f>
        <v>54.4</v>
      </c>
      <c r="K12" s="73">
        <f>RTD("wdf.rtq",,$B12,K$5)</f>
        <v>1</v>
      </c>
      <c r="L12" s="4">
        <f>[1]!s_dq_presettle(B12,"")</f>
        <v>59</v>
      </c>
      <c r="M12" s="6">
        <f t="shared" si="4"/>
        <v>75.679999999999836</v>
      </c>
      <c r="N12" s="3">
        <f t="shared" si="5"/>
        <v>5300</v>
      </c>
      <c r="O12" s="6">
        <f t="shared" si="6"/>
        <v>29675.200000000019</v>
      </c>
      <c r="P12" s="3">
        <f t="shared" si="7"/>
        <v>19000</v>
      </c>
      <c r="Q12" s="6">
        <f t="shared" si="8"/>
        <v>34975.210000000021</v>
      </c>
      <c r="R12" s="75">
        <f ca="1">IF(NOW()-TODAY()&gt;15/24, G12, [1]!s_dq_volume(B12,R$2,1))/$I$2</f>
        <v>1795</v>
      </c>
      <c r="S12" s="78">
        <f t="shared" si="9"/>
        <v>0</v>
      </c>
      <c r="T12" s="78">
        <f t="shared" si="10"/>
        <v>53</v>
      </c>
      <c r="AB12" s="17" t="s">
        <v>300</v>
      </c>
      <c r="AC12" s="29" t="str">
        <f>IF([1]!w_info_callput(AB12)="认购","C","P")</f>
        <v>C</v>
      </c>
      <c r="AD12" s="31">
        <f>[1]!w_info_strikeprice(AB12,"")</f>
        <v>3.8</v>
      </c>
      <c r="AE12" s="18" t="str">
        <f>[1]!w_info_lasttradingdate(AB12)</f>
        <v>2020-04-22</v>
      </c>
      <c r="AF12" s="15">
        <f>RTD("wdf.rtq",,$AB12,F$5)</f>
        <v>5.7600000000000005E-2</v>
      </c>
      <c r="AG12" s="73">
        <f>RTD("wdf.rtq",,$AB12,G$5)</f>
        <v>66936</v>
      </c>
      <c r="AH12" s="15">
        <f>RTD("wdf.rtq",,$AB12,H$5)</f>
        <v>5.7100000000000005E-2</v>
      </c>
      <c r="AI12" s="73">
        <f>RTD("wdf.rtq",,$AB12,I$5)</f>
        <v>3</v>
      </c>
      <c r="AJ12" s="15">
        <f>RTD("wdf.rtq",,$AB12,J$5)</f>
        <v>5.7600000000000005E-2</v>
      </c>
      <c r="AK12" s="77">
        <f>RTD("wdf.rtq",,$AB12,K$5)</f>
        <v>49</v>
      </c>
      <c r="AL12" s="15">
        <f>[1]!s_dq_presettle(AB12,"")</f>
        <v>6.0199999999999997E-2</v>
      </c>
      <c r="AM12" s="15">
        <f t="shared" si="11"/>
        <v>8.8999999999999524E-2</v>
      </c>
      <c r="AN12" s="3">
        <f t="shared" si="12"/>
        <v>5760.0000000000009</v>
      </c>
      <c r="AO12" s="15">
        <f t="shared" si="13"/>
        <v>0.35632000000000047</v>
      </c>
      <c r="AP12" s="14">
        <f t="shared" si="14"/>
        <v>4.0320000000000009E-3</v>
      </c>
      <c r="AQ12" s="8">
        <f t="shared" si="15"/>
        <v>49670.410000000054</v>
      </c>
      <c r="AR12" s="78">
        <f ca="1">IF(NOW()-TODAY()&gt;15/24, AG12, [1]!s_dq_volume(AB12,AR$2,1))/AI$2</f>
        <v>14083.3</v>
      </c>
      <c r="AS12" s="122">
        <f t="shared" si="16"/>
        <v>0</v>
      </c>
      <c r="AT12" s="122">
        <f t="shared" si="17"/>
        <v>5.7600000000000005E-2</v>
      </c>
      <c r="AV12" s="49">
        <f t="shared" ca="1" si="18"/>
        <v>0</v>
      </c>
      <c r="AY12" s="10"/>
      <c r="AZ12" s="10"/>
      <c r="BA12" s="6">
        <f t="shared" ca="1" si="19"/>
        <v>-539.00000000000091</v>
      </c>
      <c r="BB12" s="6">
        <f t="shared" ca="1" si="20"/>
        <v>-699.00000000000091</v>
      </c>
      <c r="BC12" s="6">
        <f t="shared" ca="1" si="21"/>
        <v>-409.00000000000091</v>
      </c>
      <c r="BD12" s="12">
        <f t="shared" ca="1" si="22"/>
        <v>-349.00000000000091</v>
      </c>
      <c r="BE12" s="2">
        <f t="shared" ca="1" si="23"/>
        <v>-1.3231796276489077E-2</v>
      </c>
      <c r="BF12" s="2">
        <f t="shared" ca="1" si="24"/>
        <v>-1.7159602221272472E-2</v>
      </c>
      <c r="BG12" s="2">
        <f t="shared" ca="1" si="25"/>
        <v>-1.0047853825100048E-2</v>
      </c>
      <c r="BH12" s="13">
        <f t="shared" ca="1" si="26"/>
        <v>-8.5780557603119343E-3</v>
      </c>
      <c r="BI12" s="2">
        <f t="shared" ca="1" si="27"/>
        <v>-0.24148028204592564</v>
      </c>
      <c r="BJ12" s="2">
        <f t="shared" ca="1" si="28"/>
        <v>-0.31316274053822257</v>
      </c>
      <c r="BK12" s="2">
        <f t="shared" ca="1" si="29"/>
        <v>-0.1833733323080759</v>
      </c>
      <c r="BL12" s="56">
        <f t="shared" ca="1" si="30"/>
        <v>-0.1565495176256928</v>
      </c>
      <c r="BN12" s="6">
        <f t="shared" ca="1" si="31"/>
        <v>381.00000000000091</v>
      </c>
      <c r="BO12" s="6">
        <f t="shared" ca="1" si="32"/>
        <v>191.00000000000091</v>
      </c>
      <c r="BP12" s="6">
        <f t="shared" ca="1" si="33"/>
        <v>481.00000000000091</v>
      </c>
      <c r="BQ12" s="12">
        <f t="shared" ca="1" si="34"/>
        <v>541.00000000000091</v>
      </c>
      <c r="BR12" s="2">
        <f t="shared" ca="1" si="35"/>
        <v>6.9310016061368386E-3</v>
      </c>
      <c r="BS12" s="2">
        <f t="shared" ca="1" si="36"/>
        <v>3.4657698971936649E-3</v>
      </c>
      <c r="BT12" s="2">
        <f t="shared" ca="1" si="37"/>
        <v>8.7757019968644732E-3</v>
      </c>
      <c r="BU12" s="13">
        <f t="shared" ca="1" si="38"/>
        <v>9.8703877602813114E-3</v>
      </c>
      <c r="BV12" s="2">
        <f t="shared" ca="1" si="39"/>
        <v>0.12649077931199731</v>
      </c>
      <c r="BW12" s="2">
        <f t="shared" ca="1" si="40"/>
        <v>6.3250300623784381E-2</v>
      </c>
      <c r="BX12" s="2">
        <f t="shared" ca="1" si="41"/>
        <v>0.16015656144277662</v>
      </c>
      <c r="BY12" s="13">
        <f t="shared" ca="1" si="42"/>
        <v>0.18013457662513394</v>
      </c>
      <c r="CB12" s="17" t="s">
        <v>40</v>
      </c>
      <c r="CC12" s="123" t="b">
        <f t="shared" si="43"/>
        <v>1</v>
      </c>
      <c r="CD12" s="17" t="s">
        <v>300</v>
      </c>
      <c r="CE12" s="138" t="str">
        <f>IF([1]!w_info_callput(CD12)="认购","C","P")</f>
        <v>C</v>
      </c>
      <c r="CF12" s="139">
        <f>[1]!w_info_strikeprice(CD12,"")</f>
        <v>3.8</v>
      </c>
      <c r="CG12" s="140" t="str">
        <f>[1]!w_info_lasttradingdate(CD12)</f>
        <v>2020-04-22</v>
      </c>
      <c r="CH12" s="55" t="str">
        <f t="shared" si="44"/>
        <v>IO2004-C-3800.CFE</v>
      </c>
      <c r="CI12" s="55" t="str">
        <f t="shared" si="45"/>
        <v>IO2004-C-3800.CFE</v>
      </c>
      <c r="CK12" s="17" t="s">
        <v>199</v>
      </c>
      <c r="CL12" s="17"/>
    </row>
    <row r="13" spans="1:90">
      <c r="A13" s="50" t="str">
        <f t="shared" si="2"/>
        <v>T</v>
      </c>
      <c r="B13" t="s">
        <v>49</v>
      </c>
      <c r="C13" s="29" t="str">
        <f t="shared" si="3"/>
        <v>C</v>
      </c>
      <c r="D13" s="125">
        <f>[1]!w_info_strikeprice(B13,"")</f>
        <v>3900</v>
      </c>
      <c r="E13" s="18" t="str">
        <f>[1]!w_info_lasttradingdate(B13)</f>
        <v>2020-04-17</v>
      </c>
      <c r="F13" s="4">
        <f>IF(G13&gt;0,RTD("wdf.rtq",,$B13,F$5),0)</f>
        <v>30</v>
      </c>
      <c r="G13" s="73">
        <f>RTD("wdf.rtq",,$B13,G$5)</f>
        <v>365</v>
      </c>
      <c r="H13" s="4">
        <f>RTD("wdf.rtq",,$B13,H$5)</f>
        <v>26.6</v>
      </c>
      <c r="I13" s="73">
        <f>RTD("wdf.rtq",,$B13,I$5)</f>
        <v>10</v>
      </c>
      <c r="J13" s="4">
        <f>RTD("wdf.rtq",,$B13,J$5)</f>
        <v>30</v>
      </c>
      <c r="K13" s="73">
        <f>RTD("wdf.rtq",,$B13,K$5)</f>
        <v>2</v>
      </c>
      <c r="L13" s="4">
        <f>[1]!s_dq_presettle(B13,"")</f>
        <v>28.8</v>
      </c>
      <c r="M13" s="6">
        <f t="shared" si="4"/>
        <v>175.67999999999984</v>
      </c>
      <c r="N13" s="3">
        <f t="shared" si="5"/>
        <v>3000</v>
      </c>
      <c r="O13" s="6">
        <f t="shared" si="6"/>
        <v>19675.200000000019</v>
      </c>
      <c r="P13" s="3">
        <f t="shared" si="7"/>
        <v>19500</v>
      </c>
      <c r="Q13" s="6">
        <f t="shared" si="8"/>
        <v>22675.210000000017</v>
      </c>
      <c r="R13" s="75">
        <f ca="1">IF(NOW()-TODAY()&gt;15/24, G13, [1]!s_dq_volume(B13,R$2,1))/$I$2</f>
        <v>1203</v>
      </c>
      <c r="S13" s="78">
        <f t="shared" si="9"/>
        <v>0</v>
      </c>
      <c r="T13" s="78">
        <f t="shared" si="10"/>
        <v>30</v>
      </c>
      <c r="AB13" s="17" t="s">
        <v>301</v>
      </c>
      <c r="AC13" s="29" t="str">
        <f>IF([1]!w_info_callput(AB13)="认购","C","P")</f>
        <v>C</v>
      </c>
      <c r="AD13" s="31">
        <f>[1]!w_info_strikeprice(AB13,"")</f>
        <v>3.9</v>
      </c>
      <c r="AE13" s="18" t="str">
        <f>[1]!w_info_lasttradingdate(AB13)</f>
        <v>2020-04-22</v>
      </c>
      <c r="AF13" s="15">
        <f>RTD("wdf.rtq",,$AB13,F$5)</f>
        <v>3.1100000000000003E-2</v>
      </c>
      <c r="AG13" s="73">
        <f>RTD("wdf.rtq",,$AB13,G$5)</f>
        <v>52565</v>
      </c>
      <c r="AH13" s="15">
        <f>RTD("wdf.rtq",,$AB13,H$5)</f>
        <v>3.0800000000000001E-2</v>
      </c>
      <c r="AI13" s="73">
        <f>RTD("wdf.rtq",,$AB13,I$5)</f>
        <v>16</v>
      </c>
      <c r="AJ13" s="15">
        <f>RTD("wdf.rtq",,$AB13,J$5)</f>
        <v>3.1100000000000003E-2</v>
      </c>
      <c r="AK13" s="77">
        <f>RTD("wdf.rtq",,$AB13,K$5)</f>
        <v>2</v>
      </c>
      <c r="AL13" s="15">
        <f>[1]!s_dq_presettle(AB13,"")</f>
        <v>3.44E-2</v>
      </c>
      <c r="AM13" s="15">
        <f t="shared" si="11"/>
        <v>0.18899999999999961</v>
      </c>
      <c r="AN13" s="3">
        <f t="shared" si="12"/>
        <v>3110.0000000000005</v>
      </c>
      <c r="AO13" s="15">
        <f t="shared" si="13"/>
        <v>0.25632000000000038</v>
      </c>
      <c r="AP13" s="14">
        <f t="shared" si="14"/>
        <v>2.1770000000000005E-3</v>
      </c>
      <c r="AQ13" s="8">
        <f t="shared" si="15"/>
        <v>34490.410000000047</v>
      </c>
      <c r="AR13" s="78">
        <f ca="1">IF(NOW()-TODAY()&gt;15/24, AG13, [1]!s_dq_volume(AB13,AR$2,1))/AI$2</f>
        <v>8241.2999999999993</v>
      </c>
      <c r="AS13" s="122">
        <f t="shared" si="16"/>
        <v>0</v>
      </c>
      <c r="AT13" s="122">
        <f t="shared" si="17"/>
        <v>3.1100000000000003E-2</v>
      </c>
      <c r="AV13" s="49">
        <f t="shared" ca="1" si="18"/>
        <v>0</v>
      </c>
      <c r="AY13" s="10"/>
      <c r="AZ13" s="10"/>
      <c r="BA13" s="6">
        <f t="shared" ca="1" si="19"/>
        <v>-189.00000000000045</v>
      </c>
      <c r="BB13" s="6">
        <f t="shared" ca="1" si="20"/>
        <v>-529.00000000000045</v>
      </c>
      <c r="BC13" s="6">
        <f t="shared" ca="1" si="21"/>
        <v>-219</v>
      </c>
      <c r="BD13" s="12">
        <f t="shared" ca="1" si="22"/>
        <v>-159</v>
      </c>
      <c r="BE13" s="2">
        <f t="shared" ca="1" si="23"/>
        <v>-7.3297832362040228E-3</v>
      </c>
      <c r="BF13" s="2">
        <f t="shared" ca="1" si="24"/>
        <v>-2.0515636676994298E-2</v>
      </c>
      <c r="BG13" s="2">
        <f t="shared" ca="1" si="25"/>
        <v>-8.4965360127036739E-3</v>
      </c>
      <c r="BH13" s="13">
        <f t="shared" ca="1" si="26"/>
        <v>-6.1735081950409212E-3</v>
      </c>
      <c r="BI13" s="2">
        <f t="shared" ca="1" si="27"/>
        <v>-0.13376854406072342</v>
      </c>
      <c r="BJ13" s="2">
        <f t="shared" ca="1" si="28"/>
        <v>-0.37441036935514593</v>
      </c>
      <c r="BK13" s="2">
        <f t="shared" ca="1" si="29"/>
        <v>-0.15506178223184203</v>
      </c>
      <c r="BL13" s="56">
        <f t="shared" ca="1" si="30"/>
        <v>-0.11266652455949681</v>
      </c>
      <c r="BN13" s="6">
        <f t="shared" ca="1" si="31"/>
        <v>31.000000000000455</v>
      </c>
      <c r="BO13" s="6">
        <f t="shared" ca="1" si="32"/>
        <v>1</v>
      </c>
      <c r="BP13" s="6">
        <f t="shared" ca="1" si="33"/>
        <v>311.00000000000045</v>
      </c>
      <c r="BQ13" s="12">
        <f t="shared" ca="1" si="34"/>
        <v>371.00000000000045</v>
      </c>
      <c r="BR13" s="2">
        <f t="shared" ca="1" si="35"/>
        <v>8.2687812696634723E-4</v>
      </c>
      <c r="BS13" s="2">
        <f t="shared" ca="1" si="36"/>
        <v>2.6673487966655974E-5</v>
      </c>
      <c r="BT13" s="2">
        <f t="shared" ca="1" si="37"/>
        <v>8.3713701294978304E-3</v>
      </c>
      <c r="BU13" s="13">
        <f t="shared" ca="1" si="38"/>
        <v>9.9864308361603538E-3</v>
      </c>
      <c r="BV13" s="2">
        <f t="shared" ca="1" si="39"/>
        <v>1.5090525817135835E-2</v>
      </c>
      <c r="BW13" s="2">
        <f t="shared" ca="1" si="40"/>
        <v>4.8679115539147154E-4</v>
      </c>
      <c r="BX13" s="2">
        <f t="shared" ca="1" si="41"/>
        <v>0.15277750486333541</v>
      </c>
      <c r="BY13" s="13">
        <f t="shared" ca="1" si="42"/>
        <v>0.18225236275992646</v>
      </c>
      <c r="CB13" s="17" t="s">
        <v>41</v>
      </c>
      <c r="CC13" s="123" t="b">
        <f t="shared" si="43"/>
        <v>1</v>
      </c>
      <c r="CD13" s="17" t="s">
        <v>301</v>
      </c>
      <c r="CE13" s="138" t="str">
        <f>IF([1]!w_info_callput(CD13)="认购","C","P")</f>
        <v>C</v>
      </c>
      <c r="CF13" s="139">
        <f>[1]!w_info_strikeprice(CD13,"")</f>
        <v>3.9</v>
      </c>
      <c r="CG13" s="140" t="str">
        <f>[1]!w_info_lasttradingdate(CD13)</f>
        <v>2020-04-22</v>
      </c>
      <c r="CH13" s="55" t="str">
        <f t="shared" si="44"/>
        <v>IO2004-C-3900.CFE</v>
      </c>
      <c r="CI13" s="55" t="str">
        <f t="shared" si="45"/>
        <v>IO2004-C-3900.CFE</v>
      </c>
      <c r="CK13" s="17" t="s">
        <v>200</v>
      </c>
      <c r="CL13" s="17"/>
    </row>
    <row r="14" spans="1:90">
      <c r="A14" s="50" t="str">
        <f t="shared" ref="A14:A45" si="46">IF(C14&amp;D14&amp;YEAR(E14)&amp;MONTH(E14)=AC14&amp;AD14*1000&amp;YEAR(AE14)&amp;MONTH(AE14),"T","F")</f>
        <v>T</v>
      </c>
      <c r="B14" t="s">
        <v>51</v>
      </c>
      <c r="C14" s="29" t="str">
        <f t="shared" si="3"/>
        <v>C</v>
      </c>
      <c r="D14" s="125">
        <f>[1]!w_info_strikeprice(B14,"")</f>
        <v>4000</v>
      </c>
      <c r="E14" s="18" t="str">
        <f>[1]!w_info_lasttradingdate(B14)</f>
        <v>2020-04-17</v>
      </c>
      <c r="F14" s="4">
        <f>IF(G14&gt;0,RTD("wdf.rtq",,$B14,F$5),0)</f>
        <v>11.8</v>
      </c>
      <c r="G14" s="73">
        <f>RTD("wdf.rtq",,$B14,G$5)</f>
        <v>732</v>
      </c>
      <c r="H14" s="4">
        <f>RTD("wdf.rtq",,$B14,H$5)</f>
        <v>12.200000000000001</v>
      </c>
      <c r="I14" s="73">
        <f>RTD("wdf.rtq",,$B14,I$5)</f>
        <v>2</v>
      </c>
      <c r="J14" s="4">
        <f>RTD("wdf.rtq",,$B14,J$5)</f>
        <v>14.200000000000001</v>
      </c>
      <c r="K14" s="73">
        <f>RTD("wdf.rtq",,$B14,K$5)</f>
        <v>1</v>
      </c>
      <c r="L14" s="4">
        <f>[1]!s_dq_presettle(B14,"")</f>
        <v>14.6</v>
      </c>
      <c r="M14" s="6">
        <f t="shared" si="4"/>
        <v>275.67999999999984</v>
      </c>
      <c r="N14" s="3">
        <f t="shared" si="5"/>
        <v>1180</v>
      </c>
      <c r="O14" s="6">
        <f t="shared" si="6"/>
        <v>9675.2000000000189</v>
      </c>
      <c r="P14" s="3">
        <f t="shared" si="7"/>
        <v>20000</v>
      </c>
      <c r="Q14" s="6">
        <f t="shared" si="8"/>
        <v>21180.01</v>
      </c>
      <c r="R14" s="75">
        <f ca="1">IF(NOW()-TODAY()&gt;15/24, G14, [1]!s_dq_volume(B14,R$2,1))/$I$2</f>
        <v>1330</v>
      </c>
      <c r="S14" s="78">
        <f t="shared" si="9"/>
        <v>0</v>
      </c>
      <c r="T14" s="78">
        <f t="shared" si="10"/>
        <v>11.8</v>
      </c>
      <c r="AB14" s="17" t="s">
        <v>302</v>
      </c>
      <c r="AC14" s="29" t="str">
        <f>IF([1]!w_info_callput(AB14)="认购","C","P")</f>
        <v>C</v>
      </c>
      <c r="AD14" s="31">
        <f>[1]!w_info_strikeprice(AB14,"")</f>
        <v>4</v>
      </c>
      <c r="AE14" s="18" t="str">
        <f>[1]!w_info_lasttradingdate(AB14)</f>
        <v>2020-04-22</v>
      </c>
      <c r="AF14" s="15">
        <f>RTD("wdf.rtq",,$AB14,F$5)</f>
        <v>1.5900000000000001E-2</v>
      </c>
      <c r="AG14" s="73">
        <f>RTD("wdf.rtq",,$AB14,G$5)</f>
        <v>24629</v>
      </c>
      <c r="AH14" s="15">
        <f>RTD("wdf.rtq",,$AB14,H$5)</f>
        <v>1.5900000000000001E-2</v>
      </c>
      <c r="AI14" s="73">
        <f>RTD("wdf.rtq",,$AB14,I$5)</f>
        <v>16</v>
      </c>
      <c r="AJ14" s="15">
        <f>RTD("wdf.rtq",,$AB14,J$5)</f>
        <v>1.6400000000000001E-2</v>
      </c>
      <c r="AK14" s="77">
        <f>RTD("wdf.rtq",,$AB14,K$5)</f>
        <v>8</v>
      </c>
      <c r="AL14" s="15">
        <f>[1]!s_dq_presettle(AB14,"")</f>
        <v>1.72E-2</v>
      </c>
      <c r="AM14" s="15">
        <f t="shared" si="11"/>
        <v>0.2889999999999997</v>
      </c>
      <c r="AN14" s="3">
        <f t="shared" si="12"/>
        <v>1590</v>
      </c>
      <c r="AO14" s="15">
        <f t="shared" si="13"/>
        <v>0.15632000000000029</v>
      </c>
      <c r="AP14" s="14">
        <f t="shared" si="14"/>
        <v>1.1130000000000003E-3</v>
      </c>
      <c r="AQ14" s="8">
        <f t="shared" si="15"/>
        <v>20666.410000000033</v>
      </c>
      <c r="AR14" s="78">
        <f ca="1">IF(NOW()-TODAY()&gt;15/24, AG14, [1]!s_dq_volume(AB14,AR$2,1))/AI$2</f>
        <v>4759.3</v>
      </c>
      <c r="AS14" s="122">
        <f t="shared" si="16"/>
        <v>0</v>
      </c>
      <c r="AT14" s="122">
        <f t="shared" si="17"/>
        <v>1.5900000000000001E-2</v>
      </c>
      <c r="AV14" s="49">
        <f t="shared" ca="1" si="18"/>
        <v>0</v>
      </c>
      <c r="AY14" s="10"/>
      <c r="AZ14" s="10"/>
      <c r="BA14" s="6">
        <f t="shared" ref="BA14:BA45" ca="1" si="47">IF(AND(F14&gt;0,AF14&gt;0),(H$2*I$2*F14-AH$2*AI$2*AF14)-2*$I$2*$J$2-2*$AI$2*$AJ$2-AV14,0)</f>
        <v>-489</v>
      </c>
      <c r="BB14" s="6">
        <f t="shared" ref="BB14:BB45" ca="1" si="48">IF(AND(H14&gt;0,AJ14&gt;0),H$2*I$2*H14-AH$2*AI$2*AJ14-2*$I$2*$J$2-2*$AI$2*$AJ$2-AV14,0)</f>
        <v>-499.00000000000023</v>
      </c>
      <c r="BC14" s="6">
        <f t="shared" ref="BC14:BC45" ca="1" si="49">IF(AND(J14&gt;0,AH14&gt;0),H$2*I$2*J14-AH$2*AI$2*AH14-2*$I$2*$J$2-2*$AI$2*$AJ$2-H$2*I$2*$BC$2-AH$2*AI$2*$BC$3-AV14,0)</f>
        <v>-309</v>
      </c>
      <c r="BD14" s="12">
        <f t="shared" ref="BD14:BD45" ca="1" si="50">IF(AND(J14&gt;0,AH14&gt;0),H$2*I$2*J14-AH$2*AI$2*AH14-2*$I$2*$J$2-2*$AI$2*$AJ$2-AV14,0)</f>
        <v>-249</v>
      </c>
      <c r="BE14" s="2">
        <f t="shared" ref="BE14:BE45" ca="1" si="51">BA14/(Q14+AH$2*AI$2*AF14)</f>
        <v>-2.1475616391911995E-2</v>
      </c>
      <c r="BF14" s="2">
        <f t="shared" ref="BF14:BF45" ca="1" si="52">BB14/(Q14+AH$2*AI$2*AJ14)</f>
        <v>-2.1866773940940439E-2</v>
      </c>
      <c r="BG14" s="2">
        <f t="shared" ref="BG14:BG45" ca="1" si="53">BC14/(Q14+AH$2*AI$2*(AH14+$BC$3))</f>
        <v>-1.3558572374474605E-2</v>
      </c>
      <c r="BH14" s="13">
        <f t="shared" ref="BH14:BH45" ca="1" si="54">BD14/(Q14+AH$2*AI$2*AH14)</f>
        <v>-1.0935436567660708E-2</v>
      </c>
      <c r="BI14" s="2">
        <f t="shared" ref="BI14:BI45" ca="1" si="55">BE14*365/(AE14+1-TODAY())</f>
        <v>-0.3919299991523939</v>
      </c>
      <c r="BJ14" s="2">
        <f t="shared" ref="BJ14:BJ45" ca="1" si="56">BF14*365/(AE14+1-TODAY())</f>
        <v>-0.39906862442216301</v>
      </c>
      <c r="BK14" s="2">
        <f t="shared" ref="BK14:BK45" ca="1" si="57">BG14*365/(AE14+1-TODAY())</f>
        <v>-0.24744394583416157</v>
      </c>
      <c r="BL14" s="56">
        <f t="shared" ref="BL14:BL45" ca="1" si="58">BH14*365/(AE14+1-TODAY())</f>
        <v>-0.19957171735980792</v>
      </c>
      <c r="BN14" s="6">
        <f t="shared" ref="BN14:BN45" ca="1" si="59">IF(AND(F14&gt;0,AF14&gt;0),-H$2*I$2*F14+AH$2*AI$2*AF14-2*$I$2*$J$2-2*$AI$2*$AJ$2+AV14,0)</f>
        <v>331</v>
      </c>
      <c r="BO14" s="6">
        <f t="shared" ref="BO14:BO45" ca="1" si="60">IF(AND(J14&gt;0,AH14&gt;0),-H$2*I$2*J14+AH$2*AI$2*AH14-2*$I$2*$J$2-2*$AI$2*$AJ$2+AV14,0)</f>
        <v>91</v>
      </c>
      <c r="BP14" s="6">
        <f t="shared" ref="BP14:BP45" ca="1" si="61">IF(AND(H14&gt;0,AJ14&gt;0),-H$2*I$2*H14+AH$2*AI$2*AJ14-2*$I$2*$J$2-2*$AI$2*$AJ$2-H$2*I$2*$BC$2-AH$2*AI$2*$BC$3+AV14,0)</f>
        <v>281.00000000000023</v>
      </c>
      <c r="BQ14" s="12">
        <f t="shared" ref="BQ14:BQ45" ca="1" si="62">IF(AND(H14&gt;0,AJ14&gt;0),-H$2*I$2*H14+AH$2*AI$2*AJ14-2*$I$2*$J$2-2*$AI$2*$AJ$2+AV14,0)</f>
        <v>341.00000000000023</v>
      </c>
      <c r="BR14" s="2">
        <f t="shared" ref="BR14:BR45" ca="1" si="63">BN14/(AQ14+H$2*I$2*F14)</f>
        <v>1.5151230797188166E-2</v>
      </c>
      <c r="BS14" s="2">
        <f t="shared" ref="BS14:BS45" ca="1" si="64">BO14/(AQ14+H$2*I$2*J14)</f>
        <v>4.1201806902977835E-3</v>
      </c>
      <c r="BT14" s="2">
        <f t="shared" ref="BT14:BT45" ca="1" si="65">BP14/(AQ14+H$2*I$2*(H14+$BP$3))</f>
        <v>1.2839005721810263E-2</v>
      </c>
      <c r="BU14" s="13">
        <f t="shared" ref="BU14:BU45" ca="1" si="66">BQ14/(AQ14+H$2*I$2*H14)</f>
        <v>1.5580444668632258E-2</v>
      </c>
      <c r="BV14" s="2">
        <f t="shared" ref="BV14:BV45" ca="1" si="67">BR14*365/(AE14+1-TODAY())</f>
        <v>0.27650996204868405</v>
      </c>
      <c r="BW14" s="2">
        <f t="shared" ref="BW14:BW45" ca="1" si="68">BS14*365/(AE14+1-TODAY())</f>
        <v>7.5193297597934555E-2</v>
      </c>
      <c r="BX14" s="2">
        <f t="shared" ref="BX14:BX45" ca="1" si="69">BT14*365/(AE14+1-TODAY())</f>
        <v>0.23431185442303731</v>
      </c>
      <c r="BY14" s="13">
        <f t="shared" ref="BY14:BY45" ca="1" si="70">BU14*365/(AE14+1-TODAY())</f>
        <v>0.28434311520253874</v>
      </c>
      <c r="CB14" s="17" t="s">
        <v>42</v>
      </c>
      <c r="CC14" s="123" t="b">
        <f t="shared" si="43"/>
        <v>1</v>
      </c>
      <c r="CD14" s="17" t="s">
        <v>302</v>
      </c>
      <c r="CE14" s="138" t="str">
        <f>IF([1]!w_info_callput(CD14)="认购","C","P")</f>
        <v>C</v>
      </c>
      <c r="CF14" s="139">
        <f>[1]!w_info_strikeprice(CD14,"")</f>
        <v>4</v>
      </c>
      <c r="CG14" s="140" t="str">
        <f>[1]!w_info_lasttradingdate(CD14)</f>
        <v>2020-04-22</v>
      </c>
      <c r="CH14" s="55" t="str">
        <f t="shared" si="44"/>
        <v>IO2004-C-4000.CFE</v>
      </c>
      <c r="CI14" s="55" t="str">
        <f t="shared" si="45"/>
        <v>IO2004-C-4000.CFE</v>
      </c>
      <c r="CK14" s="17" t="s">
        <v>29</v>
      </c>
      <c r="CL14" s="17"/>
    </row>
    <row r="15" spans="1:90">
      <c r="A15" s="50" t="str">
        <f t="shared" si="46"/>
        <v>T</v>
      </c>
      <c r="B15" t="s">
        <v>53</v>
      </c>
      <c r="C15" s="29" t="str">
        <f t="shared" si="3"/>
        <v>C</v>
      </c>
      <c r="D15" s="125">
        <f>[1]!w_info_strikeprice(B15,"")</f>
        <v>4100</v>
      </c>
      <c r="E15" s="18" t="str">
        <f>[1]!w_info_lasttradingdate(B15)</f>
        <v>2020-04-17</v>
      </c>
      <c r="F15" s="4">
        <f>IF(G15&gt;0,RTD("wdf.rtq",,$B15,F$5),0)</f>
        <v>8</v>
      </c>
      <c r="G15" s="73">
        <f>RTD("wdf.rtq",,$B15,G$5)</f>
        <v>309</v>
      </c>
      <c r="H15" s="4">
        <f>RTD("wdf.rtq",,$B15,H$5)</f>
        <v>6.6000000000000005</v>
      </c>
      <c r="I15" s="73">
        <f>RTD("wdf.rtq",,$B15,I$5)</f>
        <v>4</v>
      </c>
      <c r="J15" s="4">
        <f>RTD("wdf.rtq",,$B15,J$5)</f>
        <v>8.4</v>
      </c>
      <c r="K15" s="73">
        <f>RTD("wdf.rtq",,$B15,K$5)</f>
        <v>1</v>
      </c>
      <c r="L15" s="4">
        <f>[1]!s_dq_presettle(B15,"")</f>
        <v>6.8</v>
      </c>
      <c r="M15" s="6">
        <f t="shared" si="4"/>
        <v>375.67999999999984</v>
      </c>
      <c r="N15" s="3">
        <f t="shared" si="5"/>
        <v>800</v>
      </c>
      <c r="O15" s="6">
        <f t="shared" si="6"/>
        <v>-324.79999999998199</v>
      </c>
      <c r="P15" s="3">
        <f t="shared" si="7"/>
        <v>20500</v>
      </c>
      <c r="Q15" s="6">
        <f t="shared" si="8"/>
        <v>21300.01</v>
      </c>
      <c r="R15" s="75">
        <f ca="1">IF(NOW()-TODAY()&gt;15/24, G15, [1]!s_dq_volume(B15,R$2,1))/$I$2</f>
        <v>717</v>
      </c>
      <c r="S15" s="78">
        <f t="shared" ref="S15:S59" si="71">IF(C15="C",MAX($F$2-D15,0),MAX(D15-$F$2,0))</f>
        <v>0</v>
      </c>
      <c r="T15" s="78">
        <f t="shared" ref="T15:T77" si="72">F15-S15</f>
        <v>8</v>
      </c>
      <c r="AB15" s="17" t="s">
        <v>303</v>
      </c>
      <c r="AC15" s="29" t="str">
        <f>IF([1]!w_info_callput(AB15)="认购","C","P")</f>
        <v>C</v>
      </c>
      <c r="AD15" s="31">
        <f>[1]!w_info_strikeprice(AB15,"")</f>
        <v>4.0999999999999996</v>
      </c>
      <c r="AE15" s="18" t="str">
        <f>[1]!w_info_lasttradingdate(AB15)</f>
        <v>2020-04-22</v>
      </c>
      <c r="AF15" s="15">
        <f>RTD("wdf.rtq",,$AB15,F$5)</f>
        <v>8.4000000000000012E-3</v>
      </c>
      <c r="AG15" s="73">
        <f>RTD("wdf.rtq",,$AB15,G$5)</f>
        <v>14035</v>
      </c>
      <c r="AH15" s="15">
        <f>RTD("wdf.rtq",,$AB15,H$5)</f>
        <v>8.4000000000000012E-3</v>
      </c>
      <c r="AI15" s="73">
        <f>RTD("wdf.rtq",,$AB15,I$5)</f>
        <v>7</v>
      </c>
      <c r="AJ15" s="15">
        <f>RTD("wdf.rtq",,$AB15,J$5)</f>
        <v>8.7000000000000011E-3</v>
      </c>
      <c r="AK15" s="77">
        <f>RTD("wdf.rtq",,$AB15,K$5)</f>
        <v>26</v>
      </c>
      <c r="AL15" s="15">
        <f>[1]!s_dq_presettle(AB15,"")</f>
        <v>0.01</v>
      </c>
      <c r="AM15" s="15">
        <f t="shared" si="11"/>
        <v>0.38899999999999935</v>
      </c>
      <c r="AN15" s="3">
        <f t="shared" si="12"/>
        <v>840.00000000000011</v>
      </c>
      <c r="AO15" s="15">
        <f t="shared" ref="AO15:AO59" si="73">$AO$2*$AF$2-AM15</f>
        <v>5.6320000000000647E-2</v>
      </c>
      <c r="AP15" s="14">
        <f t="shared" si="14"/>
        <v>5.8800000000000009E-4</v>
      </c>
      <c r="AQ15" s="8">
        <f t="shared" si="15"/>
        <v>7766.4100000000781</v>
      </c>
      <c r="AR15" s="78">
        <f ca="1">IF(NOW()-TODAY()&gt;15/24, AG15, [1]!s_dq_volume(AB15,AR$2,1))/AI$2</f>
        <v>1999.3</v>
      </c>
      <c r="AS15" s="122">
        <f t="shared" ref="AS15:AS59" si="74">IF(AC15="C",MAX($AF$2-AD15,0),MAX(AD15-$AF$2,0))</f>
        <v>0</v>
      </c>
      <c r="AT15" s="122">
        <f t="shared" ref="AT15:AT59" si="75">AF15-AS15</f>
        <v>8.4000000000000012E-3</v>
      </c>
      <c r="AV15" s="49">
        <f t="shared" ca="1" si="18"/>
        <v>0</v>
      </c>
      <c r="AY15" s="10"/>
      <c r="AZ15" s="10"/>
      <c r="BA15" s="6">
        <f t="shared" ca="1" si="47"/>
        <v>-119.00000000000011</v>
      </c>
      <c r="BB15" s="6">
        <f t="shared" ca="1" si="48"/>
        <v>-289.00000000000011</v>
      </c>
      <c r="BC15" s="6">
        <f t="shared" ca="1" si="49"/>
        <v>-139.00000000000011</v>
      </c>
      <c r="BD15" s="12">
        <f t="shared" ca="1" si="50"/>
        <v>-79.000000000000114</v>
      </c>
      <c r="BE15" s="2">
        <f t="shared" ca="1" si="51"/>
        <v>-5.3748846545236487E-3</v>
      </c>
      <c r="BF15" s="2">
        <f t="shared" ca="1" si="52"/>
        <v>-1.3035627859437147E-2</v>
      </c>
      <c r="BG15" s="2">
        <f t="shared" ca="1" si="53"/>
        <v>-6.2725603463175388E-3</v>
      </c>
      <c r="BH15" s="13">
        <f t="shared" ca="1" si="54"/>
        <v>-3.5682007370367095E-3</v>
      </c>
      <c r="BI15" s="2">
        <f t="shared" ca="1" si="55"/>
        <v>-9.8091644945056594E-2</v>
      </c>
      <c r="BJ15" s="2">
        <f t="shared" ca="1" si="56"/>
        <v>-0.23790020843472792</v>
      </c>
      <c r="BK15" s="2">
        <f t="shared" ca="1" si="57"/>
        <v>-0.11447422632029509</v>
      </c>
      <c r="BL15" s="56">
        <f t="shared" ca="1" si="58"/>
        <v>-6.5119663450919948E-2</v>
      </c>
      <c r="BN15" s="6">
        <f t="shared" ca="1" si="59"/>
        <v>-38.999999999999886</v>
      </c>
      <c r="BO15" s="6">
        <f t="shared" ca="1" si="60"/>
        <v>-78.999999999999886</v>
      </c>
      <c r="BP15" s="6">
        <f t="shared" ca="1" si="61"/>
        <v>71.000000000000114</v>
      </c>
      <c r="BQ15" s="12">
        <f t="shared" ca="1" si="62"/>
        <v>131.00000000000011</v>
      </c>
      <c r="BR15" s="2">
        <f t="shared" ca="1" si="63"/>
        <v>-4.5526655857003728E-3</v>
      </c>
      <c r="BS15" s="2">
        <f t="shared" ca="1" si="64"/>
        <v>-9.1792048020021329E-3</v>
      </c>
      <c r="BT15" s="2">
        <f t="shared" ca="1" si="65"/>
        <v>8.4258695556717906E-3</v>
      </c>
      <c r="BU15" s="13">
        <f t="shared" ca="1" si="66"/>
        <v>1.554635960035162E-2</v>
      </c>
      <c r="BV15" s="2">
        <f t="shared" ca="1" si="67"/>
        <v>-8.3086146939031796E-2</v>
      </c>
      <c r="BW15" s="2">
        <f t="shared" ca="1" si="68"/>
        <v>-0.16752048763653893</v>
      </c>
      <c r="BX15" s="2">
        <f t="shared" ca="1" si="69"/>
        <v>0.15377211939101018</v>
      </c>
      <c r="BY15" s="13">
        <f t="shared" ca="1" si="70"/>
        <v>0.28372106270641706</v>
      </c>
      <c r="CB15" s="17" t="s">
        <v>43</v>
      </c>
      <c r="CC15" s="123" t="b">
        <f t="shared" si="43"/>
        <v>1</v>
      </c>
      <c r="CD15" s="17" t="s">
        <v>303</v>
      </c>
      <c r="CE15" s="138" t="str">
        <f>IF([1]!w_info_callput(CD15)="认购","C","P")</f>
        <v>C</v>
      </c>
      <c r="CF15" s="139">
        <f>[1]!w_info_strikeprice(CD15,"")</f>
        <v>4.0999999999999996</v>
      </c>
      <c r="CG15" s="140" t="str">
        <f>[1]!w_info_lasttradingdate(CD15)</f>
        <v>2020-04-22</v>
      </c>
      <c r="CH15" s="55" t="str">
        <f t="shared" si="44"/>
        <v>IO2004-C-4100.CFE</v>
      </c>
      <c r="CI15" s="55" t="str">
        <f t="shared" si="45"/>
        <v>IO2004-C-4100.CFE</v>
      </c>
      <c r="CK15" s="17" t="s">
        <v>27</v>
      </c>
      <c r="CL15" s="17"/>
    </row>
    <row r="16" spans="1:90">
      <c r="A16" s="50" t="str">
        <f t="shared" si="46"/>
        <v>T</v>
      </c>
      <c r="B16" t="s">
        <v>55</v>
      </c>
      <c r="C16" s="29" t="str">
        <f t="shared" si="3"/>
        <v>C</v>
      </c>
      <c r="D16" s="125">
        <f>[1]!w_info_strikeprice(B16,"")</f>
        <v>4200</v>
      </c>
      <c r="E16" s="18" t="str">
        <f>[1]!w_info_lasttradingdate(B16)</f>
        <v>2020-04-17</v>
      </c>
      <c r="F16" s="4">
        <f>IF(G16&gt;0,RTD("wdf.rtq",,$B16,F$5),0)</f>
        <v>4.4000000000000004</v>
      </c>
      <c r="G16" s="73">
        <f>RTD("wdf.rtq",,$B16,G$5)</f>
        <v>180</v>
      </c>
      <c r="H16" s="4">
        <f>RTD("wdf.rtq",,$B16,H$5)</f>
        <v>3.8000000000000003</v>
      </c>
      <c r="I16" s="73">
        <f>RTD("wdf.rtq",,$B16,I$5)</f>
        <v>6</v>
      </c>
      <c r="J16" s="4">
        <f>RTD("wdf.rtq",,$B16,J$5)</f>
        <v>4.4000000000000004</v>
      </c>
      <c r="K16" s="73">
        <f>RTD("wdf.rtq",,$B16,K$5)</f>
        <v>1</v>
      </c>
      <c r="L16" s="4">
        <f>[1]!s_dq_presettle(B16,"")</f>
        <v>3.8</v>
      </c>
      <c r="M16" s="6">
        <f t="shared" si="4"/>
        <v>475.67999999999984</v>
      </c>
      <c r="N16" s="3">
        <f t="shared" si="5"/>
        <v>440.00000000000006</v>
      </c>
      <c r="O16" s="6">
        <f t="shared" si="6"/>
        <v>-10324.799999999981</v>
      </c>
      <c r="P16" s="3">
        <f t="shared" si="7"/>
        <v>21000</v>
      </c>
      <c r="Q16" s="6">
        <f t="shared" si="8"/>
        <v>21440.01</v>
      </c>
      <c r="R16" s="75">
        <f ca="1">IF(NOW()-TODAY()&gt;15/24, G16, [1]!s_dq_volume(B16,R$2,1))/$I$2</f>
        <v>556</v>
      </c>
      <c r="S16" s="78">
        <f t="shared" si="71"/>
        <v>0</v>
      </c>
      <c r="T16" s="78">
        <f t="shared" si="72"/>
        <v>4.4000000000000004</v>
      </c>
      <c r="AB16" s="124" t="s">
        <v>304</v>
      </c>
      <c r="AC16" s="29" t="str">
        <f>IF([1]!w_info_callput(AB16)="认购","C","P")</f>
        <v>C</v>
      </c>
      <c r="AD16" s="31">
        <f>[1]!w_info_strikeprice(AB16,"")</f>
        <v>4.2</v>
      </c>
      <c r="AE16" s="18" t="str">
        <f>[1]!w_info_lasttradingdate(AB16)</f>
        <v>2020-04-22</v>
      </c>
      <c r="AF16" s="15">
        <f>RTD("wdf.rtq",,$AB16,F$5)</f>
        <v>4.7000000000000002E-3</v>
      </c>
      <c r="AG16" s="73">
        <f>RTD("wdf.rtq",,$AB16,G$5)</f>
        <v>6854</v>
      </c>
      <c r="AH16" s="15">
        <f>RTD("wdf.rtq",,$AB16,H$5)</f>
        <v>4.7000000000000002E-3</v>
      </c>
      <c r="AI16" s="73">
        <f>RTD("wdf.rtq",,$AB16,I$5)</f>
        <v>66</v>
      </c>
      <c r="AJ16" s="15">
        <f>RTD("wdf.rtq",,$AB16,J$5)</f>
        <v>5.1000000000000004E-3</v>
      </c>
      <c r="AK16" s="77">
        <f>RTD("wdf.rtq",,$AB16,K$5)</f>
        <v>5</v>
      </c>
      <c r="AL16" s="15">
        <f>[1]!s_dq_presettle(AB16,"")</f>
        <v>4.8999999999999998E-3</v>
      </c>
      <c r="AM16" s="15">
        <f t="shared" si="11"/>
        <v>0.48899999999999988</v>
      </c>
      <c r="AN16" s="3">
        <f t="shared" si="12"/>
        <v>470</v>
      </c>
      <c r="AO16" s="15">
        <f t="shared" si="73"/>
        <v>-4.3679999999999886E-2</v>
      </c>
      <c r="AP16" s="14">
        <f t="shared" si="14"/>
        <v>3.2900000000000003E-4</v>
      </c>
      <c r="AQ16" s="8">
        <f t="shared" si="15"/>
        <v>603.49</v>
      </c>
      <c r="AR16" s="78">
        <f ca="1">IF(NOW()-TODAY()&gt;15/24, AG16, [1]!s_dq_volume(AB16,AR$2,1))/AI$2</f>
        <v>1041.4000000000001</v>
      </c>
      <c r="AS16" s="122">
        <f t="shared" si="74"/>
        <v>0</v>
      </c>
      <c r="AT16" s="122">
        <f t="shared" si="75"/>
        <v>4.7000000000000002E-3</v>
      </c>
      <c r="AV16" s="49">
        <f t="shared" ca="1" si="18"/>
        <v>0</v>
      </c>
      <c r="AY16" s="10"/>
      <c r="AZ16" s="10"/>
      <c r="BA16" s="6">
        <f t="shared" ca="1" si="47"/>
        <v>-108.99999999999994</v>
      </c>
      <c r="BB16" s="6">
        <f t="shared" ca="1" si="48"/>
        <v>-209.00000000000006</v>
      </c>
      <c r="BC16" s="6">
        <f t="shared" ca="1" si="49"/>
        <v>-168.99999999999994</v>
      </c>
      <c r="BD16" s="12">
        <f t="shared" ca="1" si="50"/>
        <v>-108.99999999999994</v>
      </c>
      <c r="BE16" s="2">
        <f t="shared" ca="1" si="51"/>
        <v>-4.9748950365609123E-3</v>
      </c>
      <c r="BF16" s="2">
        <f t="shared" ca="1" si="52"/>
        <v>-9.5216357532411176E-3</v>
      </c>
      <c r="BG16" s="2">
        <f t="shared" ca="1" si="53"/>
        <v>-7.7063348352326309E-3</v>
      </c>
      <c r="BH16" s="13">
        <f t="shared" ca="1" si="54"/>
        <v>-4.9748950365609123E-3</v>
      </c>
      <c r="BI16" s="2">
        <f t="shared" ca="1" si="55"/>
        <v>-9.079183441723665E-2</v>
      </c>
      <c r="BJ16" s="2">
        <f t="shared" ca="1" si="56"/>
        <v>-0.17376985249665039</v>
      </c>
      <c r="BK16" s="2">
        <f t="shared" ca="1" si="57"/>
        <v>-0.14064061074299553</v>
      </c>
      <c r="BL16" s="56">
        <f t="shared" ca="1" si="58"/>
        <v>-9.079183441723665E-2</v>
      </c>
      <c r="BN16" s="6">
        <f t="shared" ca="1" si="59"/>
        <v>-49.000000000000057</v>
      </c>
      <c r="BO16" s="6">
        <f t="shared" ca="1" si="60"/>
        <v>-49.000000000000057</v>
      </c>
      <c r="BP16" s="6">
        <f t="shared" ca="1" si="61"/>
        <v>-8.9999999999999432</v>
      </c>
      <c r="BQ16" s="12">
        <f t="shared" ca="1" si="62"/>
        <v>51.000000000000057</v>
      </c>
      <c r="BR16" s="2">
        <f t="shared" ca="1" si="63"/>
        <v>-4.6957805058026485E-2</v>
      </c>
      <c r="BS16" s="2">
        <f t="shared" ca="1" si="64"/>
        <v>-4.6957805058026485E-2</v>
      </c>
      <c r="BT16" s="2">
        <f t="shared" ca="1" si="65"/>
        <v>-9.1508983131843528E-3</v>
      </c>
      <c r="BU16" s="13">
        <f t="shared" ca="1" si="66"/>
        <v>5.1856144953177009E-2</v>
      </c>
      <c r="BV16" s="2">
        <f t="shared" ca="1" si="67"/>
        <v>-0.85697994230898333</v>
      </c>
      <c r="BW16" s="2">
        <f t="shared" ca="1" si="68"/>
        <v>-0.85697994230898333</v>
      </c>
      <c r="BX16" s="2">
        <f t="shared" ca="1" si="69"/>
        <v>-0.16700389421561443</v>
      </c>
      <c r="BY16" s="13">
        <f t="shared" ca="1" si="70"/>
        <v>0.94637464539548044</v>
      </c>
      <c r="CB16" s="17" t="s">
        <v>44</v>
      </c>
      <c r="CC16" s="123" t="b">
        <f t="shared" si="43"/>
        <v>1</v>
      </c>
      <c r="CD16" s="124" t="s">
        <v>304</v>
      </c>
      <c r="CE16" s="138" t="str">
        <f>IF([1]!w_info_callput(CD16)="认购","C","P")</f>
        <v>C</v>
      </c>
      <c r="CF16" s="139">
        <f>[1]!w_info_strikeprice(CD16,"")</f>
        <v>4.2</v>
      </c>
      <c r="CG16" s="140" t="str">
        <f>[1]!w_info_lasttradingdate(CD16)</f>
        <v>2020-04-22</v>
      </c>
      <c r="CH16" s="55" t="str">
        <f t="shared" si="44"/>
        <v>IO2004-C-4200.CFE</v>
      </c>
      <c r="CI16" s="55" t="str">
        <f t="shared" si="45"/>
        <v>IO2004-C-4200.CFE</v>
      </c>
      <c r="CK16" s="17" t="s">
        <v>201</v>
      </c>
      <c r="CL16" s="17"/>
    </row>
    <row r="17" spans="1:90">
      <c r="A17" s="50" t="str">
        <f t="shared" si="46"/>
        <v>T</v>
      </c>
      <c r="B17" t="s">
        <v>57</v>
      </c>
      <c r="C17" s="29" t="str">
        <f t="shared" si="3"/>
        <v>C</v>
      </c>
      <c r="D17" s="125">
        <f>[1]!w_info_strikeprice(B17,"")</f>
        <v>4300</v>
      </c>
      <c r="E17" s="18" t="str">
        <f>[1]!w_info_lasttradingdate(B17)</f>
        <v>2020-04-17</v>
      </c>
      <c r="F17" s="4">
        <f>IF(G17&gt;0,RTD("wdf.rtq",,$B17,F$5),0)</f>
        <v>2.4</v>
      </c>
      <c r="G17" s="73">
        <f>RTD("wdf.rtq",,$B17,G$5)</f>
        <v>143</v>
      </c>
      <c r="H17" s="4">
        <f>RTD("wdf.rtq",,$B17,H$5)</f>
        <v>0.2</v>
      </c>
      <c r="I17" s="73">
        <f>RTD("wdf.rtq",,$B17,I$5)</f>
        <v>2</v>
      </c>
      <c r="J17" s="4">
        <f>RTD("wdf.rtq",,$B17,J$5)</f>
        <v>3</v>
      </c>
      <c r="K17" s="73">
        <f>RTD("wdf.rtq",,$B17,K$5)</f>
        <v>2</v>
      </c>
      <c r="L17" s="4">
        <f>[1]!s_dq_presettle(B17,"")</f>
        <v>1.8</v>
      </c>
      <c r="M17" s="6">
        <f t="shared" si="4"/>
        <v>575.67999999999984</v>
      </c>
      <c r="N17" s="3">
        <f t="shared" si="5"/>
        <v>240</v>
      </c>
      <c r="O17" s="6">
        <f t="shared" si="6"/>
        <v>-20324.799999999981</v>
      </c>
      <c r="P17" s="3">
        <f t="shared" si="7"/>
        <v>21500</v>
      </c>
      <c r="Q17" s="6">
        <f t="shared" si="8"/>
        <v>21740.01</v>
      </c>
      <c r="R17" s="75">
        <f ca="1">IF(NOW()-TODAY()&gt;15/24, G17, [1]!s_dq_volume(B17,R$2,1))/$I$2</f>
        <v>237</v>
      </c>
      <c r="S17" s="78">
        <f t="shared" si="71"/>
        <v>0</v>
      </c>
      <c r="T17" s="78">
        <f t="shared" si="72"/>
        <v>2.4</v>
      </c>
      <c r="AB17" s="17" t="s">
        <v>305</v>
      </c>
      <c r="AC17" s="29" t="str">
        <f>IF([1]!w_info_callput(AB17)="认购","C","P")</f>
        <v>C</v>
      </c>
      <c r="AD17" s="31">
        <f>[1]!w_info_strikeprice(AB17,"")</f>
        <v>4.3</v>
      </c>
      <c r="AE17" s="18" t="str">
        <f>[1]!w_info_lasttradingdate(AB17)</f>
        <v>2020-04-22</v>
      </c>
      <c r="AF17" s="15">
        <f>RTD("wdf.rtq",,$AB17,F$5)</f>
        <v>2.5000000000000001E-3</v>
      </c>
      <c r="AG17" s="73">
        <f>RTD("wdf.rtq",,$AB17,G$5)</f>
        <v>1583</v>
      </c>
      <c r="AH17" s="15">
        <f>RTD("wdf.rtq",,$AB17,H$5)</f>
        <v>2.5000000000000001E-3</v>
      </c>
      <c r="AI17" s="73">
        <f>RTD("wdf.rtq",,$AB17,I$5)</f>
        <v>13</v>
      </c>
      <c r="AJ17" s="15">
        <f>RTD("wdf.rtq",,$AB17,J$5)</f>
        <v>2.9000000000000002E-3</v>
      </c>
      <c r="AK17" s="77">
        <f>RTD("wdf.rtq",,$AB17,K$5)</f>
        <v>3</v>
      </c>
      <c r="AL17" s="15">
        <f>[1]!s_dq_presettle(AB17,"")</f>
        <v>2.7000000000000001E-3</v>
      </c>
      <c r="AM17" s="15">
        <f t="shared" si="11"/>
        <v>0.58899999999999952</v>
      </c>
      <c r="AN17" s="3">
        <f t="shared" si="12"/>
        <v>250</v>
      </c>
      <c r="AO17" s="15">
        <f t="shared" si="73"/>
        <v>-0.14367999999999953</v>
      </c>
      <c r="AP17" s="14">
        <f t="shared" si="14"/>
        <v>1.7500000000000003E-4</v>
      </c>
      <c r="AQ17" s="8">
        <f t="shared" si="15"/>
        <v>321.01000000000005</v>
      </c>
      <c r="AR17" s="78">
        <f ca="1">IF(NOW()-TODAY()&gt;15/24, AG17, [1]!s_dq_volume(AB17,AR$2,1))/AI$2</f>
        <v>374.9</v>
      </c>
      <c r="AS17" s="122">
        <f t="shared" si="74"/>
        <v>0</v>
      </c>
      <c r="AT17" s="122">
        <f t="shared" si="75"/>
        <v>2.5000000000000001E-3</v>
      </c>
      <c r="AV17" s="49">
        <f t="shared" ca="1" si="18"/>
        <v>0</v>
      </c>
      <c r="AY17" s="10"/>
      <c r="AZ17" s="10"/>
      <c r="BA17" s="6">
        <f t="shared" ca="1" si="47"/>
        <v>-89</v>
      </c>
      <c r="BB17" s="6">
        <f t="shared" ca="1" si="48"/>
        <v>-349</v>
      </c>
      <c r="BC17" s="6">
        <f t="shared" ca="1" si="49"/>
        <v>-89</v>
      </c>
      <c r="BD17" s="12">
        <f t="shared" ca="1" si="50"/>
        <v>-29</v>
      </c>
      <c r="BE17" s="2">
        <f t="shared" ca="1" si="51"/>
        <v>-4.0472923841326129E-3</v>
      </c>
      <c r="BF17" s="2">
        <f t="shared" ca="1" si="52"/>
        <v>-1.5842026399443307E-2</v>
      </c>
      <c r="BG17" s="2">
        <f t="shared" ca="1" si="53"/>
        <v>-4.0436147007656973E-3</v>
      </c>
      <c r="BH17" s="13">
        <f t="shared" ca="1" si="54"/>
        <v>-1.3187806644926494E-3</v>
      </c>
      <c r="BI17" s="2">
        <f t="shared" ca="1" si="55"/>
        <v>-7.3863086010420187E-2</v>
      </c>
      <c r="BJ17" s="2">
        <f t="shared" ca="1" si="56"/>
        <v>-0.28911698178984035</v>
      </c>
      <c r="BK17" s="2">
        <f t="shared" ca="1" si="57"/>
        <v>-7.3795968288973973E-2</v>
      </c>
      <c r="BL17" s="56">
        <f t="shared" ca="1" si="58"/>
        <v>-2.4067747126990852E-2</v>
      </c>
      <c r="BN17" s="6">
        <f t="shared" ca="1" si="59"/>
        <v>-69</v>
      </c>
      <c r="BO17" s="6">
        <f t="shared" ca="1" si="60"/>
        <v>-129</v>
      </c>
      <c r="BP17" s="6">
        <f t="shared" ca="1" si="61"/>
        <v>131</v>
      </c>
      <c r="BQ17" s="12">
        <f t="shared" ca="1" si="62"/>
        <v>191</v>
      </c>
      <c r="BR17" s="2">
        <f t="shared" ca="1" si="63"/>
        <v>-0.1229924600274505</v>
      </c>
      <c r="BS17" s="2">
        <f t="shared" ca="1" si="64"/>
        <v>-0.20772612357288933</v>
      </c>
      <c r="BT17" s="2">
        <f t="shared" ca="1" si="65"/>
        <v>0.38413042840805789</v>
      </c>
      <c r="BU17" s="13">
        <f t="shared" ca="1" si="66"/>
        <v>0.56010087680713172</v>
      </c>
      <c r="BV17" s="2">
        <f t="shared" ca="1" si="67"/>
        <v>-2.2446123955009716</v>
      </c>
      <c r="BW17" s="2">
        <f t="shared" ca="1" si="68"/>
        <v>-3.7910017552052304</v>
      </c>
      <c r="BX17" s="2">
        <f t="shared" ca="1" si="69"/>
        <v>7.0103803184470568</v>
      </c>
      <c r="BY17" s="13">
        <f t="shared" ca="1" si="70"/>
        <v>10.221841001730153</v>
      </c>
      <c r="CB17" s="17" t="s">
        <v>45</v>
      </c>
      <c r="CC17" s="123" t="b">
        <f t="shared" si="43"/>
        <v>1</v>
      </c>
      <c r="CD17" s="17" t="s">
        <v>305</v>
      </c>
      <c r="CE17" s="138" t="str">
        <f>IF([1]!w_info_callput(CD17)="认购","C","P")</f>
        <v>C</v>
      </c>
      <c r="CF17" s="139">
        <f>[1]!w_info_strikeprice(CD17,"")</f>
        <v>4.3</v>
      </c>
      <c r="CG17" s="140" t="str">
        <f>[1]!w_info_lasttradingdate(CD17)</f>
        <v>2020-04-22</v>
      </c>
      <c r="CH17" s="55" t="str">
        <f t="shared" si="44"/>
        <v>IO2004-C-4300.CFE</v>
      </c>
      <c r="CI17" s="55" t="str">
        <f t="shared" si="45"/>
        <v>IO2004-C-4300.CFE</v>
      </c>
      <c r="CK17" s="17" t="s">
        <v>202</v>
      </c>
      <c r="CL17" s="17"/>
    </row>
    <row r="18" spans="1:90">
      <c r="A18" s="50" t="str">
        <f t="shared" si="46"/>
        <v>T</v>
      </c>
      <c r="B18" t="s">
        <v>59</v>
      </c>
      <c r="C18" s="29" t="str">
        <f t="shared" si="3"/>
        <v>C</v>
      </c>
      <c r="D18" s="125">
        <f>[1]!w_info_strikeprice(B18,"")</f>
        <v>4400</v>
      </c>
      <c r="E18" s="18" t="str">
        <f>[1]!w_info_lasttradingdate(B18)</f>
        <v>2020-04-17</v>
      </c>
      <c r="F18" s="4">
        <f>IF(G18&gt;0,RTD("wdf.rtq",,$B18,F$5),0)</f>
        <v>1.8</v>
      </c>
      <c r="G18" s="73">
        <f>RTD("wdf.rtq",,$B18,G$5)</f>
        <v>167</v>
      </c>
      <c r="H18" s="4">
        <f>RTD("wdf.rtq",,$B18,H$5)</f>
        <v>1</v>
      </c>
      <c r="I18" s="73">
        <f>RTD("wdf.rtq",,$B18,I$5)</f>
        <v>1</v>
      </c>
      <c r="J18" s="4">
        <f>RTD("wdf.rtq",,$B18,J$5)</f>
        <v>1.8</v>
      </c>
      <c r="K18" s="73">
        <f>RTD("wdf.rtq",,$B18,K$5)</f>
        <v>1</v>
      </c>
      <c r="L18" s="4">
        <f>[1]!s_dq_presettle(B18,"")</f>
        <v>1.2</v>
      </c>
      <c r="M18" s="6">
        <f t="shared" si="4"/>
        <v>675.67999999999984</v>
      </c>
      <c r="N18" s="3">
        <f t="shared" si="5"/>
        <v>180</v>
      </c>
      <c r="O18" s="6">
        <f t="shared" si="6"/>
        <v>-30324.799999999981</v>
      </c>
      <c r="P18" s="3">
        <f t="shared" si="7"/>
        <v>22000</v>
      </c>
      <c r="Q18" s="6">
        <f t="shared" si="8"/>
        <v>22180.01</v>
      </c>
      <c r="R18" s="75">
        <f ca="1">IF(NOW()-TODAY()&gt;15/24, G18, [1]!s_dq_volume(B18,R$2,1))/$I$2</f>
        <v>140</v>
      </c>
      <c r="S18" s="78">
        <f t="shared" si="71"/>
        <v>0</v>
      </c>
      <c r="T18" s="78">
        <f t="shared" si="72"/>
        <v>1.8</v>
      </c>
      <c r="AB18" s="17" t="s">
        <v>306</v>
      </c>
      <c r="AC18" s="29" t="str">
        <f>IF([1]!w_info_callput(AB18)="认购","C","P")</f>
        <v>C</v>
      </c>
      <c r="AD18" s="31">
        <f>[1]!w_info_strikeprice(AB18,"")</f>
        <v>4.4000000000000004</v>
      </c>
      <c r="AE18" s="18" t="str">
        <f>[1]!w_info_lasttradingdate(AB18)</f>
        <v>2020-04-22</v>
      </c>
      <c r="AF18" s="15">
        <f>RTD("wdf.rtq",,$AB18,F$5)</f>
        <v>1.8000000000000002E-3</v>
      </c>
      <c r="AG18" s="73">
        <f>RTD("wdf.rtq",,$AB18,G$5)</f>
        <v>1804</v>
      </c>
      <c r="AH18" s="15">
        <f>RTD("wdf.rtq",,$AB18,H$5)</f>
        <v>1.6000000000000001E-3</v>
      </c>
      <c r="AI18" s="73">
        <f>RTD("wdf.rtq",,$AB18,I$5)</f>
        <v>4</v>
      </c>
      <c r="AJ18" s="15">
        <f>RTD("wdf.rtq",,$AB18,J$5)</f>
        <v>1.9E-3</v>
      </c>
      <c r="AK18" s="77">
        <f>RTD("wdf.rtq",,$AB18,K$5)</f>
        <v>15</v>
      </c>
      <c r="AL18" s="15">
        <f>[1]!s_dq_presettle(AB18,"")</f>
        <v>1.8E-3</v>
      </c>
      <c r="AM18" s="15">
        <f t="shared" si="11"/>
        <v>0.68900000000000006</v>
      </c>
      <c r="AN18" s="3">
        <f t="shared" si="12"/>
        <v>180.00000000000003</v>
      </c>
      <c r="AO18" s="15">
        <f t="shared" si="73"/>
        <v>-0.24368000000000006</v>
      </c>
      <c r="AP18" s="14">
        <f t="shared" si="14"/>
        <v>1.2600000000000003E-4</v>
      </c>
      <c r="AQ18" s="8">
        <f t="shared" ref="AQ18:AQ59" si="76">AH$2*AI$2*IF(AC18="C", MAX(AO18,AP18)+AF18, MIN(AF18+MAX(AO18,AP18),AD18) )*$AQ$2+0.01</f>
        <v>231.13</v>
      </c>
      <c r="AR18" s="78">
        <f ca="1">IF(NOW()-TODAY()&gt;15/24, AG18, [1]!s_dq_volume(AB18,AR$2,1))/AI$2</f>
        <v>195.9</v>
      </c>
      <c r="AS18" s="122">
        <f t="shared" si="74"/>
        <v>0</v>
      </c>
      <c r="AT18" s="122">
        <f t="shared" si="75"/>
        <v>1.8000000000000002E-3</v>
      </c>
      <c r="AV18" s="49">
        <f t="shared" ca="1" si="18"/>
        <v>0</v>
      </c>
      <c r="AY18" s="10"/>
      <c r="AZ18" s="10"/>
      <c r="BA18" s="6">
        <f t="shared" ca="1" si="47"/>
        <v>-79.000000000000028</v>
      </c>
      <c r="BB18" s="6">
        <f t="shared" ca="1" si="48"/>
        <v>-169</v>
      </c>
      <c r="BC18" s="6">
        <f t="shared" ca="1" si="49"/>
        <v>-119</v>
      </c>
      <c r="BD18" s="12">
        <f t="shared" ca="1" si="50"/>
        <v>-59</v>
      </c>
      <c r="BE18" s="2">
        <f t="shared" ca="1" si="51"/>
        <v>-3.5330932320692177E-3</v>
      </c>
      <c r="BF18" s="2">
        <f t="shared" ca="1" si="52"/>
        <v>-7.5547574632286712E-3</v>
      </c>
      <c r="BG18" s="2">
        <f t="shared" ca="1" si="53"/>
        <v>-5.3220011976738832E-3</v>
      </c>
      <c r="BH18" s="13">
        <f t="shared" ca="1" si="54"/>
        <v>-2.6410015035803476E-3</v>
      </c>
      <c r="BI18" s="2">
        <f t="shared" ca="1" si="55"/>
        <v>-6.4478951485263225E-2</v>
      </c>
      <c r="BJ18" s="2">
        <f t="shared" ca="1" si="56"/>
        <v>-0.13787432370392325</v>
      </c>
      <c r="BK18" s="2">
        <f t="shared" ca="1" si="57"/>
        <v>-9.7126521857548359E-2</v>
      </c>
      <c r="BL18" s="56">
        <f t="shared" ca="1" si="58"/>
        <v>-4.8198277440341344E-2</v>
      </c>
      <c r="BN18" s="6">
        <f t="shared" ca="1" si="59"/>
        <v>-78.999999999999972</v>
      </c>
      <c r="BO18" s="6">
        <f t="shared" ca="1" si="60"/>
        <v>-99</v>
      </c>
      <c r="BP18" s="6">
        <f t="shared" ca="1" si="61"/>
        <v>-49</v>
      </c>
      <c r="BQ18" s="12">
        <f t="shared" ca="1" si="62"/>
        <v>11</v>
      </c>
      <c r="BR18" s="2">
        <f t="shared" ca="1" si="63"/>
        <v>-0.19215333349548797</v>
      </c>
      <c r="BS18" s="2">
        <f t="shared" ca="1" si="64"/>
        <v>-0.24079974703864959</v>
      </c>
      <c r="BT18" s="2">
        <f t="shared" ca="1" si="65"/>
        <v>-0.14796919824852786</v>
      </c>
      <c r="BU18" s="13">
        <f t="shared" ca="1" si="66"/>
        <v>3.3219581433273943E-2</v>
      </c>
      <c r="BV18" s="2">
        <f t="shared" ca="1" si="67"/>
        <v>-3.5067983362926554</v>
      </c>
      <c r="BW18" s="2">
        <f t="shared" ca="1" si="68"/>
        <v>-4.3945953834553553</v>
      </c>
      <c r="BX18" s="2">
        <f t="shared" ca="1" si="69"/>
        <v>-2.7004378680356336</v>
      </c>
      <c r="BY18" s="13">
        <f t="shared" ca="1" si="70"/>
        <v>0.60625736115724949</v>
      </c>
      <c r="CB18" s="17" t="s">
        <v>46</v>
      </c>
      <c r="CC18" s="123" t="b">
        <f t="shared" si="43"/>
        <v>1</v>
      </c>
      <c r="CD18" s="17" t="s">
        <v>306</v>
      </c>
      <c r="CE18" s="138" t="str">
        <f>IF([1]!w_info_callput(CD18)="认购","C","P")</f>
        <v>C</v>
      </c>
      <c r="CF18" s="139">
        <f>[1]!w_info_strikeprice(CD18,"")</f>
        <v>4.4000000000000004</v>
      </c>
      <c r="CG18" s="140" t="str">
        <f>[1]!w_info_lasttradingdate(CD18)</f>
        <v>2020-04-22</v>
      </c>
      <c r="CH18" s="55" t="str">
        <f t="shared" si="44"/>
        <v>IO2004-C-4400.CFE</v>
      </c>
      <c r="CI18" s="55" t="str">
        <f t="shared" si="45"/>
        <v>IO2004-C-4400.CFE</v>
      </c>
      <c r="CK18" s="17" t="s">
        <v>30</v>
      </c>
      <c r="CL18" s="17"/>
    </row>
    <row r="19" spans="1:90">
      <c r="A19" s="50" t="str">
        <f t="shared" si="46"/>
        <v>T</v>
      </c>
      <c r="B19" t="s">
        <v>61</v>
      </c>
      <c r="C19" s="29" t="str">
        <f t="shared" si="3"/>
        <v>C</v>
      </c>
      <c r="D19" s="125">
        <f>[1]!w_info_strikeprice(B19,"")</f>
        <v>4500</v>
      </c>
      <c r="E19" s="18" t="str">
        <f>[1]!w_info_lasttradingdate(B19)</f>
        <v>2020-04-17</v>
      </c>
      <c r="F19" s="4">
        <f>IF(G19&gt;0,RTD("wdf.rtq",,$B19,F$5),0)</f>
        <v>1.2</v>
      </c>
      <c r="G19" s="73">
        <f>RTD("wdf.rtq",,$B19,G$5)</f>
        <v>71</v>
      </c>
      <c r="H19" s="4">
        <f>RTD("wdf.rtq",,$B19,H$5)</f>
        <v>0.2</v>
      </c>
      <c r="I19" s="73">
        <f>RTD("wdf.rtq",,$B19,I$5)</f>
        <v>1</v>
      </c>
      <c r="J19" s="4">
        <f>RTD("wdf.rtq",,$B19,J$5)</f>
        <v>1.4000000000000001</v>
      </c>
      <c r="K19" s="73">
        <f>RTD("wdf.rtq",,$B19,K$5)</f>
        <v>6</v>
      </c>
      <c r="L19" s="4">
        <f>[1]!s_dq_presettle(B19,"")</f>
        <v>0.8</v>
      </c>
      <c r="M19" s="6">
        <f t="shared" si="4"/>
        <v>775.67999999999984</v>
      </c>
      <c r="N19" s="3">
        <f t="shared" si="5"/>
        <v>120</v>
      </c>
      <c r="O19" s="6">
        <f t="shared" si="6"/>
        <v>-40324.799999999981</v>
      </c>
      <c r="P19" s="3">
        <f t="shared" si="7"/>
        <v>22500</v>
      </c>
      <c r="Q19" s="6">
        <f t="shared" ref="Q19:Q50" si="77">I$2*(N19+MAX(O19,P19))*$Q$2+0.01</f>
        <v>22620.01</v>
      </c>
      <c r="R19" s="75">
        <f ca="1">IF(NOW()-TODAY()&gt;15/24, G19, [1]!s_dq_volume(B19,R$2,1))/$I$2</f>
        <v>82</v>
      </c>
      <c r="S19" s="78">
        <f t="shared" si="71"/>
        <v>0</v>
      </c>
      <c r="T19" s="78">
        <f t="shared" si="72"/>
        <v>1.2</v>
      </c>
      <c r="AB19" s="17" t="s">
        <v>307</v>
      </c>
      <c r="AC19" s="29" t="str">
        <f>IF([1]!w_info_callput(AB19)="认购","C","P")</f>
        <v>C</v>
      </c>
      <c r="AD19" s="31">
        <f>[1]!w_info_strikeprice(AB19,"")</f>
        <v>4.5</v>
      </c>
      <c r="AE19" s="18" t="str">
        <f>[1]!w_info_lasttradingdate(AB19)</f>
        <v>2020-04-22</v>
      </c>
      <c r="AF19" s="15">
        <f>RTD("wdf.rtq",,$AB19,F$5)</f>
        <v>1.5E-3</v>
      </c>
      <c r="AG19" s="73">
        <f>RTD("wdf.rtq",,$AB19,G$5)</f>
        <v>1756</v>
      </c>
      <c r="AH19" s="15">
        <f>RTD("wdf.rtq",,$AB19,H$5)</f>
        <v>1.4E-3</v>
      </c>
      <c r="AI19" s="73">
        <f>RTD("wdf.rtq",,$AB19,I$5)</f>
        <v>40</v>
      </c>
      <c r="AJ19" s="15">
        <f>RTD("wdf.rtq",,$AB19,J$5)</f>
        <v>1.5E-3</v>
      </c>
      <c r="AK19" s="77">
        <f>RTD("wdf.rtq",,$AB19,K$5)</f>
        <v>124</v>
      </c>
      <c r="AL19" s="15">
        <f>[1]!s_dq_presettle(AB19,"")</f>
        <v>1.4E-3</v>
      </c>
      <c r="AM19" s="15">
        <f t="shared" si="11"/>
        <v>0.7889999999999997</v>
      </c>
      <c r="AN19" s="3">
        <f t="shared" si="12"/>
        <v>150</v>
      </c>
      <c r="AO19" s="15">
        <f t="shared" si="73"/>
        <v>-0.34367999999999971</v>
      </c>
      <c r="AP19" s="14">
        <f t="shared" si="14"/>
        <v>1.0500000000000002E-4</v>
      </c>
      <c r="AQ19" s="8">
        <f t="shared" si="76"/>
        <v>192.60999999999999</v>
      </c>
      <c r="AR19" s="78">
        <f ca="1">IF(NOW()-TODAY()&gt;15/24, AG19, [1]!s_dq_volume(AB19,AR$2,1))/AI$2</f>
        <v>215.7</v>
      </c>
      <c r="AS19" s="122">
        <f t="shared" si="74"/>
        <v>0</v>
      </c>
      <c r="AT19" s="122">
        <f t="shared" si="75"/>
        <v>1.5E-3</v>
      </c>
      <c r="AV19" s="49">
        <f t="shared" ca="1" si="18"/>
        <v>0</v>
      </c>
      <c r="AY19" s="10"/>
      <c r="AZ19" s="10"/>
      <c r="BA19" s="6">
        <f t="shared" ca="1" si="47"/>
        <v>-109</v>
      </c>
      <c r="BB19" s="6">
        <f t="shared" ca="1" si="48"/>
        <v>-209</v>
      </c>
      <c r="BC19" s="6">
        <f t="shared" ca="1" si="49"/>
        <v>-139</v>
      </c>
      <c r="BD19" s="12">
        <f t="shared" ca="1" si="50"/>
        <v>-79</v>
      </c>
      <c r="BE19" s="2">
        <f t="shared" ca="1" si="51"/>
        <v>-4.7869983368474586E-3</v>
      </c>
      <c r="BF19" s="2">
        <f t="shared" ca="1" si="52"/>
        <v>-9.1787399302854945E-3</v>
      </c>
      <c r="BG19" s="2">
        <f t="shared" ca="1" si="53"/>
        <v>-6.1018410439679354E-3</v>
      </c>
      <c r="BH19" s="13">
        <f t="shared" ca="1" si="54"/>
        <v>-3.4710002324252055E-3</v>
      </c>
      <c r="BI19" s="2">
        <f t="shared" ca="1" si="55"/>
        <v>-8.7362719647466114E-2</v>
      </c>
      <c r="BJ19" s="2">
        <f t="shared" ca="1" si="56"/>
        <v>-0.16751200372771027</v>
      </c>
      <c r="BK19" s="2">
        <f t="shared" ca="1" si="57"/>
        <v>-0.11135859905241483</v>
      </c>
      <c r="BL19" s="56">
        <f t="shared" ca="1" si="58"/>
        <v>-6.3345754241760005E-2</v>
      </c>
      <c r="BN19" s="6">
        <f t="shared" ca="1" si="59"/>
        <v>-49</v>
      </c>
      <c r="BO19" s="6">
        <f t="shared" ca="1" si="60"/>
        <v>-79</v>
      </c>
      <c r="BP19" s="6">
        <f t="shared" ca="1" si="61"/>
        <v>-9</v>
      </c>
      <c r="BQ19" s="12">
        <f t="shared" ca="1" si="62"/>
        <v>51</v>
      </c>
      <c r="BR19" s="2">
        <f t="shared" ca="1" si="63"/>
        <v>-0.15674482582131088</v>
      </c>
      <c r="BS19" s="2">
        <f t="shared" ca="1" si="64"/>
        <v>-0.23751540843630678</v>
      </c>
      <c r="BT19" s="2">
        <f t="shared" ca="1" si="65"/>
        <v>-4.232704698302215E-2</v>
      </c>
      <c r="BU19" s="13">
        <f t="shared" ca="1" si="66"/>
        <v>0.23987582898264428</v>
      </c>
      <c r="BV19" s="2">
        <f t="shared" ca="1" si="67"/>
        <v>-2.8605930712389238</v>
      </c>
      <c r="BW19" s="2">
        <f t="shared" ca="1" si="68"/>
        <v>-4.3346562039625987</v>
      </c>
      <c r="BX19" s="2">
        <f t="shared" ca="1" si="69"/>
        <v>-0.77246860744015422</v>
      </c>
      <c r="BY19" s="13">
        <f t="shared" ca="1" si="70"/>
        <v>4.3777338789332578</v>
      </c>
      <c r="CB19" s="17" t="s">
        <v>47</v>
      </c>
      <c r="CC19" s="123" t="b">
        <f t="shared" si="43"/>
        <v>1</v>
      </c>
      <c r="CD19" s="17" t="s">
        <v>307</v>
      </c>
      <c r="CE19" s="138" t="str">
        <f>IF([1]!w_info_callput(CD19)="认购","C","P")</f>
        <v>C</v>
      </c>
      <c r="CF19" s="139">
        <f>[1]!w_info_strikeprice(CD19,"")</f>
        <v>4.5</v>
      </c>
      <c r="CG19" s="140" t="str">
        <f>[1]!w_info_lasttradingdate(CD19)</f>
        <v>2020-04-22</v>
      </c>
      <c r="CH19" s="55" t="str">
        <f t="shared" si="44"/>
        <v>IO2004-C-4500.CFE</v>
      </c>
      <c r="CI19" s="55" t="str">
        <f t="shared" si="45"/>
        <v>IO2004-C-4500.CFE</v>
      </c>
      <c r="CK19" s="17" t="s">
        <v>28</v>
      </c>
      <c r="CL19" s="17"/>
    </row>
    <row r="20" spans="1:90">
      <c r="A20" s="50" t="str">
        <f t="shared" si="46"/>
        <v>T</v>
      </c>
      <c r="B20" t="s">
        <v>63</v>
      </c>
      <c r="C20" s="29" t="str">
        <f t="shared" si="3"/>
        <v>C</v>
      </c>
      <c r="D20" s="125">
        <f>[1]!w_info_strikeprice(B20,"")</f>
        <v>4600</v>
      </c>
      <c r="E20" s="18" t="str">
        <f>[1]!w_info_lasttradingdate(B20)</f>
        <v>2020-04-17</v>
      </c>
      <c r="F20" s="4">
        <f>IF(G20&gt;0,RTD("wdf.rtq",,$B20,F$5),0)</f>
        <v>0.8</v>
      </c>
      <c r="G20" s="73">
        <f>RTD("wdf.rtq",,$B20,G$5)</f>
        <v>34</v>
      </c>
      <c r="H20" s="4">
        <f>RTD("wdf.rtq",,$B20,H$5)</f>
        <v>0.4</v>
      </c>
      <c r="I20" s="73">
        <f>RTD("wdf.rtq",,$B20,I$5)</f>
        <v>1</v>
      </c>
      <c r="J20" s="4">
        <f>RTD("wdf.rtq",,$B20,J$5)</f>
        <v>1</v>
      </c>
      <c r="K20" s="73">
        <f>RTD("wdf.rtq",,$B20,K$5)</f>
        <v>12</v>
      </c>
      <c r="L20" s="4">
        <f>[1]!s_dq_presettle(B20,"")</f>
        <v>0.6</v>
      </c>
      <c r="M20" s="6">
        <f t="shared" si="4"/>
        <v>875.67999999999984</v>
      </c>
      <c r="N20" s="3">
        <f t="shared" si="5"/>
        <v>80</v>
      </c>
      <c r="O20" s="6">
        <f t="shared" si="6"/>
        <v>-50324.799999999981</v>
      </c>
      <c r="P20" s="3">
        <f t="shared" si="7"/>
        <v>23000</v>
      </c>
      <c r="Q20" s="6">
        <f t="shared" si="77"/>
        <v>23080.01</v>
      </c>
      <c r="R20" s="75">
        <f ca="1">IF(NOW()-TODAY()&gt;15/24, G20, [1]!s_dq_volume(B20,R$2,1))/$I$2</f>
        <v>60</v>
      </c>
      <c r="S20" s="78">
        <f t="shared" si="71"/>
        <v>0</v>
      </c>
      <c r="T20" s="78">
        <f t="shared" si="72"/>
        <v>0.8</v>
      </c>
      <c r="AB20" s="17" t="s">
        <v>390</v>
      </c>
      <c r="AC20" s="29" t="str">
        <f>IF([1]!w_info_callput(AB20)="认购","C","P")</f>
        <v>C</v>
      </c>
      <c r="AD20" s="31">
        <f>[1]!w_info_strikeprice(AB20,"")</f>
        <v>4.5999999999999996</v>
      </c>
      <c r="AE20" s="18" t="str">
        <f>[1]!w_info_lasttradingdate(AB20)</f>
        <v>2020-04-22</v>
      </c>
      <c r="AF20" s="15">
        <f>RTD("wdf.rtq",,$AB20,F$5)</f>
        <v>1E-3</v>
      </c>
      <c r="AG20" s="73">
        <f>RTD("wdf.rtq",,$AB20,G$5)</f>
        <v>1276</v>
      </c>
      <c r="AH20" s="15">
        <f>RTD("wdf.rtq",,$AB20,H$5)</f>
        <v>9.0000000000000008E-4</v>
      </c>
      <c r="AI20" s="73">
        <f>RTD("wdf.rtq",,$AB20,I$5)</f>
        <v>120</v>
      </c>
      <c r="AJ20" s="15">
        <f>RTD("wdf.rtq",,$AB20,J$5)</f>
        <v>1.1000000000000001E-3</v>
      </c>
      <c r="AK20" s="77">
        <f>RTD("wdf.rtq",,$AB20,K$5)</f>
        <v>3</v>
      </c>
      <c r="AL20" s="15">
        <f>[1]!s_dq_presettle(AB20,"")</f>
        <v>8.9999999999999998E-4</v>
      </c>
      <c r="AM20" s="15">
        <f t="shared" si="11"/>
        <v>0.88899999999999935</v>
      </c>
      <c r="AN20" s="3">
        <f t="shared" si="12"/>
        <v>100</v>
      </c>
      <c r="AO20" s="15">
        <f t="shared" si="73"/>
        <v>-0.44367999999999935</v>
      </c>
      <c r="AP20" s="14">
        <f t="shared" si="14"/>
        <v>7.0000000000000007E-5</v>
      </c>
      <c r="AQ20" s="8">
        <f t="shared" si="76"/>
        <v>128.41</v>
      </c>
      <c r="AR20" s="78">
        <f ca="1">IF(NOW()-TODAY()&gt;15/24, AG20, [1]!s_dq_volume(AB20,AR$2,1))/AI$2</f>
        <v>219.7</v>
      </c>
      <c r="AS20" s="122">
        <f t="shared" si="74"/>
        <v>0</v>
      </c>
      <c r="AT20" s="122">
        <f t="shared" si="75"/>
        <v>1E-3</v>
      </c>
      <c r="AV20" s="49">
        <f t="shared" ca="1" si="18"/>
        <v>0</v>
      </c>
      <c r="AY20" s="10"/>
      <c r="AZ20" s="10"/>
      <c r="BA20" s="6">
        <f t="shared" ca="1" si="47"/>
        <v>-99</v>
      </c>
      <c r="BB20" s="6">
        <f t="shared" ca="1" si="48"/>
        <v>-149</v>
      </c>
      <c r="BC20" s="6">
        <f t="shared" ca="1" si="49"/>
        <v>-129</v>
      </c>
      <c r="BD20" s="12">
        <f t="shared" ca="1" si="50"/>
        <v>-69.000000000000014</v>
      </c>
      <c r="BE20" s="2">
        <f t="shared" ca="1" si="51"/>
        <v>-4.2709213671607562E-3</v>
      </c>
      <c r="BF20" s="2">
        <f t="shared" ca="1" si="52"/>
        <v>-6.4251804979816741E-3</v>
      </c>
      <c r="BG20" s="2">
        <f t="shared" ca="1" si="53"/>
        <v>-5.5627401626821204E-3</v>
      </c>
      <c r="BH20" s="13">
        <f t="shared" ca="1" si="54"/>
        <v>-2.9779874933157139E-3</v>
      </c>
      <c r="BI20" s="2">
        <f t="shared" ca="1" si="55"/>
        <v>-7.7944314950683796E-2</v>
      </c>
      <c r="BJ20" s="2">
        <f t="shared" ca="1" si="56"/>
        <v>-0.11725954408816555</v>
      </c>
      <c r="BK20" s="2">
        <f t="shared" ca="1" si="57"/>
        <v>-0.10152000796894869</v>
      </c>
      <c r="BL20" s="56">
        <f t="shared" ca="1" si="58"/>
        <v>-5.4348271753011781E-2</v>
      </c>
      <c r="BN20" s="6">
        <f t="shared" ca="1" si="59"/>
        <v>-59</v>
      </c>
      <c r="BO20" s="6">
        <f t="shared" ca="1" si="60"/>
        <v>-88.999999999999986</v>
      </c>
      <c r="BP20" s="6">
        <f t="shared" ca="1" si="61"/>
        <v>-69</v>
      </c>
      <c r="BQ20" s="12">
        <f t="shared" ca="1" si="62"/>
        <v>-9</v>
      </c>
      <c r="BR20" s="2">
        <f t="shared" ca="1" si="63"/>
        <v>-0.28309582073796841</v>
      </c>
      <c r="BS20" s="2">
        <f t="shared" ca="1" si="64"/>
        <v>-0.38965019044700316</v>
      </c>
      <c r="BT20" s="2">
        <f t="shared" ca="1" si="65"/>
        <v>-0.40966573650774801</v>
      </c>
      <c r="BU20" s="13">
        <f t="shared" ca="1" si="66"/>
        <v>-5.3441007066088717E-2</v>
      </c>
      <c r="BV20" s="2">
        <f t="shared" ca="1" si="67"/>
        <v>-5.1664987284679231</v>
      </c>
      <c r="BW20" s="2">
        <f t="shared" ca="1" si="68"/>
        <v>-7.1111159756578077</v>
      </c>
      <c r="BX20" s="2">
        <f t="shared" ca="1" si="69"/>
        <v>-7.4763996912664012</v>
      </c>
      <c r="BY20" s="13">
        <f t="shared" ca="1" si="70"/>
        <v>-0.97529837895611904</v>
      </c>
      <c r="CB20" s="17" t="s">
        <v>48</v>
      </c>
      <c r="CC20" s="123" t="b">
        <f t="shared" si="43"/>
        <v>1</v>
      </c>
      <c r="CD20" s="17" t="s">
        <v>390</v>
      </c>
      <c r="CE20" s="138" t="str">
        <f>IF([1]!w_info_callput(CD20)="认购","C","P")</f>
        <v>C</v>
      </c>
      <c r="CF20" s="139">
        <f>[1]!w_info_strikeprice(CD20,"")</f>
        <v>4.5999999999999996</v>
      </c>
      <c r="CG20" s="140" t="str">
        <f>[1]!w_info_lasttradingdate(CD20)</f>
        <v>2020-04-22</v>
      </c>
      <c r="CH20" s="55" t="str">
        <f t="shared" si="44"/>
        <v>IO2004-C-4600.CFE</v>
      </c>
      <c r="CI20" s="55" t="str">
        <f t="shared" si="45"/>
        <v>IO2004-C-4600.CFE</v>
      </c>
      <c r="CK20" s="17" t="s">
        <v>203</v>
      </c>
      <c r="CL20" s="17"/>
    </row>
    <row r="21" spans="1:90">
      <c r="A21" s="50" t="str">
        <f t="shared" si="46"/>
        <v>T</v>
      </c>
      <c r="B21" t="s">
        <v>330</v>
      </c>
      <c r="C21" s="29" t="str">
        <f t="shared" si="3"/>
        <v>P</v>
      </c>
      <c r="D21" s="125">
        <f>[1]!w_info_strikeprice(B21,"")</f>
        <v>3200</v>
      </c>
      <c r="E21" s="18" t="str">
        <f>[1]!w_info_lasttradingdate(B21)</f>
        <v>2020-04-17</v>
      </c>
      <c r="F21" s="4">
        <f>IF(G21&gt;0,RTD("wdf.rtq",,$B21,F$5),0)</f>
        <v>4.2</v>
      </c>
      <c r="G21" s="73">
        <f>RTD("wdf.rtq",,$B21,G$5)</f>
        <v>344</v>
      </c>
      <c r="H21" s="4">
        <f>RTD("wdf.rtq",,$B21,H$5)</f>
        <v>4</v>
      </c>
      <c r="I21" s="73">
        <f>RTD("wdf.rtq",,$B21,I$5)</f>
        <v>14</v>
      </c>
      <c r="J21" s="4">
        <f>RTD("wdf.rtq",,$B21,J$5)</f>
        <v>4.8</v>
      </c>
      <c r="K21" s="73">
        <f>RTD("wdf.rtq",,$B21,K$5)</f>
        <v>1</v>
      </c>
      <c r="L21" s="4">
        <f>[1]!s_dq_presettle(B21,"")</f>
        <v>3.6</v>
      </c>
      <c r="M21" s="6">
        <f t="shared" si="4"/>
        <v>524.32000000000016</v>
      </c>
      <c r="N21" s="3">
        <f t="shared" si="5"/>
        <v>420</v>
      </c>
      <c r="O21" s="6">
        <f t="shared" si="6"/>
        <v>-15188.800000000014</v>
      </c>
      <c r="P21" s="3">
        <f t="shared" si="7"/>
        <v>16000</v>
      </c>
      <c r="Q21" s="6">
        <f t="shared" si="77"/>
        <v>16420.009999999998</v>
      </c>
      <c r="R21" s="75">
        <f ca="1">IF(NOW()-TODAY()&gt;15/24, G21, [1]!s_dq_volume(B21,R$2,1))/$I$2</f>
        <v>532</v>
      </c>
      <c r="S21" s="78">
        <f t="shared" si="71"/>
        <v>0</v>
      </c>
      <c r="T21" s="78">
        <f t="shared" si="72"/>
        <v>4.2</v>
      </c>
      <c r="AB21" s="17" t="s">
        <v>401</v>
      </c>
      <c r="AC21" s="29" t="str">
        <f>IF([1]!w_info_callput(AB21)="认购","C","P")</f>
        <v>P</v>
      </c>
      <c r="AD21" s="31">
        <f>[1]!w_info_strikeprice(AB21,"")</f>
        <v>3.2</v>
      </c>
      <c r="AE21" s="18" t="str">
        <f>[1]!w_info_lasttradingdate(AB21)</f>
        <v>2020-04-22</v>
      </c>
      <c r="AF21" s="15">
        <f>RTD("wdf.rtq",,$AB21,F$5)</f>
        <v>6.9000000000000008E-3</v>
      </c>
      <c r="AG21" s="73">
        <f>RTD("wdf.rtq",,$AB21,G$5)</f>
        <v>10902</v>
      </c>
      <c r="AH21" s="15">
        <f>RTD("wdf.rtq",,$AB21,H$5)</f>
        <v>6.7000000000000002E-3</v>
      </c>
      <c r="AI21" s="73">
        <f>RTD("wdf.rtq",,$AB21,I$5)</f>
        <v>20</v>
      </c>
      <c r="AJ21" s="15">
        <f>RTD("wdf.rtq",,$AB21,J$5)</f>
        <v>6.9000000000000008E-3</v>
      </c>
      <c r="AK21" s="77">
        <f>RTD("wdf.rtq",,$AB21,K$5)</f>
        <v>18</v>
      </c>
      <c r="AL21" s="15">
        <f>[1]!s_dq_presettle(AB21,"")</f>
        <v>5.4999999999999997E-3</v>
      </c>
      <c r="AM21" s="15">
        <f t="shared" si="11"/>
        <v>0.51100000000000012</v>
      </c>
      <c r="AN21" s="3">
        <f t="shared" si="12"/>
        <v>690.00000000000011</v>
      </c>
      <c r="AO21" s="15">
        <f t="shared" si="73"/>
        <v>-6.5680000000000127E-2</v>
      </c>
      <c r="AP21" s="14">
        <f t="shared" si="14"/>
        <v>0.22400000000000003</v>
      </c>
      <c r="AQ21" s="8">
        <f t="shared" si="76"/>
        <v>27708.010000000002</v>
      </c>
      <c r="AR21" s="78">
        <f ca="1">IF(NOW()-TODAY()&gt;15/24, AG21, [1]!s_dq_volume(AB21,AR$2,1))/AI$2</f>
        <v>2323.3000000000002</v>
      </c>
      <c r="AS21" s="122">
        <f t="shared" si="74"/>
        <v>0</v>
      </c>
      <c r="AT21" s="122">
        <f t="shared" si="75"/>
        <v>6.9000000000000008E-3</v>
      </c>
      <c r="AV21" s="49">
        <f t="shared" ca="1" si="18"/>
        <v>0</v>
      </c>
      <c r="AY21" s="10"/>
      <c r="AZ21" s="10"/>
      <c r="BA21" s="6">
        <f t="shared" ca="1" si="47"/>
        <v>-349.00000000000011</v>
      </c>
      <c r="BB21" s="6">
        <f t="shared" ca="1" si="48"/>
        <v>-369.00000000000011</v>
      </c>
      <c r="BC21" s="6">
        <f t="shared" ca="1" si="49"/>
        <v>-329</v>
      </c>
      <c r="BD21" s="12">
        <f t="shared" ca="1" si="50"/>
        <v>-269</v>
      </c>
      <c r="BE21" s="2">
        <f t="shared" ca="1" si="51"/>
        <v>-2.0397416483099669E-2</v>
      </c>
      <c r="BF21" s="2">
        <f t="shared" ca="1" si="52"/>
        <v>-2.1566322871815979E-2</v>
      </c>
      <c r="BG21" s="2">
        <f t="shared" ca="1" si="53"/>
        <v>-1.9228510094383349E-2</v>
      </c>
      <c r="BH21" s="13">
        <f t="shared" ca="1" si="54"/>
        <v>-1.57401897365771E-2</v>
      </c>
      <c r="BI21" s="2">
        <f t="shared" ca="1" si="55"/>
        <v>-0.37225285081656895</v>
      </c>
      <c r="BJ21" s="2">
        <f t="shared" ca="1" si="56"/>
        <v>-0.39358539241064161</v>
      </c>
      <c r="BK21" s="2">
        <f t="shared" ca="1" si="57"/>
        <v>-0.35092030922249612</v>
      </c>
      <c r="BL21" s="56">
        <f t="shared" ca="1" si="58"/>
        <v>-0.28725846269253208</v>
      </c>
      <c r="BN21" s="6">
        <f t="shared" ca="1" si="59"/>
        <v>191.00000000000011</v>
      </c>
      <c r="BO21" s="6">
        <f t="shared" ca="1" si="60"/>
        <v>111</v>
      </c>
      <c r="BP21" s="6">
        <f t="shared" ca="1" si="61"/>
        <v>151.00000000000011</v>
      </c>
      <c r="BQ21" s="12">
        <f t="shared" ca="1" si="62"/>
        <v>211.00000000000011</v>
      </c>
      <c r="BR21" s="2">
        <f t="shared" ca="1" si="63"/>
        <v>6.7903843890840514E-3</v>
      </c>
      <c r="BS21" s="2">
        <f t="shared" ca="1" si="64"/>
        <v>3.9378444948756581E-3</v>
      </c>
      <c r="BT21" s="2">
        <f t="shared" ca="1" si="65"/>
        <v>5.3721303129390463E-3</v>
      </c>
      <c r="BU21" s="13">
        <f t="shared" ca="1" si="66"/>
        <v>7.5067569706998146E-3</v>
      </c>
      <c r="BV21" s="2">
        <f t="shared" ca="1" si="67"/>
        <v>0.12392451510078395</v>
      </c>
      <c r="BW21" s="2">
        <f t="shared" ca="1" si="68"/>
        <v>7.1865662031480759E-2</v>
      </c>
      <c r="BX21" s="2">
        <f t="shared" ca="1" si="69"/>
        <v>9.8041378211137592E-2</v>
      </c>
      <c r="BY21" s="13">
        <f t="shared" ca="1" si="70"/>
        <v>0.13699831471527163</v>
      </c>
      <c r="CB21" s="17" t="s">
        <v>49</v>
      </c>
      <c r="CC21" s="123" t="b">
        <f t="shared" si="43"/>
        <v>1</v>
      </c>
      <c r="CD21" s="17" t="s">
        <v>401</v>
      </c>
      <c r="CE21" s="138" t="str">
        <f>IF([1]!w_info_callput(CD21)="认购","C","P")</f>
        <v>P</v>
      </c>
      <c r="CF21" s="139">
        <f>[1]!w_info_strikeprice(CD21,"")</f>
        <v>3.2</v>
      </c>
      <c r="CG21" s="140" t="str">
        <f>[1]!w_info_lasttradingdate(CD21)</f>
        <v>2020-04-22</v>
      </c>
      <c r="CH21" s="55" t="str">
        <f t="shared" si="44"/>
        <v>IO2004-P-3200.CFE</v>
      </c>
      <c r="CI21" s="55" t="str">
        <f t="shared" si="45"/>
        <v>IO2004-P-3200.CFE</v>
      </c>
      <c r="CK21" s="17" t="s">
        <v>204</v>
      </c>
      <c r="CL21" s="17"/>
    </row>
    <row r="22" spans="1:90">
      <c r="A22" s="50" t="str">
        <f t="shared" si="46"/>
        <v>T</v>
      </c>
      <c r="B22" t="s">
        <v>65</v>
      </c>
      <c r="C22" s="29" t="str">
        <f t="shared" si="3"/>
        <v>P</v>
      </c>
      <c r="D22" s="125">
        <f>[1]!w_info_strikeprice(B22,"")</f>
        <v>3300</v>
      </c>
      <c r="E22" s="18" t="str">
        <f>[1]!w_info_lasttradingdate(B22)</f>
        <v>2020-04-17</v>
      </c>
      <c r="F22" s="4">
        <f>IF(G22&gt;0,RTD("wdf.rtq",,$B22,F$5),0)</f>
        <v>7.6000000000000005</v>
      </c>
      <c r="G22" s="73">
        <f>RTD("wdf.rtq",,$B22,G$5)</f>
        <v>460</v>
      </c>
      <c r="H22" s="4">
        <f>RTD("wdf.rtq",,$B22,H$5)</f>
        <v>7</v>
      </c>
      <c r="I22" s="73">
        <f>RTD("wdf.rtq",,$B22,I$5)</f>
        <v>2</v>
      </c>
      <c r="J22" s="4">
        <f>RTD("wdf.rtq",,$B22,J$5)</f>
        <v>7.6000000000000005</v>
      </c>
      <c r="K22" s="73">
        <f>RTD("wdf.rtq",,$B22,K$5)</f>
        <v>4</v>
      </c>
      <c r="L22" s="4">
        <f>[1]!s_dq_presettle(B22,"")</f>
        <v>6.4</v>
      </c>
      <c r="M22" s="6">
        <f t="shared" si="4"/>
        <v>424.32000000000016</v>
      </c>
      <c r="N22" s="3">
        <f t="shared" si="5"/>
        <v>760</v>
      </c>
      <c r="O22" s="6">
        <f t="shared" si="6"/>
        <v>-5188.8000000000147</v>
      </c>
      <c r="P22" s="3">
        <f t="shared" si="7"/>
        <v>16500</v>
      </c>
      <c r="Q22" s="6">
        <f t="shared" si="77"/>
        <v>17260.009999999998</v>
      </c>
      <c r="R22" s="75">
        <f ca="1">IF(NOW()-TODAY()&gt;15/24, G22, [1]!s_dq_volume(B22,R$2,1))/$I$2</f>
        <v>1410</v>
      </c>
      <c r="S22" s="78">
        <f t="shared" si="71"/>
        <v>0</v>
      </c>
      <c r="T22" s="78">
        <f t="shared" si="72"/>
        <v>7.6000000000000005</v>
      </c>
      <c r="AB22" s="17" t="s">
        <v>396</v>
      </c>
      <c r="AC22" s="29" t="str">
        <f>IF([1]!w_info_callput(AB22)="认购","C","P")</f>
        <v>P</v>
      </c>
      <c r="AD22" s="31">
        <f>[1]!w_info_strikeprice(AB22,"")</f>
        <v>3.3</v>
      </c>
      <c r="AE22" s="18" t="str">
        <f>[1]!w_info_lasttradingdate(AB22)</f>
        <v>2020-04-22</v>
      </c>
      <c r="AF22" s="15">
        <f>RTD("wdf.rtq",,$AB22,F$5)</f>
        <v>1.1300000000000001E-2</v>
      </c>
      <c r="AG22" s="73">
        <f>RTD("wdf.rtq",,$AB22,G$5)</f>
        <v>12303</v>
      </c>
      <c r="AH22" s="15">
        <f>RTD("wdf.rtq",,$AB22,H$5)</f>
        <v>1.11E-2</v>
      </c>
      <c r="AI22" s="73">
        <f>RTD("wdf.rtq",,$AB22,I$5)</f>
        <v>7</v>
      </c>
      <c r="AJ22" s="15">
        <f>RTD("wdf.rtq",,$AB22,J$5)</f>
        <v>1.1300000000000001E-2</v>
      </c>
      <c r="AK22" s="77">
        <f>RTD("wdf.rtq",,$AB22,K$5)</f>
        <v>10</v>
      </c>
      <c r="AL22" s="15">
        <f>[1]!s_dq_presettle(AB22,"")</f>
        <v>9.1999999999999998E-3</v>
      </c>
      <c r="AM22" s="15">
        <f t="shared" si="11"/>
        <v>0.41100000000000048</v>
      </c>
      <c r="AN22" s="3">
        <f t="shared" si="12"/>
        <v>1130</v>
      </c>
      <c r="AO22" s="15">
        <f t="shared" si="73"/>
        <v>3.4319999999999518E-2</v>
      </c>
      <c r="AP22" s="14">
        <f t="shared" si="14"/>
        <v>0.23100000000000001</v>
      </c>
      <c r="AQ22" s="8">
        <f t="shared" si="76"/>
        <v>29076.01</v>
      </c>
      <c r="AR22" s="78">
        <f ca="1">IF(NOW()-TODAY()&gt;15/24, AG22, [1]!s_dq_volume(AB22,AR$2,1))/AI$2</f>
        <v>2810</v>
      </c>
      <c r="AS22" s="122">
        <f t="shared" si="74"/>
        <v>0</v>
      </c>
      <c r="AT22" s="122">
        <f t="shared" si="75"/>
        <v>1.1300000000000001E-2</v>
      </c>
      <c r="AV22" s="49">
        <f t="shared" ca="1" si="18"/>
        <v>0</v>
      </c>
      <c r="AY22" s="10"/>
      <c r="AZ22" s="10"/>
      <c r="BA22" s="6">
        <f t="shared" ca="1" si="47"/>
        <v>-449</v>
      </c>
      <c r="BB22" s="6">
        <f t="shared" ca="1" si="48"/>
        <v>-509</v>
      </c>
      <c r="BC22" s="6">
        <f t="shared" ca="1" si="49"/>
        <v>-489</v>
      </c>
      <c r="BD22" s="12">
        <f t="shared" ca="1" si="50"/>
        <v>-429</v>
      </c>
      <c r="BE22" s="2">
        <f t="shared" ca="1" si="51"/>
        <v>-2.4415429899168083E-2</v>
      </c>
      <c r="BF22" s="2">
        <f t="shared" ca="1" si="52"/>
        <v>-2.7678070865649343E-2</v>
      </c>
      <c r="BG22" s="2">
        <f t="shared" ca="1" si="53"/>
        <v>-2.6590523876822255E-2</v>
      </c>
      <c r="BH22" s="13">
        <f t="shared" ca="1" si="54"/>
        <v>-2.3353280700446E-2</v>
      </c>
      <c r="BI22" s="2">
        <f t="shared" ca="1" si="55"/>
        <v>-0.44558159565981753</v>
      </c>
      <c r="BJ22" s="2">
        <f t="shared" ca="1" si="56"/>
        <v>-0.50512479329810056</v>
      </c>
      <c r="BK22" s="2">
        <f t="shared" ca="1" si="57"/>
        <v>-0.48527706075200616</v>
      </c>
      <c r="BL22" s="56">
        <f t="shared" ca="1" si="58"/>
        <v>-0.42619737278313952</v>
      </c>
      <c r="BN22" s="6">
        <f t="shared" ca="1" si="59"/>
        <v>291</v>
      </c>
      <c r="BO22" s="127">
        <f t="shared" ca="1" si="60"/>
        <v>271</v>
      </c>
      <c r="BP22" s="6">
        <f t="shared" ca="1" si="61"/>
        <v>291</v>
      </c>
      <c r="BQ22" s="12">
        <f t="shared" ca="1" si="62"/>
        <v>351</v>
      </c>
      <c r="BR22" s="2">
        <f t="shared" ca="1" si="63"/>
        <v>9.7533148701853898E-3</v>
      </c>
      <c r="BS22" s="2">
        <f t="shared" ca="1" si="64"/>
        <v>9.0829839512723051E-3</v>
      </c>
      <c r="BT22" s="2">
        <f t="shared" ca="1" si="65"/>
        <v>9.7729616742057296E-3</v>
      </c>
      <c r="BU22" s="13">
        <f t="shared" ca="1" si="66"/>
        <v>1.1788013236158908E-2</v>
      </c>
      <c r="BV22" s="2">
        <f t="shared" ca="1" si="67"/>
        <v>0.17799799638088337</v>
      </c>
      <c r="BW22" s="2">
        <f t="shared" ca="1" si="68"/>
        <v>0.16576445711071958</v>
      </c>
      <c r="BX22" s="2">
        <f t="shared" ca="1" si="69"/>
        <v>0.17835655055425456</v>
      </c>
      <c r="BY22" s="13">
        <f t="shared" ca="1" si="70"/>
        <v>0.2151312415599001</v>
      </c>
      <c r="BZ22">
        <v>451</v>
      </c>
      <c r="CB22" s="17" t="s">
        <v>50</v>
      </c>
      <c r="CC22" s="123" t="b">
        <f t="shared" si="43"/>
        <v>1</v>
      </c>
      <c r="CD22" s="17" t="s">
        <v>396</v>
      </c>
      <c r="CE22" s="138" t="str">
        <f>IF([1]!w_info_callput(CD22)="认购","C","P")</f>
        <v>P</v>
      </c>
      <c r="CF22" s="139">
        <f>[1]!w_info_strikeprice(CD22,"")</f>
        <v>3.3</v>
      </c>
      <c r="CG22" s="140" t="str">
        <f>[1]!w_info_lasttradingdate(CD22)</f>
        <v>2020-04-22</v>
      </c>
      <c r="CH22" s="55" t="str">
        <f t="shared" si="44"/>
        <v>IO2004-P-3300.CFE</v>
      </c>
      <c r="CI22" s="55" t="str">
        <f t="shared" si="45"/>
        <v>IO2004-P-3300.CFE</v>
      </c>
      <c r="CK22" s="17" t="s">
        <v>205</v>
      </c>
      <c r="CL22" s="17"/>
    </row>
    <row r="23" spans="1:90">
      <c r="A23" s="50" t="str">
        <f t="shared" si="46"/>
        <v>T</v>
      </c>
      <c r="B23" t="s">
        <v>67</v>
      </c>
      <c r="C23" s="29" t="str">
        <f t="shared" si="3"/>
        <v>P</v>
      </c>
      <c r="D23" s="125">
        <f>[1]!w_info_strikeprice(B23,"")</f>
        <v>3400</v>
      </c>
      <c r="E23" s="18" t="str">
        <f>[1]!w_info_lasttradingdate(B23)</f>
        <v>2020-04-17</v>
      </c>
      <c r="F23" s="4">
        <f>IF(G23&gt;0,RTD("wdf.rtq",,$B23,F$5),0)</f>
        <v>13.4</v>
      </c>
      <c r="G23" s="73">
        <f>RTD("wdf.rtq",,$B23,G$5)</f>
        <v>396</v>
      </c>
      <c r="H23" s="4">
        <f>RTD("wdf.rtq",,$B23,H$5)</f>
        <v>13.200000000000001</v>
      </c>
      <c r="I23" s="73">
        <f>RTD("wdf.rtq",,$B23,I$5)</f>
        <v>8</v>
      </c>
      <c r="J23" s="4">
        <f>RTD("wdf.rtq",,$B23,J$5)</f>
        <v>14.4</v>
      </c>
      <c r="K23" s="73">
        <f>RTD("wdf.rtq",,$B23,K$5)</f>
        <v>1</v>
      </c>
      <c r="L23" s="4">
        <f>[1]!s_dq_presettle(B23,"")</f>
        <v>11.6</v>
      </c>
      <c r="M23" s="6">
        <f t="shared" si="4"/>
        <v>324.32000000000016</v>
      </c>
      <c r="N23" s="3">
        <f t="shared" si="5"/>
        <v>1340</v>
      </c>
      <c r="O23" s="6">
        <f t="shared" si="6"/>
        <v>4811.1999999999853</v>
      </c>
      <c r="P23" s="3">
        <f t="shared" si="7"/>
        <v>17000</v>
      </c>
      <c r="Q23" s="6">
        <f t="shared" si="77"/>
        <v>18340.009999999998</v>
      </c>
      <c r="R23" s="75">
        <f ca="1">IF(NOW()-TODAY()&gt;15/24, G23, [1]!s_dq_volume(B23,R$2,1))/$I$2</f>
        <v>924</v>
      </c>
      <c r="S23" s="78">
        <f t="shared" si="71"/>
        <v>0</v>
      </c>
      <c r="T23" s="78">
        <f t="shared" si="72"/>
        <v>13.4</v>
      </c>
      <c r="AB23" s="17" t="s">
        <v>397</v>
      </c>
      <c r="AC23" s="29" t="str">
        <f>IF([1]!w_info_callput(AB23)="认购","C","P")</f>
        <v>P</v>
      </c>
      <c r="AD23" s="31">
        <f>[1]!w_info_strikeprice(AB23,"")</f>
        <v>3.4</v>
      </c>
      <c r="AE23" s="18" t="str">
        <f>[1]!w_info_lasttradingdate(AB23)</f>
        <v>2020-04-22</v>
      </c>
      <c r="AF23" s="15">
        <f>RTD("wdf.rtq",,$AB23,F$5)</f>
        <v>1.89E-2</v>
      </c>
      <c r="AG23" s="73">
        <f>RTD("wdf.rtq",,$AB23,G$5)</f>
        <v>24165</v>
      </c>
      <c r="AH23" s="15">
        <f>RTD("wdf.rtq",,$AB23,H$5)</f>
        <v>1.8500000000000003E-2</v>
      </c>
      <c r="AI23" s="73">
        <f>RTD("wdf.rtq",,$AB23,I$5)</f>
        <v>7</v>
      </c>
      <c r="AJ23" s="15">
        <f>RTD("wdf.rtq",,$AB23,J$5)</f>
        <v>1.89E-2</v>
      </c>
      <c r="AK23" s="77">
        <f>RTD("wdf.rtq",,$AB23,K$5)</f>
        <v>22</v>
      </c>
      <c r="AL23" s="15">
        <f>[1]!s_dq_presettle(AB23,"")</f>
        <v>1.4800000000000001E-2</v>
      </c>
      <c r="AM23" s="15">
        <f t="shared" si="11"/>
        <v>0.31100000000000039</v>
      </c>
      <c r="AN23" s="3">
        <f t="shared" si="12"/>
        <v>1890</v>
      </c>
      <c r="AO23" s="15">
        <f t="shared" si="73"/>
        <v>0.13431999999999961</v>
      </c>
      <c r="AP23" s="14">
        <f t="shared" si="14"/>
        <v>0.23800000000000002</v>
      </c>
      <c r="AQ23" s="8">
        <f t="shared" si="76"/>
        <v>30828.01</v>
      </c>
      <c r="AR23" s="78">
        <f ca="1">IF(NOW()-TODAY()&gt;15/24, AG23, [1]!s_dq_volume(AB23,AR$2,1))/AI$2</f>
        <v>5156.1000000000004</v>
      </c>
      <c r="AS23" s="122">
        <f t="shared" si="74"/>
        <v>0</v>
      </c>
      <c r="AT23" s="122">
        <f t="shared" si="75"/>
        <v>1.89E-2</v>
      </c>
      <c r="AV23" s="49">
        <f t="shared" ca="1" si="18"/>
        <v>0</v>
      </c>
      <c r="AY23" s="10"/>
      <c r="AZ23" s="10"/>
      <c r="BA23" s="6">
        <f t="shared" ca="1" si="47"/>
        <v>-629</v>
      </c>
      <c r="BB23" s="6">
        <f t="shared" ca="1" si="48"/>
        <v>-649</v>
      </c>
      <c r="BC23" s="6">
        <f t="shared" ca="1" si="49"/>
        <v>-549.00000000000023</v>
      </c>
      <c r="BD23" s="12">
        <f t="shared" ca="1" si="50"/>
        <v>-489.00000000000023</v>
      </c>
      <c r="BE23" s="2">
        <f t="shared" ca="1" si="51"/>
        <v>-3.1092421605327929E-2</v>
      </c>
      <c r="BF23" s="2">
        <f t="shared" ca="1" si="52"/>
        <v>-3.2081051863049007E-2</v>
      </c>
      <c r="BG23" s="2">
        <f t="shared" ca="1" si="53"/>
        <v>-2.7164756474638077E-2</v>
      </c>
      <c r="BH23" s="13">
        <f t="shared" ca="1" si="54"/>
        <v>-2.4219898850966409E-2</v>
      </c>
      <c r="BI23" s="2">
        <f t="shared" ca="1" si="55"/>
        <v>-0.56743669429723476</v>
      </c>
      <c r="BJ23" s="2">
        <f t="shared" ca="1" si="56"/>
        <v>-0.58547919650064428</v>
      </c>
      <c r="BK23" s="2">
        <f t="shared" ca="1" si="57"/>
        <v>-0.49575680566214492</v>
      </c>
      <c r="BL23" s="56">
        <f t="shared" ca="1" si="58"/>
        <v>-0.44201315403013697</v>
      </c>
      <c r="BN23" s="6">
        <f t="shared" ca="1" si="59"/>
        <v>471</v>
      </c>
      <c r="BO23" s="127">
        <f t="shared" ca="1" si="60"/>
        <v>331.00000000000023</v>
      </c>
      <c r="BP23" s="6">
        <f t="shared" ca="1" si="61"/>
        <v>431</v>
      </c>
      <c r="BQ23" s="12">
        <f t="shared" ca="1" si="62"/>
        <v>491</v>
      </c>
      <c r="BR23" s="2">
        <f t="shared" ca="1" si="63"/>
        <v>1.4641875577631318E-2</v>
      </c>
      <c r="BS23" s="2">
        <f t="shared" ca="1" si="64"/>
        <v>1.0257837406149318E-2</v>
      </c>
      <c r="BT23" s="2">
        <f t="shared" ca="1" si="65"/>
        <v>1.3406731298931848E-2</v>
      </c>
      <c r="BU23" s="13">
        <f t="shared" ca="1" si="66"/>
        <v>1.5273107106785148E-2</v>
      </c>
      <c r="BV23" s="2">
        <f t="shared" ca="1" si="67"/>
        <v>0.26721422929177152</v>
      </c>
      <c r="BW23" s="2">
        <f t="shared" ca="1" si="68"/>
        <v>0.18720553266222506</v>
      </c>
      <c r="BX23" s="2">
        <f t="shared" ca="1" si="69"/>
        <v>0.24467284620550625</v>
      </c>
      <c r="BY23" s="13">
        <f t="shared" ca="1" si="70"/>
        <v>0.27873420469882892</v>
      </c>
      <c r="BZ23">
        <v>711</v>
      </c>
      <c r="CB23" s="17" t="s">
        <v>51</v>
      </c>
      <c r="CC23" s="123" t="b">
        <f t="shared" si="43"/>
        <v>1</v>
      </c>
      <c r="CD23" s="17" t="s">
        <v>397</v>
      </c>
      <c r="CE23" s="138" t="str">
        <f>IF([1]!w_info_callput(CD23)="认购","C","P")</f>
        <v>P</v>
      </c>
      <c r="CF23" s="139">
        <f>[1]!w_info_strikeprice(CD23,"")</f>
        <v>3.4</v>
      </c>
      <c r="CG23" s="140" t="str">
        <f>[1]!w_info_lasttradingdate(CD23)</f>
        <v>2020-04-22</v>
      </c>
      <c r="CH23" s="55" t="str">
        <f t="shared" si="44"/>
        <v>IO2004-P-3400.CFE</v>
      </c>
      <c r="CI23" s="55" t="str">
        <f t="shared" si="45"/>
        <v>IO2004-P-3400.CFE</v>
      </c>
      <c r="CK23" s="17" t="s">
        <v>206</v>
      </c>
      <c r="CL23" s="17"/>
    </row>
    <row r="24" spans="1:90">
      <c r="A24" s="50" t="str">
        <f t="shared" si="46"/>
        <v>T</v>
      </c>
      <c r="B24" t="s">
        <v>69</v>
      </c>
      <c r="C24" s="29" t="str">
        <f t="shared" si="3"/>
        <v>P</v>
      </c>
      <c r="D24" s="125">
        <f>[1]!w_info_strikeprice(B24,"")</f>
        <v>3500</v>
      </c>
      <c r="E24" s="18" t="str">
        <f>[1]!w_info_lasttradingdate(B24)</f>
        <v>2020-04-17</v>
      </c>
      <c r="F24" s="4">
        <f>IF(G24&gt;0,RTD("wdf.rtq",,$B24,F$5),0)</f>
        <v>26.2</v>
      </c>
      <c r="G24" s="73">
        <f>RTD("wdf.rtq",,$B24,G$5)</f>
        <v>505</v>
      </c>
      <c r="H24" s="4">
        <f>RTD("wdf.rtq",,$B24,H$5)</f>
        <v>25</v>
      </c>
      <c r="I24" s="73">
        <f>RTD("wdf.rtq",,$B24,I$5)</f>
        <v>11</v>
      </c>
      <c r="J24" s="4">
        <f>RTD("wdf.rtq",,$B24,J$5)</f>
        <v>26.6</v>
      </c>
      <c r="K24" s="73">
        <f>RTD("wdf.rtq",,$B24,K$5)</f>
        <v>2</v>
      </c>
      <c r="L24" s="4">
        <f>[1]!s_dq_presettle(B24,"")</f>
        <v>22.2</v>
      </c>
      <c r="M24" s="6">
        <f t="shared" si="4"/>
        <v>224.32000000000016</v>
      </c>
      <c r="N24" s="3">
        <f t="shared" si="5"/>
        <v>2620</v>
      </c>
      <c r="O24" s="6">
        <f t="shared" si="6"/>
        <v>14811.199999999986</v>
      </c>
      <c r="P24" s="3">
        <f t="shared" si="7"/>
        <v>17500</v>
      </c>
      <c r="Q24" s="6">
        <f t="shared" si="77"/>
        <v>20120.009999999998</v>
      </c>
      <c r="R24" s="75">
        <f ca="1">IF(NOW()-TODAY()&gt;15/24, G24, [1]!s_dq_volume(B24,R$2,1))/$I$2</f>
        <v>1190</v>
      </c>
      <c r="S24" s="78">
        <f t="shared" si="71"/>
        <v>0</v>
      </c>
      <c r="T24" s="78">
        <f t="shared" si="72"/>
        <v>26.2</v>
      </c>
      <c r="AB24" s="17" t="s">
        <v>325</v>
      </c>
      <c r="AC24" s="29" t="str">
        <f>IF([1]!w_info_callput(AB24)="认购","C","P")</f>
        <v>P</v>
      </c>
      <c r="AD24" s="31">
        <f>[1]!w_info_strikeprice(AB24,"")</f>
        <v>3.5</v>
      </c>
      <c r="AE24" s="18" t="str">
        <f>[1]!w_info_lasttradingdate(AB24)</f>
        <v>2020-04-22</v>
      </c>
      <c r="AF24" s="15">
        <f>RTD("wdf.rtq",,$AB24,F$5)</f>
        <v>3.4200000000000001E-2</v>
      </c>
      <c r="AG24" s="73">
        <f>RTD("wdf.rtq",,$AB24,G$5)</f>
        <v>43947</v>
      </c>
      <c r="AH24" s="15">
        <f>RTD("wdf.rtq",,$AB24,H$5)</f>
        <v>3.3800000000000004E-2</v>
      </c>
      <c r="AI24" s="73">
        <f>RTD("wdf.rtq",,$AB24,I$5)</f>
        <v>6</v>
      </c>
      <c r="AJ24" s="15">
        <f>RTD("wdf.rtq",,$AB24,J$5)</f>
        <v>3.44E-2</v>
      </c>
      <c r="AK24" s="77">
        <f>RTD("wdf.rtq",,$AB24,K$5)</f>
        <v>6</v>
      </c>
      <c r="AL24" s="15">
        <f>[1]!s_dq_presettle(AB24,"")</f>
        <v>2.8000000000000001E-2</v>
      </c>
      <c r="AM24" s="15">
        <f t="shared" si="11"/>
        <v>0.2110000000000003</v>
      </c>
      <c r="AN24" s="3">
        <f t="shared" si="12"/>
        <v>3420</v>
      </c>
      <c r="AO24" s="15">
        <f t="shared" si="73"/>
        <v>0.2343199999999997</v>
      </c>
      <c r="AP24" s="14">
        <f t="shared" si="14"/>
        <v>0.24500000000000002</v>
      </c>
      <c r="AQ24" s="8">
        <f t="shared" si="76"/>
        <v>33504.01</v>
      </c>
      <c r="AR24" s="78">
        <f ca="1">IF(NOW()-TODAY()&gt;15/24, AG24, [1]!s_dq_volume(AB24,AR$2,1))/AI$2</f>
        <v>8897.7000000000007</v>
      </c>
      <c r="AS24" s="122">
        <f t="shared" si="74"/>
        <v>0</v>
      </c>
      <c r="AT24" s="122">
        <f t="shared" si="75"/>
        <v>3.4200000000000001E-2</v>
      </c>
      <c r="AV24" s="49">
        <f t="shared" ca="1" si="18"/>
        <v>0</v>
      </c>
      <c r="AY24" s="10"/>
      <c r="AZ24" s="10"/>
      <c r="BA24" s="6">
        <f t="shared" ca="1" si="47"/>
        <v>-879</v>
      </c>
      <c r="BB24" s="6">
        <f t="shared" ca="1" si="48"/>
        <v>-1019</v>
      </c>
      <c r="BC24" s="6">
        <f t="shared" ca="1" si="49"/>
        <v>-859.00000000000045</v>
      </c>
      <c r="BD24" s="12">
        <f t="shared" ca="1" si="50"/>
        <v>-799.00000000000045</v>
      </c>
      <c r="BE24" s="2">
        <f t="shared" ca="1" si="51"/>
        <v>-3.7340680823839921E-2</v>
      </c>
      <c r="BF24" s="2">
        <f t="shared" ca="1" si="52"/>
        <v>-4.3251254986733878E-2</v>
      </c>
      <c r="BG24" s="2">
        <f t="shared" ca="1" si="53"/>
        <v>-3.6522093315436537E-2</v>
      </c>
      <c r="BH24" s="13">
        <f t="shared" ca="1" si="54"/>
        <v>-3.3999985531921073E-2</v>
      </c>
      <c r="BI24" s="2">
        <f t="shared" ca="1" si="55"/>
        <v>-0.68146742503507851</v>
      </c>
      <c r="BJ24" s="2">
        <f t="shared" ca="1" si="56"/>
        <v>-0.78933540350789333</v>
      </c>
      <c r="BK24" s="2">
        <f t="shared" ca="1" si="57"/>
        <v>-0.66652820300671678</v>
      </c>
      <c r="BL24" s="56">
        <f t="shared" ca="1" si="58"/>
        <v>-0.62049973595755958</v>
      </c>
      <c r="BN24" s="6">
        <f t="shared" ca="1" si="59"/>
        <v>721</v>
      </c>
      <c r="BO24" s="127">
        <f t="shared" ca="1" si="60"/>
        <v>641.00000000000045</v>
      </c>
      <c r="BP24" s="6">
        <f t="shared" ca="1" si="61"/>
        <v>801</v>
      </c>
      <c r="BQ24" s="12">
        <f t="shared" ca="1" si="62"/>
        <v>861</v>
      </c>
      <c r="BR24" s="2">
        <f t="shared" ca="1" si="63"/>
        <v>1.9959024482608657E-2</v>
      </c>
      <c r="BS24" s="2">
        <f t="shared" ca="1" si="64"/>
        <v>1.7724804301292928E-2</v>
      </c>
      <c r="BT24" s="2">
        <f t="shared" ca="1" si="65"/>
        <v>2.2247509514907081E-2</v>
      </c>
      <c r="BU24" s="13">
        <f t="shared" ca="1" si="66"/>
        <v>2.3914002912453363E-2</v>
      </c>
      <c r="BV24" s="2">
        <f t="shared" ca="1" si="67"/>
        <v>0.36425219680760795</v>
      </c>
      <c r="BW24" s="2">
        <f t="shared" ca="1" si="68"/>
        <v>0.32347767849859593</v>
      </c>
      <c r="BX24" s="2">
        <f t="shared" ca="1" si="69"/>
        <v>0.40601704864705424</v>
      </c>
      <c r="BY24" s="13">
        <f t="shared" ca="1" si="70"/>
        <v>0.43643055315227386</v>
      </c>
      <c r="BZ24">
        <v>991</v>
      </c>
      <c r="CB24" s="17" t="s">
        <v>52</v>
      </c>
      <c r="CC24" s="123" t="b">
        <f t="shared" si="43"/>
        <v>1</v>
      </c>
      <c r="CD24" s="17" t="s">
        <v>325</v>
      </c>
      <c r="CE24" s="138" t="str">
        <f>IF([1]!w_info_callput(CD24)="认购","C","P")</f>
        <v>P</v>
      </c>
      <c r="CF24" s="139">
        <f>[1]!w_info_strikeprice(CD24,"")</f>
        <v>3.5</v>
      </c>
      <c r="CG24" s="140" t="str">
        <f>[1]!w_info_lasttradingdate(CD24)</f>
        <v>2020-04-22</v>
      </c>
      <c r="CH24" s="55" t="str">
        <f t="shared" si="44"/>
        <v>IO2004-P-3500.CFE</v>
      </c>
      <c r="CI24" s="55" t="str">
        <f t="shared" si="45"/>
        <v>IO2004-P-3500.CFE</v>
      </c>
      <c r="CK24" s="17" t="s">
        <v>207</v>
      </c>
      <c r="CL24" s="17"/>
    </row>
    <row r="25" spans="1:90">
      <c r="A25" s="50" t="str">
        <f t="shared" si="46"/>
        <v>T</v>
      </c>
      <c r="B25" t="s">
        <v>71</v>
      </c>
      <c r="C25" s="29" t="str">
        <f t="shared" si="3"/>
        <v>P</v>
      </c>
      <c r="D25" s="125">
        <f>[1]!w_info_strikeprice(B25,"")</f>
        <v>3600</v>
      </c>
      <c r="E25" s="18" t="str">
        <f>[1]!w_info_lasttradingdate(B25)</f>
        <v>2020-04-17</v>
      </c>
      <c r="F25" s="4">
        <f>IF(G25&gt;0,RTD("wdf.rtq",,$B25,F$5),0)</f>
        <v>48.4</v>
      </c>
      <c r="G25" s="73">
        <f>RTD("wdf.rtq",,$B25,G$5)</f>
        <v>935</v>
      </c>
      <c r="H25" s="4">
        <f>RTD("wdf.rtq",,$B25,H$5)</f>
        <v>47.800000000000004</v>
      </c>
      <c r="I25" s="73">
        <f>RTD("wdf.rtq",,$B25,I$5)</f>
        <v>2</v>
      </c>
      <c r="J25" s="4">
        <f>RTD("wdf.rtq",,$B25,J$5)</f>
        <v>48.4</v>
      </c>
      <c r="K25" s="73">
        <f>RTD("wdf.rtq",,$B25,K$5)</f>
        <v>1</v>
      </c>
      <c r="L25" s="4">
        <f>[1]!s_dq_presettle(B25,"")</f>
        <v>40</v>
      </c>
      <c r="M25" s="6">
        <f t="shared" si="4"/>
        <v>124.32000000000016</v>
      </c>
      <c r="N25" s="3">
        <f t="shared" si="5"/>
        <v>4840</v>
      </c>
      <c r="O25" s="6">
        <f t="shared" si="6"/>
        <v>24811.199999999986</v>
      </c>
      <c r="P25" s="3">
        <f t="shared" si="7"/>
        <v>18000</v>
      </c>
      <c r="Q25" s="6">
        <f t="shared" si="77"/>
        <v>29651.209999999985</v>
      </c>
      <c r="R25" s="75">
        <f ca="1">IF(NOW()-TODAY()&gt;15/24, G25, [1]!s_dq_volume(B25,R$2,1))/$I$2</f>
        <v>2648</v>
      </c>
      <c r="S25" s="78">
        <f t="shared" si="71"/>
        <v>0</v>
      </c>
      <c r="T25" s="78">
        <f t="shared" si="72"/>
        <v>48.4</v>
      </c>
      <c r="AB25" s="17" t="s">
        <v>326</v>
      </c>
      <c r="AC25" s="29" t="str">
        <f>IF([1]!w_info_callput(AB25)="认购","C","P")</f>
        <v>P</v>
      </c>
      <c r="AD25" s="31">
        <f>[1]!w_info_strikeprice(AB25,"")</f>
        <v>3.6</v>
      </c>
      <c r="AE25" s="18" t="str">
        <f>[1]!w_info_lasttradingdate(AB25)</f>
        <v>2020-04-22</v>
      </c>
      <c r="AF25" s="15">
        <f>RTD("wdf.rtq",,$AB25,F$5)</f>
        <v>5.8700000000000002E-2</v>
      </c>
      <c r="AG25" s="73">
        <f>RTD("wdf.rtq",,$AB25,G$5)</f>
        <v>53422</v>
      </c>
      <c r="AH25" s="15">
        <f>RTD("wdf.rtq",,$AB25,H$5)</f>
        <v>5.8600000000000006E-2</v>
      </c>
      <c r="AI25" s="73">
        <f>RTD("wdf.rtq",,$AB25,I$5)</f>
        <v>17</v>
      </c>
      <c r="AJ25" s="15">
        <f>RTD("wdf.rtq",,$AB25,J$5)</f>
        <v>5.9200000000000003E-2</v>
      </c>
      <c r="AK25" s="77">
        <f>RTD("wdf.rtq",,$AB25,K$5)</f>
        <v>2</v>
      </c>
      <c r="AL25" s="15">
        <f>[1]!s_dq_presettle(AB25,"")</f>
        <v>5.0999999999999997E-2</v>
      </c>
      <c r="AM25" s="15">
        <f t="shared" si="11"/>
        <v>0.11100000000000021</v>
      </c>
      <c r="AN25" s="3">
        <f t="shared" si="12"/>
        <v>5870</v>
      </c>
      <c r="AO25" s="15">
        <f t="shared" si="73"/>
        <v>0.33431999999999978</v>
      </c>
      <c r="AP25" s="14">
        <f t="shared" si="14"/>
        <v>0.25200000000000006</v>
      </c>
      <c r="AQ25" s="8">
        <f t="shared" si="76"/>
        <v>47162.409999999974</v>
      </c>
      <c r="AR25" s="78">
        <f ca="1">IF(NOW()-TODAY()&gt;15/24, AG25, [1]!s_dq_volume(AB25,AR$2,1))/AI$2</f>
        <v>15090.8</v>
      </c>
      <c r="AS25" s="122">
        <f t="shared" si="74"/>
        <v>0</v>
      </c>
      <c r="AT25" s="122">
        <f t="shared" si="75"/>
        <v>5.8700000000000002E-2</v>
      </c>
      <c r="AV25" s="49">
        <f t="shared" ca="1" si="18"/>
        <v>0</v>
      </c>
      <c r="AY25" s="10"/>
      <c r="AZ25" s="10"/>
      <c r="BA25" s="6">
        <f t="shared" ca="1" si="47"/>
        <v>-1109</v>
      </c>
      <c r="BB25" s="6">
        <f t="shared" ca="1" si="48"/>
        <v>-1219</v>
      </c>
      <c r="BC25" s="6">
        <f t="shared" ca="1" si="49"/>
        <v>-1159.0000000000009</v>
      </c>
      <c r="BD25" s="12">
        <f t="shared" ca="1" si="50"/>
        <v>-1099.0000000000009</v>
      </c>
      <c r="BE25" s="2">
        <f t="shared" ca="1" si="51"/>
        <v>-3.1220783301019319E-2</v>
      </c>
      <c r="BF25" s="2">
        <f t="shared" ca="1" si="52"/>
        <v>-3.4269286875537847E-2</v>
      </c>
      <c r="BG25" s="2">
        <f t="shared" ca="1" si="53"/>
        <v>-3.2619209984686745E-2</v>
      </c>
      <c r="BH25" s="13">
        <f t="shared" ca="1" si="54"/>
        <v>-3.0947973893314291E-2</v>
      </c>
      <c r="BI25" s="2">
        <f t="shared" ca="1" si="55"/>
        <v>-0.5697792952436026</v>
      </c>
      <c r="BJ25" s="2">
        <f t="shared" ca="1" si="56"/>
        <v>-0.62541448547856571</v>
      </c>
      <c r="BK25" s="2">
        <f t="shared" ca="1" si="57"/>
        <v>-0.59530058222053306</v>
      </c>
      <c r="BL25" s="56">
        <f t="shared" ca="1" si="58"/>
        <v>-0.56480052355298582</v>
      </c>
      <c r="BN25" s="6">
        <f t="shared" ca="1" si="59"/>
        <v>951</v>
      </c>
      <c r="BO25" s="127">
        <f t="shared" ca="1" si="60"/>
        <v>941.00000000000091</v>
      </c>
      <c r="BP25" s="6">
        <f t="shared" ca="1" si="61"/>
        <v>1001</v>
      </c>
      <c r="BQ25" s="12">
        <f t="shared" ca="1" si="62"/>
        <v>1061</v>
      </c>
      <c r="BR25" s="2">
        <f t="shared" ca="1" si="63"/>
        <v>1.8287613977890648E-2</v>
      </c>
      <c r="BS25" s="2">
        <f t="shared" ca="1" si="64"/>
        <v>1.8095315197891815E-2</v>
      </c>
      <c r="BT25" s="2">
        <f t="shared" ca="1" si="65"/>
        <v>1.9271335592116128E-2</v>
      </c>
      <c r="BU25" s="13">
        <f t="shared" ca="1" si="66"/>
        <v>2.0426468467674114E-2</v>
      </c>
      <c r="BV25" s="2">
        <f t="shared" ca="1" si="67"/>
        <v>0.33374895509650432</v>
      </c>
      <c r="BW25" s="2">
        <f t="shared" ca="1" si="68"/>
        <v>0.33023950236152561</v>
      </c>
      <c r="BX25" s="2">
        <f t="shared" ca="1" si="69"/>
        <v>0.35170187455611934</v>
      </c>
      <c r="BY25" s="13">
        <f t="shared" ca="1" si="70"/>
        <v>0.37278304953505259</v>
      </c>
      <c r="BZ25">
        <v>1231</v>
      </c>
      <c r="CB25" s="17" t="s">
        <v>53</v>
      </c>
      <c r="CC25" s="123" t="b">
        <f t="shared" si="43"/>
        <v>1</v>
      </c>
      <c r="CD25" s="17" t="s">
        <v>326</v>
      </c>
      <c r="CE25" s="138" t="str">
        <f>IF([1]!w_info_callput(CD25)="认购","C","P")</f>
        <v>P</v>
      </c>
      <c r="CF25" s="139">
        <f>[1]!w_info_strikeprice(CD25,"")</f>
        <v>3.6</v>
      </c>
      <c r="CG25" s="140" t="str">
        <f>[1]!w_info_lasttradingdate(CD25)</f>
        <v>2020-04-22</v>
      </c>
      <c r="CH25" s="55" t="str">
        <f t="shared" si="44"/>
        <v>IO2004-P-3600.CFE</v>
      </c>
      <c r="CI25" s="55" t="str">
        <f t="shared" si="45"/>
        <v>IO2004-P-3600.CFE</v>
      </c>
      <c r="CK25" s="17" t="s">
        <v>208</v>
      </c>
      <c r="CL25" s="17"/>
    </row>
    <row r="26" spans="1:90">
      <c r="A26" s="50" t="str">
        <f t="shared" si="46"/>
        <v>T</v>
      </c>
      <c r="B26" t="s">
        <v>73</v>
      </c>
      <c r="C26" s="29" t="str">
        <f t="shared" si="3"/>
        <v>P</v>
      </c>
      <c r="D26" s="125">
        <f>[1]!w_info_strikeprice(B26,"")</f>
        <v>3700</v>
      </c>
      <c r="E26" s="18" t="str">
        <f>[1]!w_info_lasttradingdate(B26)</f>
        <v>2020-04-17</v>
      </c>
      <c r="F26" s="4">
        <f>IF(G26&gt;0,RTD("wdf.rtq",,$B26,F$5),0)</f>
        <v>85.8</v>
      </c>
      <c r="G26" s="73">
        <f>RTD("wdf.rtq",,$B26,G$5)</f>
        <v>1293</v>
      </c>
      <c r="H26" s="4">
        <f>RTD("wdf.rtq",,$B26,H$5)</f>
        <v>85.600000000000009</v>
      </c>
      <c r="I26" s="73">
        <f>RTD("wdf.rtq",,$B26,I$5)</f>
        <v>1</v>
      </c>
      <c r="J26" s="4">
        <f>RTD("wdf.rtq",,$B26,J$5)</f>
        <v>86.2</v>
      </c>
      <c r="K26" s="73">
        <f>RTD("wdf.rtq",,$B26,K$5)</f>
        <v>1</v>
      </c>
      <c r="L26" s="4">
        <f>[1]!s_dq_presettle(B26,"")</f>
        <v>78</v>
      </c>
      <c r="M26" s="6">
        <f t="shared" si="4"/>
        <v>24.320000000000164</v>
      </c>
      <c r="N26" s="3">
        <f t="shared" si="5"/>
        <v>8580</v>
      </c>
      <c r="O26" s="6">
        <f t="shared" si="6"/>
        <v>34811.199999999983</v>
      </c>
      <c r="P26" s="3">
        <f t="shared" si="7"/>
        <v>18500</v>
      </c>
      <c r="Q26" s="6">
        <f t="shared" si="77"/>
        <v>43391.209999999985</v>
      </c>
      <c r="R26" s="75">
        <f ca="1">IF(NOW()-TODAY()&gt;15/24, G26, [1]!s_dq_volume(B26,R$2,1))/$I$2</f>
        <v>2034</v>
      </c>
      <c r="S26" s="78">
        <f t="shared" si="71"/>
        <v>0</v>
      </c>
      <c r="T26" s="78">
        <f t="shared" si="72"/>
        <v>85.8</v>
      </c>
      <c r="AB26" s="17" t="s">
        <v>308</v>
      </c>
      <c r="AC26" s="29" t="str">
        <f>IF([1]!w_info_callput(AB26)="认购","C","P")</f>
        <v>P</v>
      </c>
      <c r="AD26" s="31">
        <f>[1]!w_info_strikeprice(AB26,"")</f>
        <v>3.7</v>
      </c>
      <c r="AE26" s="18" t="str">
        <f>[1]!w_info_lasttradingdate(AB26)</f>
        <v>2020-04-22</v>
      </c>
      <c r="AF26" s="15">
        <f>RTD("wdf.rtq",,$AB26,F$5)</f>
        <v>9.9400000000000002E-2</v>
      </c>
      <c r="AG26" s="73">
        <f>RTD("wdf.rtq",,$AB26,G$5)</f>
        <v>63873</v>
      </c>
      <c r="AH26" s="15">
        <f>RTD("wdf.rtq",,$AB26,H$5)</f>
        <v>9.8600000000000007E-2</v>
      </c>
      <c r="AI26" s="73">
        <f>RTD("wdf.rtq",,$AB26,I$5)</f>
        <v>1</v>
      </c>
      <c r="AJ26" s="15">
        <f>RTD("wdf.rtq",,$AB26,J$5)</f>
        <v>9.9400000000000002E-2</v>
      </c>
      <c r="AK26" s="77">
        <f>RTD("wdf.rtq",,$AB26,K$5)</f>
        <v>13</v>
      </c>
      <c r="AL26" s="15">
        <f>[1]!s_dq_presettle(AB26,"")</f>
        <v>8.8900000000000007E-2</v>
      </c>
      <c r="AM26" s="15">
        <f t="shared" si="11"/>
        <v>1.1000000000000121E-2</v>
      </c>
      <c r="AN26" s="3">
        <f t="shared" si="12"/>
        <v>9940</v>
      </c>
      <c r="AO26" s="15">
        <f t="shared" si="73"/>
        <v>0.43431999999999987</v>
      </c>
      <c r="AP26" s="14">
        <f t="shared" si="14"/>
        <v>0.25900000000000006</v>
      </c>
      <c r="AQ26" s="8">
        <f t="shared" si="76"/>
        <v>64046.409999999982</v>
      </c>
      <c r="AR26" s="78">
        <f ca="1">IF(NOW()-TODAY()&gt;15/24, AG26, [1]!s_dq_volume(AB26,AR$2,1))/AI$2</f>
        <v>14747.7</v>
      </c>
      <c r="AS26" s="122">
        <f t="shared" si="74"/>
        <v>0</v>
      </c>
      <c r="AT26" s="122">
        <f t="shared" si="75"/>
        <v>9.9400000000000002E-2</v>
      </c>
      <c r="AV26" s="49">
        <f t="shared" ca="1" si="18"/>
        <v>0</v>
      </c>
      <c r="AY26" s="10"/>
      <c r="AZ26" s="10"/>
      <c r="BA26" s="6">
        <f t="shared" ca="1" si="47"/>
        <v>-1439</v>
      </c>
      <c r="BB26" s="6">
        <f t="shared" ca="1" si="48"/>
        <v>-1459</v>
      </c>
      <c r="BC26" s="6">
        <f t="shared" ca="1" si="49"/>
        <v>-1379</v>
      </c>
      <c r="BD26" s="12">
        <f t="shared" ca="1" si="50"/>
        <v>-1319</v>
      </c>
      <c r="BE26" s="2">
        <f t="shared" ca="1" si="51"/>
        <v>-2.6982324233783564E-2</v>
      </c>
      <c r="BF26" s="2">
        <f t="shared" ca="1" si="52"/>
        <v>-2.7357339164065478E-2</v>
      </c>
      <c r="BG26" s="2">
        <f t="shared" ca="1" si="53"/>
        <v>-2.5886402805567969E-2</v>
      </c>
      <c r="BH26" s="13">
        <f t="shared" ca="1" si="54"/>
        <v>-2.4769390216673019E-2</v>
      </c>
      <c r="BI26" s="2">
        <f t="shared" ca="1" si="55"/>
        <v>-0.49242741726655004</v>
      </c>
      <c r="BJ26" s="2">
        <f t="shared" ca="1" si="56"/>
        <v>-0.49927143974419497</v>
      </c>
      <c r="BK26" s="2">
        <f t="shared" ca="1" si="57"/>
        <v>-0.47242685120161543</v>
      </c>
      <c r="BL26" s="56">
        <f t="shared" ca="1" si="58"/>
        <v>-0.45204137145428264</v>
      </c>
      <c r="BN26" s="6">
        <f t="shared" ca="1" si="59"/>
        <v>1281</v>
      </c>
      <c r="BO26" s="127">
        <f t="shared" ca="1" si="60"/>
        <v>1161</v>
      </c>
      <c r="BP26" s="6">
        <f t="shared" ca="1" si="61"/>
        <v>1241</v>
      </c>
      <c r="BQ26" s="12">
        <f t="shared" ca="1" si="62"/>
        <v>1301</v>
      </c>
      <c r="BR26" s="2">
        <f t="shared" ca="1" si="63"/>
        <v>1.7638211774477087E-2</v>
      </c>
      <c r="BS26" s="2">
        <f t="shared" ca="1" si="64"/>
        <v>1.5977120653132587E-2</v>
      </c>
      <c r="BT26" s="2">
        <f t="shared" ca="1" si="65"/>
        <v>1.7092150102959204E-2</v>
      </c>
      <c r="BU26" s="13">
        <f t="shared" ca="1" si="66"/>
        <v>1.7918528129954373E-2</v>
      </c>
      <c r="BV26" s="2">
        <f t="shared" ca="1" si="67"/>
        <v>0.32189736488420684</v>
      </c>
      <c r="BW26" s="2">
        <f t="shared" ca="1" si="68"/>
        <v>0.29158245191966969</v>
      </c>
      <c r="BX26" s="2">
        <f t="shared" ca="1" si="69"/>
        <v>0.31193173937900548</v>
      </c>
      <c r="BY26" s="13">
        <f t="shared" ca="1" si="70"/>
        <v>0.32701313837166734</v>
      </c>
      <c r="BZ26">
        <v>1077</v>
      </c>
      <c r="CB26" s="17" t="s">
        <v>54</v>
      </c>
      <c r="CC26" s="123" t="b">
        <f t="shared" si="43"/>
        <v>1</v>
      </c>
      <c r="CD26" s="17" t="s">
        <v>308</v>
      </c>
      <c r="CE26" s="138" t="str">
        <f>IF([1]!w_info_callput(CD26)="认购","C","P")</f>
        <v>P</v>
      </c>
      <c r="CF26" s="139">
        <f>[1]!w_info_strikeprice(CD26,"")</f>
        <v>3.7</v>
      </c>
      <c r="CG26" s="140" t="str">
        <f>[1]!w_info_lasttradingdate(CD26)</f>
        <v>2020-04-22</v>
      </c>
      <c r="CH26" s="55" t="str">
        <f t="shared" si="44"/>
        <v>IO2004-P-3700.CFE</v>
      </c>
      <c r="CI26" s="55" t="str">
        <f t="shared" si="45"/>
        <v>IO2004-P-3700.CFE</v>
      </c>
      <c r="CK26" s="17" t="s">
        <v>209</v>
      </c>
      <c r="CL26" s="17"/>
    </row>
    <row r="27" spans="1:90">
      <c r="A27" s="50" t="str">
        <f t="shared" si="46"/>
        <v>T</v>
      </c>
      <c r="B27" t="s">
        <v>75</v>
      </c>
      <c r="C27" s="29" t="str">
        <f t="shared" si="3"/>
        <v>P</v>
      </c>
      <c r="D27" s="125">
        <f>[1]!w_info_strikeprice(B27,"")</f>
        <v>3800</v>
      </c>
      <c r="E27" s="18" t="str">
        <f>[1]!w_info_lasttradingdate(B27)</f>
        <v>2020-04-17</v>
      </c>
      <c r="F27" s="4">
        <f>IF(G27&gt;0,RTD("wdf.rtq",,$B27,F$5),0)</f>
        <v>146</v>
      </c>
      <c r="G27" s="73">
        <f>RTD("wdf.rtq",,$B27,G$5)</f>
        <v>129</v>
      </c>
      <c r="H27" s="4">
        <f>RTD("wdf.rtq",,$B27,H$5)</f>
        <v>135</v>
      </c>
      <c r="I27" s="73">
        <f>RTD("wdf.rtq",,$B27,I$5)</f>
        <v>5</v>
      </c>
      <c r="J27" s="4">
        <f>RTD("wdf.rtq",,$B27,J$5)</f>
        <v>147</v>
      </c>
      <c r="K27" s="73">
        <f>RTD("wdf.rtq",,$B27,K$5)</f>
        <v>5</v>
      </c>
      <c r="L27" s="4">
        <f>[1]!s_dq_presettle(B27,"")</f>
        <v>130</v>
      </c>
      <c r="M27" s="6">
        <f t="shared" si="4"/>
        <v>0</v>
      </c>
      <c r="N27" s="3">
        <f t="shared" si="5"/>
        <v>14600</v>
      </c>
      <c r="O27" s="6">
        <f t="shared" si="6"/>
        <v>37243.200000000004</v>
      </c>
      <c r="P27" s="3">
        <f t="shared" si="7"/>
        <v>19000</v>
      </c>
      <c r="Q27" s="6">
        <f t="shared" si="77"/>
        <v>51843.210000000006</v>
      </c>
      <c r="R27" s="75">
        <f ca="1">IF(NOW()-TODAY()&gt;15/24, G27, [1]!s_dq_volume(B27,R$2,1))/$I$2</f>
        <v>369</v>
      </c>
      <c r="S27" s="78">
        <f t="shared" si="71"/>
        <v>75.679999999999836</v>
      </c>
      <c r="T27" s="78">
        <f t="shared" si="72"/>
        <v>70.320000000000164</v>
      </c>
      <c r="AB27" s="17" t="s">
        <v>309</v>
      </c>
      <c r="AC27" s="29" t="str">
        <f>IF([1]!w_info_callput(AB27)="认购","C","P")</f>
        <v>P</v>
      </c>
      <c r="AD27" s="31">
        <f>[1]!w_info_strikeprice(AB27,"")</f>
        <v>3.8</v>
      </c>
      <c r="AE27" s="18" t="str">
        <f>[1]!w_info_lasttradingdate(AB27)</f>
        <v>2020-04-22</v>
      </c>
      <c r="AF27" s="15">
        <f>RTD("wdf.rtq",,$AB27,F$5)</f>
        <v>0.15640000000000001</v>
      </c>
      <c r="AG27" s="73">
        <f>RTD("wdf.rtq",,$AB27,G$5)</f>
        <v>26667</v>
      </c>
      <c r="AH27" s="15">
        <f>RTD("wdf.rtq",,$AB27,H$5)</f>
        <v>0.15540000000000001</v>
      </c>
      <c r="AI27" s="73">
        <f>RTD("wdf.rtq",,$AB27,I$5)</f>
        <v>1</v>
      </c>
      <c r="AJ27" s="15">
        <f>RTD("wdf.rtq",,$AB27,J$5)</f>
        <v>0.15640000000000001</v>
      </c>
      <c r="AK27" s="77">
        <f>RTD("wdf.rtq",,$AB27,K$5)</f>
        <v>1</v>
      </c>
      <c r="AL27" s="15">
        <f>[1]!s_dq_presettle(AB27,"")</f>
        <v>0.14380000000000001</v>
      </c>
      <c r="AM27" s="15">
        <f t="shared" si="11"/>
        <v>0</v>
      </c>
      <c r="AN27" s="3">
        <f t="shared" si="12"/>
        <v>15640.000000000002</v>
      </c>
      <c r="AO27" s="15">
        <f t="shared" si="73"/>
        <v>0.44531999999999999</v>
      </c>
      <c r="AP27" s="14">
        <f t="shared" si="14"/>
        <v>0.26600000000000001</v>
      </c>
      <c r="AQ27" s="8">
        <f t="shared" si="76"/>
        <v>72206.409999999989</v>
      </c>
      <c r="AR27" s="78">
        <f ca="1">IF(NOW()-TODAY()&gt;15/24, AG27, [1]!s_dq_volume(AB27,AR$2,1))/AI$2</f>
        <v>4677.8999999999996</v>
      </c>
      <c r="AS27" s="122">
        <f t="shared" si="74"/>
        <v>8.8999999999999524E-2</v>
      </c>
      <c r="AT27" s="122">
        <f t="shared" si="75"/>
        <v>6.7400000000000487E-2</v>
      </c>
      <c r="AV27" s="49">
        <f t="shared" ca="1" si="18"/>
        <v>-1349.300972277626</v>
      </c>
      <c r="AY27" s="10"/>
      <c r="AZ27" s="10"/>
      <c r="BA27" s="6">
        <f t="shared" ca="1" si="47"/>
        <v>230.30097227762417</v>
      </c>
      <c r="BB27" s="6">
        <f t="shared" ca="1" si="48"/>
        <v>-869.69902772237583</v>
      </c>
      <c r="BC27" s="6">
        <f t="shared" ca="1" si="49"/>
        <v>370.30097227762417</v>
      </c>
      <c r="BD27" s="12">
        <f t="shared" ca="1" si="50"/>
        <v>430.30097227762417</v>
      </c>
      <c r="BE27" s="2">
        <f t="shared" ca="1" si="51"/>
        <v>3.4127151372559802E-3</v>
      </c>
      <c r="BF27" s="2">
        <f t="shared" ca="1" si="52"/>
        <v>-1.2887635720386979E-2</v>
      </c>
      <c r="BG27" s="2">
        <f t="shared" ca="1" si="53"/>
        <v>5.4938180581848269E-3</v>
      </c>
      <c r="BH27" s="13">
        <f t="shared" ca="1" si="54"/>
        <v>6.3858782073104581E-3</v>
      </c>
      <c r="BI27" s="2">
        <f t="shared" ca="1" si="55"/>
        <v>6.2282051254921644E-2</v>
      </c>
      <c r="BJ27" s="2">
        <f t="shared" ca="1" si="56"/>
        <v>-0.23519935189706237</v>
      </c>
      <c r="BK27" s="2">
        <f t="shared" ca="1" si="57"/>
        <v>0.10026217956187308</v>
      </c>
      <c r="BL27" s="56">
        <f t="shared" ca="1" si="58"/>
        <v>0.11654227728341586</v>
      </c>
      <c r="BN27" s="6">
        <f t="shared" ca="1" si="59"/>
        <v>-388.30097227762417</v>
      </c>
      <c r="BO27" s="6">
        <f t="shared" ca="1" si="60"/>
        <v>-588.30097227762417</v>
      </c>
      <c r="BP27" s="6">
        <f t="shared" ca="1" si="61"/>
        <v>651.69902772237583</v>
      </c>
      <c r="BQ27" s="12">
        <f t="shared" ca="1" si="62"/>
        <v>711.69902772237583</v>
      </c>
      <c r="BR27" s="2">
        <f t="shared" ca="1" si="63"/>
        <v>-4.47318317020165E-3</v>
      </c>
      <c r="BS27" s="2">
        <f t="shared" ca="1" si="64"/>
        <v>-6.7693622631244833E-3</v>
      </c>
      <c r="BT27" s="2">
        <f t="shared" ca="1" si="65"/>
        <v>7.6038522164833594E-3</v>
      </c>
      <c r="BU27" s="13">
        <f t="shared" ca="1" si="66"/>
        <v>8.3039183151222395E-3</v>
      </c>
      <c r="BV27" s="2">
        <f t="shared" ca="1" si="67"/>
        <v>-8.163559285618012E-2</v>
      </c>
      <c r="BW27" s="2">
        <f t="shared" ca="1" si="68"/>
        <v>-0.12354086130202183</v>
      </c>
      <c r="BX27" s="2">
        <f t="shared" ca="1" si="69"/>
        <v>0.13877030295082132</v>
      </c>
      <c r="BY27" s="13">
        <f t="shared" ca="1" si="70"/>
        <v>0.15154650925098087</v>
      </c>
      <c r="CB27" s="17" t="s">
        <v>55</v>
      </c>
      <c r="CC27" s="123" t="b">
        <f t="shared" si="43"/>
        <v>1</v>
      </c>
      <c r="CD27" s="17" t="s">
        <v>309</v>
      </c>
      <c r="CE27" s="138" t="str">
        <f>IF([1]!w_info_callput(CD27)="认购","C","P")</f>
        <v>P</v>
      </c>
      <c r="CF27" s="139">
        <f>[1]!w_info_strikeprice(CD27,"")</f>
        <v>3.8</v>
      </c>
      <c r="CG27" s="140" t="str">
        <f>[1]!w_info_lasttradingdate(CD27)</f>
        <v>2020-04-22</v>
      </c>
      <c r="CH27" s="55" t="str">
        <f t="shared" si="44"/>
        <v>IO2004-P-3800.CFE</v>
      </c>
      <c r="CI27" s="55" t="str">
        <f t="shared" si="45"/>
        <v>IO2004-P-3800.CFE</v>
      </c>
      <c r="CK27" s="17" t="s">
        <v>210</v>
      </c>
      <c r="CL27" s="17"/>
    </row>
    <row r="28" spans="1:90">
      <c r="A28" s="50" t="str">
        <f t="shared" si="46"/>
        <v>T</v>
      </c>
      <c r="B28" t="s">
        <v>77</v>
      </c>
      <c r="C28" s="29" t="str">
        <f t="shared" si="3"/>
        <v>P</v>
      </c>
      <c r="D28" s="125">
        <f>[1]!w_info_strikeprice(B28,"")</f>
        <v>3900</v>
      </c>
      <c r="E28" s="18" t="str">
        <f>[1]!w_info_lasttradingdate(B28)</f>
        <v>2020-04-17</v>
      </c>
      <c r="F28" s="4">
        <f>IF(G28&gt;0,RTD("wdf.rtq",,$B28,F$5),0)</f>
        <v>222.20000000000002</v>
      </c>
      <c r="G28" s="73">
        <f>RTD("wdf.rtq",,$B28,G$5)</f>
        <v>48</v>
      </c>
      <c r="H28" s="4">
        <f>RTD("wdf.rtq",,$B28,H$5)</f>
        <v>7</v>
      </c>
      <c r="I28" s="73">
        <f>RTD("wdf.rtq",,$B28,I$5)</f>
        <v>3</v>
      </c>
      <c r="J28" s="4">
        <f>RTD("wdf.rtq",,$B28,J$5)</f>
        <v>0</v>
      </c>
      <c r="K28" s="73">
        <f>RTD("wdf.rtq",,$B28,K$5)</f>
        <v>0</v>
      </c>
      <c r="L28" s="4">
        <f>[1]!s_dq_presettle(B28,"")</f>
        <v>203.2</v>
      </c>
      <c r="M28" s="6">
        <f t="shared" si="4"/>
        <v>0</v>
      </c>
      <c r="N28" s="3">
        <f t="shared" si="5"/>
        <v>22220</v>
      </c>
      <c r="O28" s="6">
        <f t="shared" si="6"/>
        <v>37243.200000000004</v>
      </c>
      <c r="P28" s="3">
        <f t="shared" si="7"/>
        <v>19500</v>
      </c>
      <c r="Q28" s="6">
        <f t="shared" si="77"/>
        <v>59463.210000000006</v>
      </c>
      <c r="R28" s="75">
        <f ca="1">IF(NOW()-TODAY()&gt;15/24, G28, [1]!s_dq_volume(B28,R$2,1))/$I$2</f>
        <v>84</v>
      </c>
      <c r="S28" s="78">
        <f t="shared" si="71"/>
        <v>175.67999999999984</v>
      </c>
      <c r="T28" s="78">
        <f t="shared" si="72"/>
        <v>46.520000000000181</v>
      </c>
      <c r="AB28" s="17" t="s">
        <v>310</v>
      </c>
      <c r="AC28" s="29" t="str">
        <f>IF([1]!w_info_callput(AB28)="认购","C","P")</f>
        <v>P</v>
      </c>
      <c r="AD28" s="31">
        <f>[1]!w_info_strikeprice(AB28,"")</f>
        <v>3.9</v>
      </c>
      <c r="AE28" s="18" t="str">
        <f>[1]!w_info_lasttradingdate(AB28)</f>
        <v>2020-04-22</v>
      </c>
      <c r="AF28" s="15">
        <f>RTD("wdf.rtq",,$AB28,F$5)</f>
        <v>0.22990000000000002</v>
      </c>
      <c r="AG28" s="73">
        <f>RTD("wdf.rtq",,$AB28,G$5)</f>
        <v>11443</v>
      </c>
      <c r="AH28" s="15">
        <f>RTD("wdf.rtq",,$AB28,H$5)</f>
        <v>0.2286</v>
      </c>
      <c r="AI28" s="73">
        <f>RTD("wdf.rtq",,$AB28,I$5)</f>
        <v>1</v>
      </c>
      <c r="AJ28" s="15">
        <f>RTD("wdf.rtq",,$AB28,J$5)</f>
        <v>0.22990000000000002</v>
      </c>
      <c r="AK28" s="77">
        <f>RTD("wdf.rtq",,$AB28,K$5)</f>
        <v>9</v>
      </c>
      <c r="AL28" s="15">
        <f>[1]!s_dq_presettle(AB28,"")</f>
        <v>0.21079999999999999</v>
      </c>
      <c r="AM28" s="15">
        <f t="shared" si="11"/>
        <v>0</v>
      </c>
      <c r="AN28" s="3">
        <f t="shared" si="12"/>
        <v>22990.000000000004</v>
      </c>
      <c r="AO28" s="15">
        <f t="shared" si="73"/>
        <v>0.44531999999999999</v>
      </c>
      <c r="AP28" s="14">
        <f t="shared" si="14"/>
        <v>0.27300000000000002</v>
      </c>
      <c r="AQ28" s="8">
        <f t="shared" si="76"/>
        <v>81026.409999999989</v>
      </c>
      <c r="AR28" s="78">
        <f ca="1">IF(NOW()-TODAY()&gt;15/24, AG28, [1]!s_dq_volume(AB28,AR$2,1))/AI$2</f>
        <v>1939.9</v>
      </c>
      <c r="AS28" s="122">
        <f t="shared" si="74"/>
        <v>0.18899999999999961</v>
      </c>
      <c r="AT28" s="122">
        <f t="shared" si="75"/>
        <v>4.0900000000000408E-2</v>
      </c>
      <c r="AV28" s="49">
        <f t="shared" ca="1" si="18"/>
        <v>-1349.3009722776333</v>
      </c>
      <c r="AY28" s="10"/>
      <c r="AZ28" s="10"/>
      <c r="BA28" s="6">
        <f t="shared" ca="1" si="47"/>
        <v>500.30097227762963</v>
      </c>
      <c r="BB28" s="6">
        <f t="shared" ca="1" si="48"/>
        <v>-21019.69902772237</v>
      </c>
      <c r="BC28" s="6">
        <f t="shared" si="49"/>
        <v>0</v>
      </c>
      <c r="BD28" s="12">
        <f t="shared" si="50"/>
        <v>0</v>
      </c>
      <c r="BE28" s="2">
        <f t="shared" ca="1" si="51"/>
        <v>6.0676955121289951E-3</v>
      </c>
      <c r="BF28" s="2">
        <f t="shared" ca="1" si="52"/>
        <v>-0.25492881390211936</v>
      </c>
      <c r="BG28" s="2">
        <f t="shared" si="53"/>
        <v>0</v>
      </c>
      <c r="BH28" s="13">
        <f t="shared" si="54"/>
        <v>0</v>
      </c>
      <c r="BI28" s="2">
        <f t="shared" ca="1" si="55"/>
        <v>0.11073544309635416</v>
      </c>
      <c r="BJ28" s="2">
        <f t="shared" ca="1" si="56"/>
        <v>-4.6524508537136784</v>
      </c>
      <c r="BK28" s="2">
        <f t="shared" ca="1" si="57"/>
        <v>0</v>
      </c>
      <c r="BL28" s="56">
        <f t="shared" ca="1" si="58"/>
        <v>0</v>
      </c>
      <c r="BN28" s="6">
        <f t="shared" ca="1" si="59"/>
        <v>-658.30097227762963</v>
      </c>
      <c r="BO28" s="6">
        <f t="shared" si="60"/>
        <v>0</v>
      </c>
      <c r="BP28" s="6">
        <f t="shared" ca="1" si="61"/>
        <v>20801.69902772237</v>
      </c>
      <c r="BQ28" s="12">
        <f t="shared" ca="1" si="62"/>
        <v>20861.69902772237</v>
      </c>
      <c r="BR28" s="2">
        <f t="shared" ca="1" si="63"/>
        <v>-6.376018035664675E-3</v>
      </c>
      <c r="BS28" s="2">
        <f t="shared" si="64"/>
        <v>0</v>
      </c>
      <c r="BT28" s="2">
        <f t="shared" ca="1" si="65"/>
        <v>0.25452841911389462</v>
      </c>
      <c r="BU28" s="13">
        <f t="shared" ca="1" si="66"/>
        <v>0.25526263820620987</v>
      </c>
      <c r="BV28" s="2">
        <f t="shared" ca="1" si="67"/>
        <v>-0.11636232915088032</v>
      </c>
      <c r="BW28" s="2">
        <f t="shared" ca="1" si="68"/>
        <v>0</v>
      </c>
      <c r="BX28" s="2">
        <f t="shared" ca="1" si="69"/>
        <v>4.6451436488285776</v>
      </c>
      <c r="BY28" s="13">
        <f t="shared" ca="1" si="70"/>
        <v>4.6585431472633303</v>
      </c>
      <c r="CB28" s="17" t="s">
        <v>56</v>
      </c>
      <c r="CC28" s="123" t="b">
        <f t="shared" si="43"/>
        <v>1</v>
      </c>
      <c r="CD28" s="17" t="s">
        <v>310</v>
      </c>
      <c r="CE28" s="138" t="str">
        <f>IF([1]!w_info_callput(CD28)="认购","C","P")</f>
        <v>P</v>
      </c>
      <c r="CF28" s="139">
        <f>[1]!w_info_strikeprice(CD28,"")</f>
        <v>3.9</v>
      </c>
      <c r="CG28" s="140" t="str">
        <f>[1]!w_info_lasttradingdate(CD28)</f>
        <v>2020-04-22</v>
      </c>
      <c r="CH28" s="55" t="str">
        <f t="shared" si="44"/>
        <v>IO2004-P-3900.CFE</v>
      </c>
      <c r="CI28" s="55" t="str">
        <f t="shared" si="45"/>
        <v>IO2004-P-3900.CFE</v>
      </c>
      <c r="CK28" s="17" t="s">
        <v>211</v>
      </c>
      <c r="CL28" s="17"/>
    </row>
    <row r="29" spans="1:90">
      <c r="A29" s="50" t="str">
        <f t="shared" si="46"/>
        <v>T</v>
      </c>
      <c r="B29" t="s">
        <v>79</v>
      </c>
      <c r="C29" s="29" t="str">
        <f t="shared" si="3"/>
        <v>P</v>
      </c>
      <c r="D29" s="125">
        <f>[1]!w_info_strikeprice(B29,"")</f>
        <v>4000</v>
      </c>
      <c r="E29" s="18" t="str">
        <f>[1]!w_info_lasttradingdate(B29)</f>
        <v>2020-04-17</v>
      </c>
      <c r="F29" s="4">
        <f>IF(G29&gt;0,RTD("wdf.rtq",,$B29,F$5),0)</f>
        <v>309.8</v>
      </c>
      <c r="G29" s="73">
        <f>RTD("wdf.rtq",,$B29,G$5)</f>
        <v>15</v>
      </c>
      <c r="H29" s="4">
        <f>RTD("wdf.rtq",,$B29,H$5)</f>
        <v>81</v>
      </c>
      <c r="I29" s="73">
        <f>RTD("wdf.rtq",,$B29,I$5)</f>
        <v>1</v>
      </c>
      <c r="J29" s="4">
        <f>RTD("wdf.rtq",,$B29,J$5)</f>
        <v>472</v>
      </c>
      <c r="K29" s="73">
        <f>RTD("wdf.rtq",,$B29,K$5)</f>
        <v>1</v>
      </c>
      <c r="L29" s="4">
        <f>[1]!s_dq_presettle(B29,"")</f>
        <v>310</v>
      </c>
      <c r="M29" s="6">
        <f t="shared" si="4"/>
        <v>0</v>
      </c>
      <c r="N29" s="3">
        <f t="shared" si="5"/>
        <v>30980</v>
      </c>
      <c r="O29" s="6">
        <f t="shared" si="6"/>
        <v>37243.200000000004</v>
      </c>
      <c r="P29" s="3">
        <f t="shared" si="7"/>
        <v>20000</v>
      </c>
      <c r="Q29" s="6">
        <f t="shared" si="77"/>
        <v>68223.210000000006</v>
      </c>
      <c r="R29" s="75">
        <f ca="1">IF(NOW()-TODAY()&gt;15/24, G29, [1]!s_dq_volume(B29,R$2,1))/$I$2</f>
        <v>57</v>
      </c>
      <c r="S29" s="78">
        <f t="shared" si="71"/>
        <v>275.67999999999984</v>
      </c>
      <c r="T29" s="78">
        <f t="shared" si="72"/>
        <v>34.120000000000175</v>
      </c>
      <c r="AB29" s="17" t="s">
        <v>311</v>
      </c>
      <c r="AC29" s="29" t="str">
        <f>IF([1]!w_info_callput(AB29)="认购","C","P")</f>
        <v>P</v>
      </c>
      <c r="AD29" s="31">
        <f>[1]!w_info_strikeprice(AB29,"")</f>
        <v>4</v>
      </c>
      <c r="AE29" s="18" t="str">
        <f>[1]!w_info_lasttradingdate(AB29)</f>
        <v>2020-04-22</v>
      </c>
      <c r="AF29" s="15">
        <f>RTD("wdf.rtq",,$AB29,F$5)</f>
        <v>0.31280000000000002</v>
      </c>
      <c r="AG29" s="73">
        <f>RTD("wdf.rtq",,$AB29,G$5)</f>
        <v>4760</v>
      </c>
      <c r="AH29" s="15">
        <f>RTD("wdf.rtq",,$AB29,H$5)</f>
        <v>0.31309999999999999</v>
      </c>
      <c r="AI29" s="73">
        <f>RTD("wdf.rtq",,$AB29,I$5)</f>
        <v>1</v>
      </c>
      <c r="AJ29" s="15">
        <f>RTD("wdf.rtq",,$AB29,J$5)</f>
        <v>0.31830000000000003</v>
      </c>
      <c r="AK29" s="77">
        <f>RTD("wdf.rtq",,$AB29,K$5)</f>
        <v>1</v>
      </c>
      <c r="AL29" s="15">
        <f>[1]!s_dq_presettle(AB29,"")</f>
        <v>0.30009999999999998</v>
      </c>
      <c r="AM29" s="15">
        <f t="shared" si="11"/>
        <v>0</v>
      </c>
      <c r="AN29" s="3">
        <f t="shared" si="12"/>
        <v>31280.000000000004</v>
      </c>
      <c r="AO29" s="15">
        <f t="shared" si="73"/>
        <v>0.44531999999999999</v>
      </c>
      <c r="AP29" s="14">
        <f t="shared" si="14"/>
        <v>0.28000000000000003</v>
      </c>
      <c r="AQ29" s="8">
        <f t="shared" si="76"/>
        <v>90974.409999999989</v>
      </c>
      <c r="AR29" s="78">
        <f ca="1">IF(NOW()-TODAY()&gt;15/24, AG29, [1]!s_dq_volume(AB29,AR$2,1))/AI$2</f>
        <v>808.3</v>
      </c>
      <c r="AS29" s="122">
        <f t="shared" si="74"/>
        <v>0.2889999999999997</v>
      </c>
      <c r="AT29" s="122">
        <f t="shared" si="75"/>
        <v>2.3800000000000321E-2</v>
      </c>
      <c r="AV29" s="49">
        <f t="shared" ca="1" si="18"/>
        <v>-1349.3009722776405</v>
      </c>
      <c r="AY29" s="10"/>
      <c r="AZ29" s="10"/>
      <c r="BA29" s="6">
        <f t="shared" ca="1" si="47"/>
        <v>970.3009722776369</v>
      </c>
      <c r="BB29" s="6">
        <f t="shared" ca="1" si="48"/>
        <v>-22459.699027722363</v>
      </c>
      <c r="BC29" s="6">
        <f t="shared" ca="1" si="49"/>
        <v>17100.300972277641</v>
      </c>
      <c r="BD29" s="12">
        <f t="shared" ca="1" si="50"/>
        <v>17160.300972277641</v>
      </c>
      <c r="BE29" s="2">
        <f t="shared" ca="1" si="51"/>
        <v>9.7514539709586939E-3</v>
      </c>
      <c r="BF29" s="2">
        <f t="shared" ca="1" si="52"/>
        <v>-0.22447754577511667</v>
      </c>
      <c r="BG29" s="2">
        <f t="shared" ca="1" si="53"/>
        <v>0.17177046297429927</v>
      </c>
      <c r="BH29" s="13">
        <f t="shared" ca="1" si="54"/>
        <v>0.17240779205531137</v>
      </c>
      <c r="BI29" s="2">
        <f t="shared" ca="1" si="55"/>
        <v>0.17796403496999616</v>
      </c>
      <c r="BJ29" s="2">
        <f t="shared" ca="1" si="56"/>
        <v>-4.096715210395879</v>
      </c>
      <c r="BK29" s="2">
        <f t="shared" ca="1" si="57"/>
        <v>3.1348109492809617</v>
      </c>
      <c r="BL29" s="56">
        <f t="shared" ca="1" si="58"/>
        <v>3.1464422050094325</v>
      </c>
      <c r="BN29" s="6">
        <f t="shared" ca="1" si="59"/>
        <v>-1128.3009722776369</v>
      </c>
      <c r="BO29" s="6">
        <f t="shared" ca="1" si="60"/>
        <v>-17318.300972277641</v>
      </c>
      <c r="BP29" s="6">
        <f t="shared" ca="1" si="61"/>
        <v>22241.699027722363</v>
      </c>
      <c r="BQ29" s="12">
        <f t="shared" ca="1" si="62"/>
        <v>22301.699027722363</v>
      </c>
      <c r="BR29" s="2">
        <f t="shared" ca="1" si="63"/>
        <v>-9.251825926406736E-3</v>
      </c>
      <c r="BS29" s="2">
        <f t="shared" ca="1" si="64"/>
        <v>-0.1253365291900117</v>
      </c>
      <c r="BT29" s="2">
        <f t="shared" ca="1" si="65"/>
        <v>0.22449484723477456</v>
      </c>
      <c r="BU29" s="13">
        <f t="shared" ca="1" si="66"/>
        <v>0.22510049797644383</v>
      </c>
      <c r="BV29" s="2">
        <f t="shared" ca="1" si="67"/>
        <v>-0.16884582315692293</v>
      </c>
      <c r="BW29" s="2">
        <f t="shared" ca="1" si="68"/>
        <v>-2.2873916577177136</v>
      </c>
      <c r="BX29" s="2">
        <f t="shared" ca="1" si="69"/>
        <v>4.0970309620346352</v>
      </c>
      <c r="BY29" s="13">
        <f t="shared" ca="1" si="70"/>
        <v>4.1080840880700995</v>
      </c>
      <c r="CB29" s="17" t="s">
        <v>57</v>
      </c>
      <c r="CC29" s="123" t="b">
        <f t="shared" si="43"/>
        <v>1</v>
      </c>
      <c r="CD29" s="17" t="s">
        <v>311</v>
      </c>
      <c r="CE29" s="138" t="str">
        <f>IF([1]!w_info_callput(CD29)="认购","C","P")</f>
        <v>P</v>
      </c>
      <c r="CF29" s="139">
        <f>[1]!w_info_strikeprice(CD29,"")</f>
        <v>4</v>
      </c>
      <c r="CG29" s="140" t="str">
        <f>[1]!w_info_lasttradingdate(CD29)</f>
        <v>2020-04-22</v>
      </c>
      <c r="CH29" s="55" t="str">
        <f t="shared" si="44"/>
        <v>IO2004-P-4000.CFE</v>
      </c>
      <c r="CI29" s="55" t="str">
        <f t="shared" si="45"/>
        <v>IO2004-P-4000.CFE</v>
      </c>
      <c r="CK29" s="17" t="s">
        <v>212</v>
      </c>
      <c r="CL29" s="17"/>
    </row>
    <row r="30" spans="1:90">
      <c r="A30" s="50" t="str">
        <f t="shared" si="46"/>
        <v>T</v>
      </c>
      <c r="B30" t="s">
        <v>81</v>
      </c>
      <c r="C30" s="29" t="str">
        <f t="shared" si="3"/>
        <v>P</v>
      </c>
      <c r="D30" s="125">
        <f>[1]!w_info_strikeprice(B30,"")</f>
        <v>4100</v>
      </c>
      <c r="E30" s="18" t="str">
        <f>[1]!w_info_lasttradingdate(B30)</f>
        <v>2020-04-17</v>
      </c>
      <c r="F30" s="4">
        <f>IF(G30&gt;0,RTD("wdf.rtq",,$B30,F$5),0)</f>
        <v>402.40000000000003</v>
      </c>
      <c r="G30" s="73">
        <f>RTD("wdf.rtq",,$B30,G$5)</f>
        <v>12</v>
      </c>
      <c r="H30" s="4">
        <f>RTD("wdf.rtq",,$B30,H$5)</f>
        <v>370</v>
      </c>
      <c r="I30" s="73">
        <f>RTD("wdf.rtq",,$B30,I$5)</f>
        <v>1</v>
      </c>
      <c r="J30" s="4">
        <f>RTD("wdf.rtq",,$B30,J$5)</f>
        <v>0</v>
      </c>
      <c r="K30" s="73">
        <f>RTD("wdf.rtq",,$B30,K$5)</f>
        <v>0</v>
      </c>
      <c r="L30" s="4">
        <f>[1]!s_dq_presettle(B30,"")</f>
        <v>403.4</v>
      </c>
      <c r="M30" s="6">
        <f t="shared" si="4"/>
        <v>0</v>
      </c>
      <c r="N30" s="3">
        <f t="shared" si="5"/>
        <v>40240</v>
      </c>
      <c r="O30" s="6">
        <f t="shared" si="6"/>
        <v>37243.200000000004</v>
      </c>
      <c r="P30" s="3">
        <f t="shared" si="7"/>
        <v>20500</v>
      </c>
      <c r="Q30" s="6">
        <f t="shared" si="77"/>
        <v>77483.210000000006</v>
      </c>
      <c r="R30" s="75">
        <f ca="1">IF(NOW()-TODAY()&gt;15/24, G30, [1]!s_dq_volume(B30,R$2,1))/$I$2</f>
        <v>36</v>
      </c>
      <c r="S30" s="78">
        <f t="shared" si="71"/>
        <v>375.67999999999984</v>
      </c>
      <c r="T30" s="78">
        <f t="shared" si="72"/>
        <v>26.720000000000198</v>
      </c>
      <c r="AB30" s="17" t="s">
        <v>312</v>
      </c>
      <c r="AC30" s="29" t="str">
        <f>IF([1]!w_info_callput(AB30)="认购","C","P")</f>
        <v>P</v>
      </c>
      <c r="AD30" s="31">
        <f>[1]!w_info_strikeprice(AB30,"")</f>
        <v>4.0999999999999996</v>
      </c>
      <c r="AE30" s="18" t="str">
        <f>[1]!w_info_lasttradingdate(AB30)</f>
        <v>2020-04-22</v>
      </c>
      <c r="AF30" s="15">
        <f>RTD("wdf.rtq",,$AB30,F$5)</f>
        <v>0.40760000000000002</v>
      </c>
      <c r="AG30" s="73">
        <f>RTD("wdf.rtq",,$AB30,G$5)</f>
        <v>525</v>
      </c>
      <c r="AH30" s="15">
        <f>RTD("wdf.rtq",,$AB30,H$5)</f>
        <v>0.38500000000000001</v>
      </c>
      <c r="AI30" s="73">
        <f>RTD("wdf.rtq",,$AB30,I$5)</f>
        <v>61</v>
      </c>
      <c r="AJ30" s="15">
        <f>RTD("wdf.rtq",,$AB30,J$5)</f>
        <v>0.4113</v>
      </c>
      <c r="AK30" s="77">
        <f>RTD("wdf.rtq",,$AB30,K$5)</f>
        <v>1</v>
      </c>
      <c r="AL30" s="15">
        <f>[1]!s_dq_presettle(AB30,"")</f>
        <v>0.3901</v>
      </c>
      <c r="AM30" s="15">
        <f t="shared" si="11"/>
        <v>0</v>
      </c>
      <c r="AN30" s="3">
        <f t="shared" si="12"/>
        <v>40760</v>
      </c>
      <c r="AO30" s="15">
        <f t="shared" si="73"/>
        <v>0.44531999999999999</v>
      </c>
      <c r="AP30" s="14">
        <f t="shared" si="14"/>
        <v>0.28699999999999998</v>
      </c>
      <c r="AQ30" s="8">
        <f t="shared" si="76"/>
        <v>102350.40999999999</v>
      </c>
      <c r="AR30" s="78">
        <f ca="1">IF(NOW()-TODAY()&gt;15/24, AG30, [1]!s_dq_volume(AB30,AR$2,1))/AI$2</f>
        <v>255.3</v>
      </c>
      <c r="AS30" s="122">
        <f t="shared" si="74"/>
        <v>0.38899999999999935</v>
      </c>
      <c r="AT30" s="122">
        <f t="shared" si="75"/>
        <v>1.8600000000000672E-2</v>
      </c>
      <c r="AV30" s="49">
        <f t="shared" ca="1" si="18"/>
        <v>-1349.3009722776042</v>
      </c>
      <c r="AY30" s="10"/>
      <c r="AZ30" s="10"/>
      <c r="BA30" s="6">
        <f t="shared" ca="1" si="47"/>
        <v>750.30097227760416</v>
      </c>
      <c r="BB30" s="6">
        <f t="shared" ca="1" si="48"/>
        <v>-2859.6990277223958</v>
      </c>
      <c r="BC30" s="6">
        <f t="shared" si="49"/>
        <v>0</v>
      </c>
      <c r="BD30" s="12">
        <f t="shared" si="50"/>
        <v>0</v>
      </c>
      <c r="BE30" s="2">
        <f t="shared" ca="1" si="51"/>
        <v>6.3454042923699727E-3</v>
      </c>
      <c r="BF30" s="2">
        <f t="shared" ca="1" si="52"/>
        <v>-2.4109448076840647E-2</v>
      </c>
      <c r="BG30" s="2">
        <f t="shared" si="53"/>
        <v>0</v>
      </c>
      <c r="BH30" s="13">
        <f t="shared" si="54"/>
        <v>0</v>
      </c>
      <c r="BI30" s="2">
        <f t="shared" ca="1" si="55"/>
        <v>0.115803628335752</v>
      </c>
      <c r="BJ30" s="2">
        <f t="shared" ca="1" si="56"/>
        <v>-0.43999742740234182</v>
      </c>
      <c r="BK30" s="2">
        <f t="shared" ca="1" si="57"/>
        <v>0</v>
      </c>
      <c r="BL30" s="56">
        <f t="shared" ca="1" si="58"/>
        <v>0</v>
      </c>
      <c r="BN30" s="6">
        <f t="shared" ca="1" si="59"/>
        <v>-908.30097227760416</v>
      </c>
      <c r="BO30" s="6">
        <f t="shared" si="60"/>
        <v>0</v>
      </c>
      <c r="BP30" s="6">
        <f t="shared" ca="1" si="61"/>
        <v>2641.6990277223958</v>
      </c>
      <c r="BQ30" s="12">
        <f t="shared" ca="1" si="62"/>
        <v>2701.6990277223958</v>
      </c>
      <c r="BR30" s="2">
        <f t="shared" ca="1" si="63"/>
        <v>-6.3700004248364549E-3</v>
      </c>
      <c r="BS30" s="2">
        <f t="shared" si="64"/>
        <v>0</v>
      </c>
      <c r="BT30" s="2">
        <f t="shared" ca="1" si="65"/>
        <v>1.8957236283536377E-2</v>
      </c>
      <c r="BU30" s="13">
        <f t="shared" ca="1" si="66"/>
        <v>1.9387808243423153E-2</v>
      </c>
      <c r="BV30" s="2">
        <f t="shared" ca="1" si="67"/>
        <v>-0.1162525077532653</v>
      </c>
      <c r="BW30" s="2">
        <f t="shared" ca="1" si="68"/>
        <v>0</v>
      </c>
      <c r="BX30" s="2">
        <f t="shared" ca="1" si="69"/>
        <v>0.34596956217453889</v>
      </c>
      <c r="BY30" s="13">
        <f t="shared" ca="1" si="70"/>
        <v>0.35382750044247258</v>
      </c>
      <c r="CB30" s="17" t="s">
        <v>58</v>
      </c>
      <c r="CC30" s="123" t="b">
        <f t="shared" si="43"/>
        <v>1</v>
      </c>
      <c r="CD30" s="17" t="s">
        <v>312</v>
      </c>
      <c r="CE30" s="138" t="str">
        <f>IF([1]!w_info_callput(CD30)="认购","C","P")</f>
        <v>P</v>
      </c>
      <c r="CF30" s="139">
        <f>[1]!w_info_strikeprice(CD30,"")</f>
        <v>4.0999999999999996</v>
      </c>
      <c r="CG30" s="140" t="str">
        <f>[1]!w_info_lasttradingdate(CD30)</f>
        <v>2020-04-22</v>
      </c>
      <c r="CH30" s="55" t="str">
        <f t="shared" si="44"/>
        <v>IO2004-P-4100.CFE</v>
      </c>
      <c r="CI30" s="55" t="str">
        <f t="shared" si="45"/>
        <v>IO2004-P-4100.CFE</v>
      </c>
      <c r="CK30" s="17" t="s">
        <v>213</v>
      </c>
      <c r="CL30" s="17"/>
    </row>
    <row r="31" spans="1:90">
      <c r="A31" s="50" t="str">
        <f t="shared" si="46"/>
        <v>T</v>
      </c>
      <c r="B31" t="s">
        <v>83</v>
      </c>
      <c r="C31" s="29" t="str">
        <f t="shared" si="3"/>
        <v>P</v>
      </c>
      <c r="D31" s="125">
        <f>[1]!w_info_strikeprice(B31,"")</f>
        <v>4200</v>
      </c>
      <c r="E31" s="18" t="str">
        <f>[1]!w_info_lasttradingdate(B31)</f>
        <v>2020-04-17</v>
      </c>
      <c r="F31" s="4">
        <f>IF(G31&gt;0,RTD("wdf.rtq",,$B31,F$5),0)</f>
        <v>491.8</v>
      </c>
      <c r="G31" s="73">
        <f>RTD("wdf.rtq",,$B31,G$5)</f>
        <v>4</v>
      </c>
      <c r="H31" s="4">
        <f>RTD("wdf.rtq",,$B31,H$5)</f>
        <v>0</v>
      </c>
      <c r="I31" s="73">
        <f>RTD("wdf.rtq",,$B31,I$5)</f>
        <v>0</v>
      </c>
      <c r="J31" s="4">
        <f>RTD("wdf.rtq",,$B31,J$5)</f>
        <v>0</v>
      </c>
      <c r="K31" s="73">
        <f>RTD("wdf.rtq",,$B31,K$5)</f>
        <v>0</v>
      </c>
      <c r="L31" s="4">
        <f>[1]!s_dq_presettle(B31,"")</f>
        <v>500.4</v>
      </c>
      <c r="M31" s="6">
        <f t="shared" si="4"/>
        <v>0</v>
      </c>
      <c r="N31" s="3">
        <f t="shared" si="5"/>
        <v>49180</v>
      </c>
      <c r="O31" s="6">
        <f t="shared" si="6"/>
        <v>37243.200000000004</v>
      </c>
      <c r="P31" s="3">
        <f t="shared" si="7"/>
        <v>21000</v>
      </c>
      <c r="Q31" s="6">
        <f t="shared" si="77"/>
        <v>86423.21</v>
      </c>
      <c r="R31" s="75">
        <f ca="1">IF(NOW()-TODAY()&gt;15/24, G31, [1]!s_dq_volume(B31,R$2,1))/$I$2</f>
        <v>8</v>
      </c>
      <c r="S31" s="78">
        <f t="shared" si="71"/>
        <v>475.67999999999984</v>
      </c>
      <c r="T31" s="78">
        <f t="shared" si="72"/>
        <v>16.120000000000175</v>
      </c>
      <c r="AB31" s="17" t="s">
        <v>313</v>
      </c>
      <c r="AC31" s="29" t="str">
        <f>IF([1]!w_info_callput(AB31)="认购","C","P")</f>
        <v>P</v>
      </c>
      <c r="AD31" s="31">
        <f>[1]!w_info_strikeprice(AB31,"")</f>
        <v>4.2</v>
      </c>
      <c r="AE31" s="18" t="str">
        <f>[1]!w_info_lasttradingdate(AB31)</f>
        <v>2020-04-22</v>
      </c>
      <c r="AF31" s="15">
        <f>RTD("wdf.rtq",,$AB31,F$5)</f>
        <v>0.50540000000000007</v>
      </c>
      <c r="AG31" s="73">
        <f>RTD("wdf.rtq",,$AB31,G$5)</f>
        <v>451</v>
      </c>
      <c r="AH31" s="15">
        <f>RTD("wdf.rtq",,$AB31,H$5)</f>
        <v>0.46010000000000001</v>
      </c>
      <c r="AI31" s="73">
        <f>RTD("wdf.rtq",,$AB31,I$5)</f>
        <v>13</v>
      </c>
      <c r="AJ31" s="15">
        <f>RTD("wdf.rtq",,$AB31,J$5)</f>
        <v>0.50819999999999999</v>
      </c>
      <c r="AK31" s="77">
        <f>RTD("wdf.rtq",,$AB31,K$5)</f>
        <v>2</v>
      </c>
      <c r="AL31" s="15">
        <f>[1]!s_dq_presettle(AB31,"")</f>
        <v>0.48520000000000002</v>
      </c>
      <c r="AM31" s="15">
        <f t="shared" si="11"/>
        <v>0</v>
      </c>
      <c r="AN31" s="3">
        <f t="shared" si="12"/>
        <v>50540.000000000007</v>
      </c>
      <c r="AO31" s="15">
        <f t="shared" si="73"/>
        <v>0.44531999999999999</v>
      </c>
      <c r="AP31" s="14">
        <f t="shared" si="14"/>
        <v>0.29400000000000004</v>
      </c>
      <c r="AQ31" s="8">
        <f t="shared" si="76"/>
        <v>114086.40999999999</v>
      </c>
      <c r="AR31" s="78">
        <f ca="1">IF(NOW()-TODAY()&gt;15/24, AG31, [1]!s_dq_volume(AB31,AR$2,1))/AI$2</f>
        <v>79.2</v>
      </c>
      <c r="AS31" s="122">
        <f t="shared" si="74"/>
        <v>0.48899999999999988</v>
      </c>
      <c r="AT31" s="122">
        <f t="shared" si="75"/>
        <v>1.6400000000000192E-2</v>
      </c>
      <c r="AV31" s="49">
        <f t="shared" ca="1" si="18"/>
        <v>-1349.3009722776624</v>
      </c>
      <c r="AY31" s="10"/>
      <c r="AZ31" s="10"/>
      <c r="BA31" s="6">
        <f t="shared" ca="1" si="47"/>
        <v>-89.699027722344908</v>
      </c>
      <c r="BB31" s="6">
        <f t="shared" si="48"/>
        <v>0</v>
      </c>
      <c r="BC31" s="6">
        <f t="shared" si="49"/>
        <v>0</v>
      </c>
      <c r="BD31" s="12">
        <f t="shared" si="50"/>
        <v>0</v>
      </c>
      <c r="BE31" s="2">
        <f t="shared" ca="1" si="51"/>
        <v>-6.5491329914321445E-4</v>
      </c>
      <c r="BF31" s="2">
        <f t="shared" si="52"/>
        <v>0</v>
      </c>
      <c r="BG31" s="2">
        <f t="shared" si="53"/>
        <v>0</v>
      </c>
      <c r="BH31" s="13">
        <f t="shared" si="54"/>
        <v>0</v>
      </c>
      <c r="BI31" s="2">
        <f t="shared" ca="1" si="55"/>
        <v>-1.1952167709363663E-2</v>
      </c>
      <c r="BJ31" s="2">
        <f t="shared" ca="1" si="56"/>
        <v>0</v>
      </c>
      <c r="BK31" s="2">
        <f t="shared" ca="1" si="57"/>
        <v>0</v>
      </c>
      <c r="BL31" s="56">
        <f t="shared" ca="1" si="58"/>
        <v>0</v>
      </c>
      <c r="BN31" s="6">
        <f t="shared" ca="1" si="59"/>
        <v>-68.300972277655092</v>
      </c>
      <c r="BO31" s="6">
        <f t="shared" si="60"/>
        <v>0</v>
      </c>
      <c r="BP31" s="6">
        <f t="shared" si="61"/>
        <v>0</v>
      </c>
      <c r="BQ31" s="12">
        <f t="shared" si="62"/>
        <v>0</v>
      </c>
      <c r="BR31" s="2">
        <f t="shared" ca="1" si="63"/>
        <v>-4.1834062669507524E-4</v>
      </c>
      <c r="BS31" s="2">
        <f t="shared" si="64"/>
        <v>0</v>
      </c>
      <c r="BT31" s="2">
        <f t="shared" si="65"/>
        <v>0</v>
      </c>
      <c r="BU31" s="13">
        <f t="shared" si="66"/>
        <v>0</v>
      </c>
      <c r="BV31" s="2">
        <f t="shared" ca="1" si="67"/>
        <v>-7.6347164371851229E-3</v>
      </c>
      <c r="BW31" s="2">
        <f t="shared" ca="1" si="68"/>
        <v>0</v>
      </c>
      <c r="BX31" s="2">
        <f t="shared" ca="1" si="69"/>
        <v>0</v>
      </c>
      <c r="BY31" s="13">
        <f t="shared" ca="1" si="70"/>
        <v>0</v>
      </c>
      <c r="CB31" s="17" t="s">
        <v>59</v>
      </c>
      <c r="CC31" s="123" t="b">
        <f t="shared" si="43"/>
        <v>1</v>
      </c>
      <c r="CD31" s="17" t="s">
        <v>313</v>
      </c>
      <c r="CE31" s="138" t="str">
        <f>IF([1]!w_info_callput(CD31)="认购","C","P")</f>
        <v>P</v>
      </c>
      <c r="CF31" s="139">
        <f>[1]!w_info_strikeprice(CD31,"")</f>
        <v>4.2</v>
      </c>
      <c r="CG31" s="140" t="str">
        <f>[1]!w_info_lasttradingdate(CD31)</f>
        <v>2020-04-22</v>
      </c>
      <c r="CH31" s="55" t="str">
        <f t="shared" si="44"/>
        <v>IO2004-P-4200.CFE</v>
      </c>
      <c r="CI31" s="55" t="str">
        <f t="shared" si="45"/>
        <v>IO2004-P-4200.CFE</v>
      </c>
      <c r="CK31" s="17" t="s">
        <v>214</v>
      </c>
      <c r="CL31" s="17"/>
    </row>
    <row r="32" spans="1:90">
      <c r="A32" s="50" t="str">
        <f t="shared" si="46"/>
        <v>T</v>
      </c>
      <c r="B32" t="s">
        <v>85</v>
      </c>
      <c r="C32" s="29" t="str">
        <f t="shared" si="3"/>
        <v>P</v>
      </c>
      <c r="D32" s="125">
        <f>[1]!w_info_strikeprice(B32,"")</f>
        <v>4300</v>
      </c>
      <c r="E32" s="18" t="str">
        <f>[1]!w_info_lasttradingdate(B32)</f>
        <v>2020-04-17</v>
      </c>
      <c r="F32" s="4">
        <f>IF(G32&gt;0,RTD("wdf.rtq",,$B32,F$5),0)</f>
        <v>0</v>
      </c>
      <c r="G32" s="73">
        <f>RTD("wdf.rtq",,$B32,G$5)</f>
        <v>0</v>
      </c>
      <c r="H32" s="4">
        <f>RTD("wdf.rtq",,$B32,H$5)</f>
        <v>0</v>
      </c>
      <c r="I32" s="73">
        <f>RTD("wdf.rtq",,$B32,I$5)</f>
        <v>0</v>
      </c>
      <c r="J32" s="4">
        <f>RTD("wdf.rtq",,$B32,J$5)</f>
        <v>0</v>
      </c>
      <c r="K32" s="73">
        <f>RTD("wdf.rtq",,$B32,K$5)</f>
        <v>0</v>
      </c>
      <c r="L32" s="4">
        <f>[1]!s_dq_presettle(B32,"")</f>
        <v>598.79999999999995</v>
      </c>
      <c r="M32" s="6">
        <f t="shared" si="4"/>
        <v>0</v>
      </c>
      <c r="N32" s="3">
        <f t="shared" si="5"/>
        <v>0</v>
      </c>
      <c r="O32" s="6">
        <f t="shared" si="6"/>
        <v>37243.200000000004</v>
      </c>
      <c r="P32" s="3">
        <f t="shared" si="7"/>
        <v>21500</v>
      </c>
      <c r="Q32" s="6">
        <f t="shared" si="77"/>
        <v>37243.210000000006</v>
      </c>
      <c r="R32" s="75">
        <f ca="1">IF(NOW()-TODAY()&gt;15/24, G32, [1]!s_dq_volume(B32,R$2,1))/$I$2</f>
        <v>5</v>
      </c>
      <c r="S32" s="78">
        <f t="shared" si="71"/>
        <v>575.67999999999984</v>
      </c>
      <c r="T32" s="78">
        <f t="shared" si="72"/>
        <v>-575.67999999999984</v>
      </c>
      <c r="AB32" s="17" t="s">
        <v>314</v>
      </c>
      <c r="AC32" s="29" t="str">
        <f>IF([1]!w_info_callput(AB32)="认购","C","P")</f>
        <v>P</v>
      </c>
      <c r="AD32" s="31">
        <f>[1]!w_info_strikeprice(AB32,"")</f>
        <v>4.3</v>
      </c>
      <c r="AE32" s="18" t="str">
        <f>[1]!w_info_lasttradingdate(AB32)</f>
        <v>2020-04-22</v>
      </c>
      <c r="AF32" s="15">
        <f>RTD("wdf.rtq",,$AB32,F$5)</f>
        <v>0.60499999999999998</v>
      </c>
      <c r="AG32" s="73">
        <f>RTD("wdf.rtq",,$AB32,G$5)</f>
        <v>188</v>
      </c>
      <c r="AH32" s="15">
        <f>RTD("wdf.rtq",,$AB32,H$5)</f>
        <v>0.57010000000000005</v>
      </c>
      <c r="AI32" s="73">
        <f>RTD("wdf.rtq",,$AB32,I$5)</f>
        <v>6</v>
      </c>
      <c r="AJ32" s="15">
        <f>RTD("wdf.rtq",,$AB32,J$5)</f>
        <v>0</v>
      </c>
      <c r="AK32" s="77">
        <f>RTD("wdf.rtq",,$AB32,K$5)</f>
        <v>0</v>
      </c>
      <c r="AL32" s="15">
        <f>[1]!s_dq_presettle(AB32,"")</f>
        <v>0.58250000000000002</v>
      </c>
      <c r="AM32" s="15">
        <f t="shared" si="11"/>
        <v>0</v>
      </c>
      <c r="AN32" s="3">
        <f t="shared" si="12"/>
        <v>60500</v>
      </c>
      <c r="AO32" s="15">
        <f t="shared" si="73"/>
        <v>0.44531999999999999</v>
      </c>
      <c r="AP32" s="14">
        <f t="shared" si="14"/>
        <v>0.30099999999999999</v>
      </c>
      <c r="AQ32" s="8">
        <f t="shared" si="76"/>
        <v>126038.40999999997</v>
      </c>
      <c r="AR32" s="78">
        <f ca="1">IF(NOW()-TODAY()&gt;15/24, AG32, [1]!s_dq_volume(AB32,AR$2,1))/AI$2</f>
        <v>78.5</v>
      </c>
      <c r="AS32" s="122">
        <f t="shared" si="74"/>
        <v>0.58899999999999952</v>
      </c>
      <c r="AT32" s="122">
        <f t="shared" si="75"/>
        <v>1.6000000000000458E-2</v>
      </c>
      <c r="AV32" s="49">
        <f t="shared" ca="1" si="18"/>
        <v>-1349.3009722776187</v>
      </c>
      <c r="AY32" s="10"/>
      <c r="AZ32" s="10"/>
      <c r="BA32" s="6">
        <f t="shared" si="47"/>
        <v>0</v>
      </c>
      <c r="BB32" s="6">
        <f t="shared" si="48"/>
        <v>0</v>
      </c>
      <c r="BC32" s="6">
        <f t="shared" si="49"/>
        <v>0</v>
      </c>
      <c r="BD32" s="12">
        <f t="shared" si="50"/>
        <v>0</v>
      </c>
      <c r="BE32" s="2">
        <f t="shared" si="51"/>
        <v>0</v>
      </c>
      <c r="BF32" s="2">
        <f t="shared" si="52"/>
        <v>0</v>
      </c>
      <c r="BG32" s="2">
        <f t="shared" si="53"/>
        <v>0</v>
      </c>
      <c r="BH32" s="13">
        <f t="shared" si="54"/>
        <v>0</v>
      </c>
      <c r="BI32" s="2">
        <f t="shared" ca="1" si="55"/>
        <v>0</v>
      </c>
      <c r="BJ32" s="2">
        <f t="shared" ca="1" si="56"/>
        <v>0</v>
      </c>
      <c r="BK32" s="2">
        <f t="shared" ca="1" si="57"/>
        <v>0</v>
      </c>
      <c r="BL32" s="56">
        <f t="shared" ca="1" si="58"/>
        <v>0</v>
      </c>
      <c r="BN32" s="6">
        <f t="shared" si="59"/>
        <v>0</v>
      </c>
      <c r="BO32" s="6">
        <f t="shared" si="60"/>
        <v>0</v>
      </c>
      <c r="BP32" s="6">
        <f t="shared" si="61"/>
        <v>0</v>
      </c>
      <c r="BQ32" s="12">
        <f t="shared" si="62"/>
        <v>0</v>
      </c>
      <c r="BR32" s="2">
        <f t="shared" si="63"/>
        <v>0</v>
      </c>
      <c r="BS32" s="2">
        <f t="shared" si="64"/>
        <v>0</v>
      </c>
      <c r="BT32" s="2">
        <f t="shared" si="65"/>
        <v>0</v>
      </c>
      <c r="BU32" s="13">
        <f t="shared" si="66"/>
        <v>0</v>
      </c>
      <c r="BV32" s="2">
        <f t="shared" ca="1" si="67"/>
        <v>0</v>
      </c>
      <c r="BW32" s="2">
        <f t="shared" ca="1" si="68"/>
        <v>0</v>
      </c>
      <c r="BX32" s="2">
        <f t="shared" ca="1" si="69"/>
        <v>0</v>
      </c>
      <c r="BY32" s="13">
        <f t="shared" ca="1" si="70"/>
        <v>0</v>
      </c>
      <c r="CB32" s="17" t="s">
        <v>60</v>
      </c>
      <c r="CC32" s="123" t="b">
        <f t="shared" si="43"/>
        <v>1</v>
      </c>
      <c r="CD32" s="17" t="s">
        <v>314</v>
      </c>
      <c r="CE32" s="138" t="str">
        <f>IF([1]!w_info_callput(CD32)="认购","C","P")</f>
        <v>P</v>
      </c>
      <c r="CF32" s="139">
        <f>[1]!w_info_strikeprice(CD32,"")</f>
        <v>4.3</v>
      </c>
      <c r="CG32" s="140" t="str">
        <f>[1]!w_info_lasttradingdate(CD32)</f>
        <v>2020-04-22</v>
      </c>
      <c r="CH32" s="55" t="str">
        <f t="shared" si="44"/>
        <v>IO2004-P-4300.CFE</v>
      </c>
      <c r="CI32" s="55" t="str">
        <f t="shared" si="45"/>
        <v>IO2004-P-4300.CFE</v>
      </c>
      <c r="CK32" s="17" t="s">
        <v>215</v>
      </c>
      <c r="CL32" s="17"/>
    </row>
    <row r="33" spans="1:90">
      <c r="A33" s="50" t="str">
        <f t="shared" si="46"/>
        <v>T</v>
      </c>
      <c r="B33" t="s">
        <v>87</v>
      </c>
      <c r="C33" s="29" t="str">
        <f t="shared" si="3"/>
        <v>P</v>
      </c>
      <c r="D33" s="125">
        <f>[1]!w_info_strikeprice(B33,"")</f>
        <v>4400</v>
      </c>
      <c r="E33" s="18" t="str">
        <f>[1]!w_info_lasttradingdate(B33)</f>
        <v>2020-04-17</v>
      </c>
      <c r="F33" s="4">
        <f>IF(G33&gt;0,RTD("wdf.rtq",,$B33,F$5),0)</f>
        <v>0</v>
      </c>
      <c r="G33" s="73">
        <f>RTD("wdf.rtq",,$B33,G$5)</f>
        <v>0</v>
      </c>
      <c r="H33" s="4">
        <f>RTD("wdf.rtq",,$B33,H$5)</f>
        <v>0</v>
      </c>
      <c r="I33" s="73">
        <f>RTD("wdf.rtq",,$B33,I$5)</f>
        <v>0</v>
      </c>
      <c r="J33" s="4">
        <f>RTD("wdf.rtq",,$B33,J$5)</f>
        <v>0</v>
      </c>
      <c r="K33" s="73">
        <f>RTD("wdf.rtq",,$B33,K$5)</f>
        <v>0</v>
      </c>
      <c r="L33" s="4">
        <f>[1]!s_dq_presettle(B33,"")</f>
        <v>698.2</v>
      </c>
      <c r="M33" s="6">
        <f t="shared" si="4"/>
        <v>0</v>
      </c>
      <c r="N33" s="3">
        <f t="shared" si="5"/>
        <v>0</v>
      </c>
      <c r="O33" s="6">
        <f t="shared" si="6"/>
        <v>37243.200000000004</v>
      </c>
      <c r="P33" s="3">
        <f t="shared" si="7"/>
        <v>22000</v>
      </c>
      <c r="Q33" s="6">
        <f t="shared" si="77"/>
        <v>37243.210000000006</v>
      </c>
      <c r="R33" s="75">
        <f ca="1">IF(NOW()-TODAY()&gt;15/24, G33, [1]!s_dq_volume(B33,R$2,1))/$I$2</f>
        <v>8</v>
      </c>
      <c r="S33" s="78">
        <f t="shared" si="71"/>
        <v>675.67999999999984</v>
      </c>
      <c r="T33" s="78">
        <f t="shared" si="72"/>
        <v>-675.67999999999984</v>
      </c>
      <c r="AB33" s="124" t="s">
        <v>315</v>
      </c>
      <c r="AC33" s="29" t="str">
        <f>IF([1]!w_info_callput(AB33)="认购","C","P")</f>
        <v>P</v>
      </c>
      <c r="AD33" s="31">
        <f>[1]!w_info_strikeprice(AB33,"")</f>
        <v>4.4000000000000004</v>
      </c>
      <c r="AE33" s="18" t="str">
        <f>[1]!w_info_lasttradingdate(AB33)</f>
        <v>2020-04-22</v>
      </c>
      <c r="AF33" s="15">
        <f>RTD("wdf.rtq",,$AB33,F$5)</f>
        <v>0.70279999999999998</v>
      </c>
      <c r="AG33" s="73">
        <f>RTD("wdf.rtq",,$AB33,G$5)</f>
        <v>129</v>
      </c>
      <c r="AH33" s="15">
        <f>RTD("wdf.rtq",,$AB33,H$5)</f>
        <v>0.67790000000000006</v>
      </c>
      <c r="AI33" s="73">
        <f>RTD("wdf.rtq",,$AB33,I$5)</f>
        <v>10</v>
      </c>
      <c r="AJ33" s="15">
        <f>RTD("wdf.rtq",,$AB33,J$5)</f>
        <v>0.71850000000000003</v>
      </c>
      <c r="AK33" s="77">
        <f>RTD("wdf.rtq",,$AB33,K$5)</f>
        <v>10</v>
      </c>
      <c r="AL33" s="15">
        <f>[1]!s_dq_presettle(AB33,"")</f>
        <v>0.68189999999999995</v>
      </c>
      <c r="AM33" s="15">
        <f t="shared" si="11"/>
        <v>0</v>
      </c>
      <c r="AN33" s="3">
        <f t="shared" si="12"/>
        <v>70280</v>
      </c>
      <c r="AO33" s="15">
        <f t="shared" si="73"/>
        <v>0.44531999999999999</v>
      </c>
      <c r="AP33" s="14">
        <f t="shared" si="14"/>
        <v>0.30800000000000005</v>
      </c>
      <c r="AQ33" s="8">
        <f t="shared" si="76"/>
        <v>137774.41</v>
      </c>
      <c r="AR33" s="78">
        <f ca="1">IF(NOW()-TODAY()&gt;15/24, AG33, [1]!s_dq_volume(AB33,AR$2,1))/AI$2</f>
        <v>73.5</v>
      </c>
      <c r="AS33" s="122">
        <f t="shared" si="74"/>
        <v>0.68900000000000006</v>
      </c>
      <c r="AT33" s="122">
        <f t="shared" si="75"/>
        <v>1.3799999999999923E-2</v>
      </c>
      <c r="AV33" s="49">
        <f t="shared" ca="1" si="18"/>
        <v>-1349.3009722776769</v>
      </c>
      <c r="AY33" s="10"/>
      <c r="AZ33" s="10"/>
      <c r="BA33" s="6">
        <f t="shared" si="47"/>
        <v>0</v>
      </c>
      <c r="BB33" s="6">
        <f t="shared" si="48"/>
        <v>0</v>
      </c>
      <c r="BC33" s="6">
        <f t="shared" si="49"/>
        <v>0</v>
      </c>
      <c r="BD33" s="12">
        <f t="shared" si="50"/>
        <v>0</v>
      </c>
      <c r="BE33" s="2">
        <f t="shared" si="51"/>
        <v>0</v>
      </c>
      <c r="BF33" s="2">
        <f t="shared" si="52"/>
        <v>0</v>
      </c>
      <c r="BG33" s="2">
        <f t="shared" si="53"/>
        <v>0</v>
      </c>
      <c r="BH33" s="13">
        <f t="shared" si="54"/>
        <v>0</v>
      </c>
      <c r="BI33" s="2">
        <f t="shared" ca="1" si="55"/>
        <v>0</v>
      </c>
      <c r="BJ33" s="2">
        <f t="shared" ca="1" si="56"/>
        <v>0</v>
      </c>
      <c r="BK33" s="2">
        <f t="shared" ca="1" si="57"/>
        <v>0</v>
      </c>
      <c r="BL33" s="56">
        <f t="shared" ca="1" si="58"/>
        <v>0</v>
      </c>
      <c r="BN33" s="6">
        <f t="shared" si="59"/>
        <v>0</v>
      </c>
      <c r="BO33" s="6">
        <f t="shared" si="60"/>
        <v>0</v>
      </c>
      <c r="BP33" s="6">
        <f t="shared" si="61"/>
        <v>0</v>
      </c>
      <c r="BQ33" s="12">
        <f t="shared" si="62"/>
        <v>0</v>
      </c>
      <c r="BR33" s="2">
        <f t="shared" si="63"/>
        <v>0</v>
      </c>
      <c r="BS33" s="2">
        <f t="shared" si="64"/>
        <v>0</v>
      </c>
      <c r="BT33" s="2">
        <f t="shared" si="65"/>
        <v>0</v>
      </c>
      <c r="BU33" s="13">
        <f t="shared" si="66"/>
        <v>0</v>
      </c>
      <c r="BV33" s="2">
        <f t="shared" ca="1" si="67"/>
        <v>0</v>
      </c>
      <c r="BW33" s="2">
        <f t="shared" ca="1" si="68"/>
        <v>0</v>
      </c>
      <c r="BX33" s="2">
        <f t="shared" ca="1" si="69"/>
        <v>0</v>
      </c>
      <c r="BY33" s="13">
        <f t="shared" ca="1" si="70"/>
        <v>0</v>
      </c>
      <c r="CB33" s="40" t="s">
        <v>61</v>
      </c>
      <c r="CC33" s="123" t="b">
        <f t="shared" si="43"/>
        <v>1</v>
      </c>
      <c r="CD33" s="124" t="s">
        <v>315</v>
      </c>
      <c r="CE33" s="138" t="str">
        <f>IF([1]!w_info_callput(CD33)="认购","C","P")</f>
        <v>P</v>
      </c>
      <c r="CF33" s="139">
        <f>[1]!w_info_strikeprice(CD33,"")</f>
        <v>4.4000000000000004</v>
      </c>
      <c r="CG33" s="140" t="str">
        <f>[1]!w_info_lasttradingdate(CD33)</f>
        <v>2020-04-22</v>
      </c>
      <c r="CH33" s="55" t="str">
        <f t="shared" si="44"/>
        <v>IO2004-P-4400.CFE</v>
      </c>
      <c r="CI33" s="55" t="str">
        <f t="shared" si="45"/>
        <v>IO2004-P-4400.CFE</v>
      </c>
      <c r="CK33" s="17" t="s">
        <v>216</v>
      </c>
      <c r="CL33" s="17"/>
    </row>
    <row r="34" spans="1:90">
      <c r="A34" s="50" t="str">
        <f t="shared" si="46"/>
        <v>T</v>
      </c>
      <c r="B34" t="s">
        <v>89</v>
      </c>
      <c r="C34" s="29" t="str">
        <f t="shared" si="3"/>
        <v>P</v>
      </c>
      <c r="D34" s="125">
        <f>[1]!w_info_strikeprice(B34,"")</f>
        <v>4500</v>
      </c>
      <c r="E34" s="18" t="str">
        <f>[1]!w_info_lasttradingdate(B34)</f>
        <v>2020-04-17</v>
      </c>
      <c r="F34" s="4">
        <f>IF(G34&gt;0,RTD("wdf.rtq",,$B34,F$5),0)</f>
        <v>0</v>
      </c>
      <c r="G34" s="73">
        <f>RTD("wdf.rtq",,$B34,G$5)</f>
        <v>0</v>
      </c>
      <c r="H34" s="4">
        <f>RTD("wdf.rtq",,$B34,H$5)</f>
        <v>0</v>
      </c>
      <c r="I34" s="73">
        <f>RTD("wdf.rtq",,$B34,I$5)</f>
        <v>0</v>
      </c>
      <c r="J34" s="4">
        <f>RTD("wdf.rtq",,$B34,J$5)</f>
        <v>0</v>
      </c>
      <c r="K34" s="73">
        <f>RTD("wdf.rtq",,$B34,K$5)</f>
        <v>0</v>
      </c>
      <c r="L34" s="4">
        <f>[1]!s_dq_presettle(B34,"")</f>
        <v>797.8</v>
      </c>
      <c r="M34" s="6">
        <f t="shared" si="4"/>
        <v>0</v>
      </c>
      <c r="N34" s="3">
        <f t="shared" si="5"/>
        <v>0</v>
      </c>
      <c r="O34" s="6">
        <f t="shared" si="6"/>
        <v>37243.200000000004</v>
      </c>
      <c r="P34" s="3">
        <f t="shared" si="7"/>
        <v>22500</v>
      </c>
      <c r="Q34" s="6">
        <f t="shared" si="77"/>
        <v>37243.210000000006</v>
      </c>
      <c r="R34" s="75">
        <f ca="1">IF(NOW()-TODAY()&gt;15/24, G34, [1]!s_dq_volume(B34,R$2,1))/$I$2</f>
        <v>0</v>
      </c>
      <c r="S34" s="78">
        <f t="shared" si="71"/>
        <v>775.67999999999984</v>
      </c>
      <c r="T34" s="78">
        <f t="shared" si="72"/>
        <v>-775.67999999999984</v>
      </c>
      <c r="AB34" s="17" t="s">
        <v>316</v>
      </c>
      <c r="AC34" s="29" t="str">
        <f>IF([1]!w_info_callput(AB34)="认购","C","P")</f>
        <v>P</v>
      </c>
      <c r="AD34" s="31">
        <f>[1]!w_info_strikeprice(AB34,"")</f>
        <v>4.5</v>
      </c>
      <c r="AE34" s="18" t="str">
        <f>[1]!w_info_lasttradingdate(AB34)</f>
        <v>2020-04-22</v>
      </c>
      <c r="AF34" s="15">
        <f>RTD("wdf.rtq",,$AB34,F$5)</f>
        <v>0.80149999999999999</v>
      </c>
      <c r="AG34" s="73">
        <f>RTD("wdf.rtq",,$AB34,G$5)</f>
        <v>157</v>
      </c>
      <c r="AH34" s="15">
        <f>RTD("wdf.rtq",,$AB34,H$5)</f>
        <v>0.75</v>
      </c>
      <c r="AI34" s="73">
        <f>RTD("wdf.rtq",,$AB34,I$5)</f>
        <v>1</v>
      </c>
      <c r="AJ34" s="15">
        <f>RTD("wdf.rtq",,$AB34,J$5)</f>
        <v>0</v>
      </c>
      <c r="AK34" s="77">
        <f>RTD("wdf.rtq",,$AB34,K$5)</f>
        <v>0</v>
      </c>
      <c r="AL34" s="15">
        <f>[1]!s_dq_presettle(AB34,"")</f>
        <v>0.78120000000000001</v>
      </c>
      <c r="AM34" s="15">
        <f t="shared" si="11"/>
        <v>0</v>
      </c>
      <c r="AN34" s="3">
        <f t="shared" si="12"/>
        <v>80150</v>
      </c>
      <c r="AO34" s="15">
        <f t="shared" si="73"/>
        <v>0.44531999999999999</v>
      </c>
      <c r="AP34" s="14">
        <f t="shared" si="14"/>
        <v>0.31500000000000006</v>
      </c>
      <c r="AQ34" s="8">
        <f t="shared" si="76"/>
        <v>149618.41</v>
      </c>
      <c r="AR34" s="78">
        <f ca="1">IF(NOW()-TODAY()&gt;15/24, AG34, [1]!s_dq_volume(AB34,AR$2,1))/AI$2</f>
        <v>56.4</v>
      </c>
      <c r="AS34" s="122">
        <f t="shared" si="74"/>
        <v>0.7889999999999997</v>
      </c>
      <c r="AT34" s="122">
        <f t="shared" si="75"/>
        <v>1.2500000000000289E-2</v>
      </c>
      <c r="AV34" s="49">
        <f t="shared" ca="1" si="18"/>
        <v>-1349.3009722776333</v>
      </c>
      <c r="AY34" s="10"/>
      <c r="AZ34" s="10"/>
      <c r="BA34" s="6">
        <f t="shared" si="47"/>
        <v>0</v>
      </c>
      <c r="BB34" s="6">
        <f t="shared" si="48"/>
        <v>0</v>
      </c>
      <c r="BC34" s="6">
        <f t="shared" si="49"/>
        <v>0</v>
      </c>
      <c r="BD34" s="12">
        <f t="shared" si="50"/>
        <v>0</v>
      </c>
      <c r="BE34" s="2">
        <f t="shared" si="51"/>
        <v>0</v>
      </c>
      <c r="BF34" s="2">
        <f t="shared" si="52"/>
        <v>0</v>
      </c>
      <c r="BG34" s="2">
        <f t="shared" si="53"/>
        <v>0</v>
      </c>
      <c r="BH34" s="13">
        <f t="shared" si="54"/>
        <v>0</v>
      </c>
      <c r="BI34" s="2">
        <f t="shared" ca="1" si="55"/>
        <v>0</v>
      </c>
      <c r="BJ34" s="2">
        <f t="shared" ca="1" si="56"/>
        <v>0</v>
      </c>
      <c r="BK34" s="2">
        <f t="shared" ca="1" si="57"/>
        <v>0</v>
      </c>
      <c r="BL34" s="56">
        <f t="shared" ca="1" si="58"/>
        <v>0</v>
      </c>
      <c r="BN34" s="6">
        <f t="shared" si="59"/>
        <v>0</v>
      </c>
      <c r="BO34" s="6">
        <f t="shared" si="60"/>
        <v>0</v>
      </c>
      <c r="BP34" s="6">
        <f t="shared" si="61"/>
        <v>0</v>
      </c>
      <c r="BQ34" s="12">
        <f t="shared" si="62"/>
        <v>0</v>
      </c>
      <c r="BR34" s="2">
        <f t="shared" si="63"/>
        <v>0</v>
      </c>
      <c r="BS34" s="2">
        <f t="shared" si="64"/>
        <v>0</v>
      </c>
      <c r="BT34" s="2">
        <f t="shared" si="65"/>
        <v>0</v>
      </c>
      <c r="BU34" s="13">
        <f t="shared" si="66"/>
        <v>0</v>
      </c>
      <c r="BV34" s="2">
        <f t="shared" ca="1" si="67"/>
        <v>0</v>
      </c>
      <c r="BW34" s="2">
        <f t="shared" ca="1" si="68"/>
        <v>0</v>
      </c>
      <c r="BX34" s="2">
        <f t="shared" ca="1" si="69"/>
        <v>0</v>
      </c>
      <c r="BY34" s="13">
        <f t="shared" ca="1" si="70"/>
        <v>0</v>
      </c>
      <c r="CB34" s="17" t="s">
        <v>62</v>
      </c>
      <c r="CC34" s="123" t="b">
        <f t="shared" si="43"/>
        <v>1</v>
      </c>
      <c r="CD34" s="17" t="s">
        <v>316</v>
      </c>
      <c r="CE34" s="138" t="str">
        <f>IF([1]!w_info_callput(CD34)="认购","C","P")</f>
        <v>P</v>
      </c>
      <c r="CF34" s="139">
        <f>[1]!w_info_strikeprice(CD34,"")</f>
        <v>4.5</v>
      </c>
      <c r="CG34" s="140" t="str">
        <f>[1]!w_info_lasttradingdate(CD34)</f>
        <v>2020-04-22</v>
      </c>
      <c r="CH34" s="55" t="str">
        <f t="shared" si="44"/>
        <v>IO2004-P-4500.CFE</v>
      </c>
      <c r="CI34" s="55" t="str">
        <f t="shared" si="45"/>
        <v>IO2004-P-4500.CFE</v>
      </c>
      <c r="CK34" s="17" t="s">
        <v>217</v>
      </c>
      <c r="CL34" s="17"/>
    </row>
    <row r="35" spans="1:90" s="34" customFormat="1">
      <c r="A35" s="51" t="str">
        <f t="shared" si="46"/>
        <v>T</v>
      </c>
      <c r="B35" s="34" t="s">
        <v>91</v>
      </c>
      <c r="C35" s="35" t="str">
        <f t="shared" si="3"/>
        <v>P</v>
      </c>
      <c r="D35" s="126">
        <f>[1]!w_info_strikeprice(B35,"")</f>
        <v>4600</v>
      </c>
      <c r="E35" s="36" t="str">
        <f>[1]!w_info_lasttradingdate(B35)</f>
        <v>2020-04-17</v>
      </c>
      <c r="F35" s="37">
        <f>IF(G35&gt;0,RTD("wdf.rtq",,$B35,F$5),0)</f>
        <v>0</v>
      </c>
      <c r="G35" s="74">
        <f>RTD("wdf.rtq",,$B35,G$5)</f>
        <v>0</v>
      </c>
      <c r="H35" s="37">
        <f>RTD("wdf.rtq",,$B35,H$5)</f>
        <v>0</v>
      </c>
      <c r="I35" s="74">
        <f>RTD("wdf.rtq",,$B35,I$5)</f>
        <v>0</v>
      </c>
      <c r="J35" s="37">
        <f>RTD("wdf.rtq",,$B35,J$5)</f>
        <v>0</v>
      </c>
      <c r="K35" s="74">
        <f>RTD("wdf.rtq",,$B35,K$5)</f>
        <v>0</v>
      </c>
      <c r="L35" s="37">
        <f>[1]!s_dq_presettle(B35,"")</f>
        <v>897.6</v>
      </c>
      <c r="M35" s="39">
        <f t="shared" si="4"/>
        <v>0</v>
      </c>
      <c r="N35" s="38">
        <f t="shared" si="5"/>
        <v>0</v>
      </c>
      <c r="O35" s="39">
        <f t="shared" si="6"/>
        <v>37243.200000000004</v>
      </c>
      <c r="P35" s="38">
        <f t="shared" si="7"/>
        <v>23000</v>
      </c>
      <c r="Q35" s="39">
        <f t="shared" si="77"/>
        <v>37243.210000000006</v>
      </c>
      <c r="R35" s="76">
        <f ca="1">IF(NOW()-TODAY()&gt;15/24, G35, [1]!s_dq_volume(B35,R$2,1))/$I$2</f>
        <v>6</v>
      </c>
      <c r="S35" s="79">
        <f t="shared" si="71"/>
        <v>875.67999999999984</v>
      </c>
      <c r="T35" s="79">
        <f t="shared" si="72"/>
        <v>-875.67999999999984</v>
      </c>
      <c r="AB35" s="40" t="s">
        <v>391</v>
      </c>
      <c r="AC35" s="35" t="str">
        <f>IF([1]!w_info_callput(AB35)="认购","C","P")</f>
        <v>P</v>
      </c>
      <c r="AD35" s="41">
        <f>[1]!w_info_strikeprice(AB35,"")</f>
        <v>4.5999999999999996</v>
      </c>
      <c r="AE35" s="36" t="str">
        <f>[1]!w_info_lasttradingdate(AB35)</f>
        <v>2020-04-22</v>
      </c>
      <c r="AF35" s="42">
        <f>RTD("wdf.rtq",,$AB35,F$5)</f>
        <v>0.90300000000000002</v>
      </c>
      <c r="AG35" s="74">
        <f>RTD("wdf.rtq",,$AB35,G$5)</f>
        <v>306</v>
      </c>
      <c r="AH35" s="42">
        <f>RTD("wdf.rtq",,$AB35,H$5)</f>
        <v>0.87090000000000001</v>
      </c>
      <c r="AI35" s="74">
        <f>RTD("wdf.rtq",,$AB35,I$5)</f>
        <v>10</v>
      </c>
      <c r="AJ35" s="42">
        <f>RTD("wdf.rtq",,$AB35,J$5)</f>
        <v>0.92310000000000003</v>
      </c>
      <c r="AK35" s="74">
        <f>RTD("wdf.rtq",,$AB35,K$5)</f>
        <v>10</v>
      </c>
      <c r="AL35" s="42">
        <f>[1]!s_dq_presettle(AB35,"")</f>
        <v>0.88080000000000003</v>
      </c>
      <c r="AM35" s="42">
        <f t="shared" si="11"/>
        <v>0</v>
      </c>
      <c r="AN35" s="38">
        <f t="shared" si="12"/>
        <v>90300</v>
      </c>
      <c r="AO35" s="42">
        <f t="shared" si="73"/>
        <v>0.44531999999999999</v>
      </c>
      <c r="AP35" s="43">
        <f t="shared" si="14"/>
        <v>0.32200000000000001</v>
      </c>
      <c r="AQ35" s="44">
        <f t="shared" si="76"/>
        <v>161798.41</v>
      </c>
      <c r="AR35" s="79">
        <f ca="1">IF(NOW()-TODAY()&gt;15/24, AG35, [1]!s_dq_volume(AB35,AR$2,1))/AI$2</f>
        <v>68.7</v>
      </c>
      <c r="AS35" s="129">
        <f t="shared" si="74"/>
        <v>0.88899999999999935</v>
      </c>
      <c r="AT35" s="129">
        <f t="shared" si="75"/>
        <v>1.4000000000000679E-2</v>
      </c>
      <c r="AU35" s="84"/>
      <c r="AV35" s="49">
        <f t="shared" ca="1" si="18"/>
        <v>-1349.3009722776042</v>
      </c>
      <c r="AX35" s="45"/>
      <c r="AY35" s="48"/>
      <c r="AZ35" s="48"/>
      <c r="BA35" s="39">
        <f t="shared" si="47"/>
        <v>0</v>
      </c>
      <c r="BB35" s="39">
        <f t="shared" si="48"/>
        <v>0</v>
      </c>
      <c r="BC35" s="39">
        <f t="shared" si="49"/>
        <v>0</v>
      </c>
      <c r="BD35" s="130">
        <f t="shared" si="50"/>
        <v>0</v>
      </c>
      <c r="BE35" s="46">
        <f t="shared" si="51"/>
        <v>0</v>
      </c>
      <c r="BF35" s="46">
        <f t="shared" si="52"/>
        <v>0</v>
      </c>
      <c r="BG35" s="46">
        <f t="shared" si="53"/>
        <v>0</v>
      </c>
      <c r="BH35" s="47">
        <f t="shared" si="54"/>
        <v>0</v>
      </c>
      <c r="BI35" s="46">
        <f t="shared" ca="1" si="55"/>
        <v>0</v>
      </c>
      <c r="BJ35" s="46">
        <f t="shared" ca="1" si="56"/>
        <v>0</v>
      </c>
      <c r="BK35" s="46">
        <f t="shared" ca="1" si="57"/>
        <v>0</v>
      </c>
      <c r="BL35" s="46">
        <f t="shared" ca="1" si="58"/>
        <v>0</v>
      </c>
      <c r="BM35" s="84"/>
      <c r="BN35" s="39">
        <f t="shared" si="59"/>
        <v>0</v>
      </c>
      <c r="BO35" s="39">
        <f t="shared" si="60"/>
        <v>0</v>
      </c>
      <c r="BP35" s="39">
        <f t="shared" si="61"/>
        <v>0</v>
      </c>
      <c r="BQ35" s="130">
        <f t="shared" si="62"/>
        <v>0</v>
      </c>
      <c r="BR35" s="46">
        <f t="shared" si="63"/>
        <v>0</v>
      </c>
      <c r="BS35" s="46">
        <f t="shared" si="64"/>
        <v>0</v>
      </c>
      <c r="BT35" s="46">
        <f t="shared" si="65"/>
        <v>0</v>
      </c>
      <c r="BU35" s="47">
        <f t="shared" si="66"/>
        <v>0</v>
      </c>
      <c r="BV35" s="46">
        <f t="shared" ca="1" si="67"/>
        <v>0</v>
      </c>
      <c r="BW35" s="46">
        <f t="shared" ca="1" si="68"/>
        <v>0</v>
      </c>
      <c r="BX35" s="46">
        <f t="shared" ca="1" si="69"/>
        <v>0</v>
      </c>
      <c r="BY35" s="47">
        <f t="shared" ca="1" si="70"/>
        <v>0</v>
      </c>
      <c r="CB35" s="40" t="s">
        <v>63</v>
      </c>
      <c r="CC35" s="131" t="b">
        <f t="shared" si="43"/>
        <v>1</v>
      </c>
      <c r="CD35" s="40" t="s">
        <v>391</v>
      </c>
      <c r="CE35" s="138" t="str">
        <f>IF([1]!w_info_callput(CD35)="认购","C","P")</f>
        <v>P</v>
      </c>
      <c r="CF35" s="139">
        <f>[1]!w_info_strikeprice(CD35,"")</f>
        <v>4.5999999999999996</v>
      </c>
      <c r="CG35" s="140" t="str">
        <f>[1]!w_info_lasttradingdate(CD35)</f>
        <v>2020-04-22</v>
      </c>
      <c r="CH35" s="55" t="str">
        <f t="shared" si="44"/>
        <v>IO2004-P-4600.CFE</v>
      </c>
      <c r="CI35" s="55" t="str">
        <f t="shared" si="45"/>
        <v>IO2004-P-4600.CFE</v>
      </c>
      <c r="CK35" s="40" t="s">
        <v>218</v>
      </c>
      <c r="CL35" s="40"/>
    </row>
    <row r="36" spans="1:90">
      <c r="A36" s="50" t="str">
        <f t="shared" si="46"/>
        <v>T</v>
      </c>
      <c r="B36" t="s">
        <v>334</v>
      </c>
      <c r="C36" s="29" t="str">
        <f t="shared" si="3"/>
        <v>C</v>
      </c>
      <c r="D36" s="125">
        <f>[1]!w_info_strikeprice(B36,"")</f>
        <v>3300</v>
      </c>
      <c r="E36" s="18" t="str">
        <f>[1]!w_info_lasttradingdate(B36)</f>
        <v>2020-05-15</v>
      </c>
      <c r="F36" s="4">
        <f>IF(G36&gt;0,RTD("wdf.rtq",,$B36,F$5),0)</f>
        <v>0</v>
      </c>
      <c r="G36" s="73">
        <f>RTD("wdf.rtq",,$B36,G$5)</f>
        <v>0</v>
      </c>
      <c r="H36" s="4">
        <f>RTD("wdf.rtq",,$B36,H$5)</f>
        <v>0</v>
      </c>
      <c r="I36" s="73">
        <f>RTD("wdf.rtq",,$B36,I$5)</f>
        <v>0</v>
      </c>
      <c r="J36" s="4">
        <f>RTD("wdf.rtq",,$B36,J$5)</f>
        <v>0</v>
      </c>
      <c r="K36" s="73">
        <f>RTD("wdf.rtq",,$B36,K$5)</f>
        <v>0</v>
      </c>
      <c r="L36" s="4">
        <f>[1]!s_dq_presettle(B36,"")</f>
        <v>443.4</v>
      </c>
      <c r="M36" s="6">
        <f t="shared" si="4"/>
        <v>0</v>
      </c>
      <c r="N36" s="3">
        <f t="shared" si="5"/>
        <v>0</v>
      </c>
      <c r="O36" s="6">
        <f t="shared" si="6"/>
        <v>37243.200000000004</v>
      </c>
      <c r="P36" s="3">
        <f t="shared" si="7"/>
        <v>16500</v>
      </c>
      <c r="Q36" s="6">
        <f t="shared" si="77"/>
        <v>37243.210000000006</v>
      </c>
      <c r="R36" s="75">
        <f ca="1">IF(NOW()-TODAY()&gt;15/24, G36, [1]!s_dq_volume(B36,R$2,1))/$I$2</f>
        <v>0</v>
      </c>
      <c r="S36" s="78">
        <f t="shared" si="71"/>
        <v>424.32000000000016</v>
      </c>
      <c r="T36" s="78">
        <f t="shared" si="72"/>
        <v>-424.32000000000016</v>
      </c>
      <c r="AB36" s="17" t="s">
        <v>411</v>
      </c>
      <c r="AC36" s="29" t="str">
        <f>IF([1]!w_info_callput(AB36)="认购","C","P")</f>
        <v>C</v>
      </c>
      <c r="AD36" s="31">
        <f>[1]!w_info_strikeprice(AB36,"")</f>
        <v>3.3</v>
      </c>
      <c r="AE36" s="18" t="str">
        <f>[1]!w_info_lasttradingdate(AB36)</f>
        <v>2020-05-27</v>
      </c>
      <c r="AF36" s="15">
        <f>RTD("wdf.rtq",,$AB36,F$5)</f>
        <v>0.4299</v>
      </c>
      <c r="AG36" s="73">
        <f>RTD("wdf.rtq",,$AB36,G$5)</f>
        <v>215</v>
      </c>
      <c r="AH36" s="15">
        <f>RTD("wdf.rtq",,$AB36,H$5)</f>
        <v>0.4204</v>
      </c>
      <c r="AI36" s="73">
        <f>RTD("wdf.rtq",,$AB36,I$5)</f>
        <v>10</v>
      </c>
      <c r="AJ36" s="15">
        <f>RTD("wdf.rtq",,$AB36,J$5)</f>
        <v>0.4456</v>
      </c>
      <c r="AK36" s="77">
        <f>RTD("wdf.rtq",,$AB36,K$5)</f>
        <v>10</v>
      </c>
      <c r="AL36" s="15">
        <f>[1]!s_dq_presettle(AB36,"")</f>
        <v>0.44590000000000002</v>
      </c>
      <c r="AM36" s="15">
        <f t="shared" si="11"/>
        <v>0</v>
      </c>
      <c r="AN36" s="3">
        <f t="shared" si="12"/>
        <v>42990</v>
      </c>
      <c r="AO36" s="15">
        <f t="shared" si="73"/>
        <v>0.44531999999999999</v>
      </c>
      <c r="AP36" s="14">
        <f t="shared" si="14"/>
        <v>3.0093000000000002E-2</v>
      </c>
      <c r="AQ36" s="8">
        <f t="shared" si="76"/>
        <v>105026.40999999999</v>
      </c>
      <c r="AR36" s="78">
        <f ca="1">IF(NOW()-TODAY()&gt;15/24, AG36, [1]!s_dq_volume(AB36,AR$2,1))/AI$2</f>
        <v>38.5</v>
      </c>
      <c r="AS36" s="122">
        <f t="shared" si="74"/>
        <v>0.41100000000000048</v>
      </c>
      <c r="AT36" s="122">
        <f t="shared" si="75"/>
        <v>1.8899999999999528E-2</v>
      </c>
      <c r="AV36" s="49">
        <f t="shared" ca="1" si="18"/>
        <v>1349.3009722776187</v>
      </c>
      <c r="AY36" s="10"/>
      <c r="AZ36" s="10"/>
      <c r="BA36" s="6">
        <f t="shared" si="47"/>
        <v>0</v>
      </c>
      <c r="BB36" s="6">
        <f t="shared" si="48"/>
        <v>0</v>
      </c>
      <c r="BC36" s="6">
        <f t="shared" si="49"/>
        <v>0</v>
      </c>
      <c r="BD36" s="12">
        <f t="shared" si="50"/>
        <v>0</v>
      </c>
      <c r="BE36" s="2">
        <f t="shared" si="51"/>
        <v>0</v>
      </c>
      <c r="BF36" s="2">
        <f t="shared" si="52"/>
        <v>0</v>
      </c>
      <c r="BG36" s="2">
        <f t="shared" si="53"/>
        <v>0</v>
      </c>
      <c r="BH36" s="13">
        <f t="shared" si="54"/>
        <v>0</v>
      </c>
      <c r="BI36" s="2">
        <f t="shared" ca="1" si="55"/>
        <v>0</v>
      </c>
      <c r="BJ36" s="2">
        <f t="shared" ca="1" si="56"/>
        <v>0</v>
      </c>
      <c r="BK36" s="2">
        <f t="shared" ca="1" si="57"/>
        <v>0</v>
      </c>
      <c r="BL36" s="56">
        <f t="shared" ca="1" si="58"/>
        <v>0</v>
      </c>
      <c r="BN36" s="6">
        <f t="shared" si="59"/>
        <v>0</v>
      </c>
      <c r="BO36" s="6">
        <f t="shared" si="60"/>
        <v>0</v>
      </c>
      <c r="BP36" s="6">
        <f t="shared" si="61"/>
        <v>0</v>
      </c>
      <c r="BQ36" s="12">
        <f t="shared" si="62"/>
        <v>0</v>
      </c>
      <c r="BR36" s="2">
        <f t="shared" si="63"/>
        <v>0</v>
      </c>
      <c r="BS36" s="2">
        <f t="shared" si="64"/>
        <v>0</v>
      </c>
      <c r="BT36" s="2">
        <f t="shared" si="65"/>
        <v>0</v>
      </c>
      <c r="BU36" s="13">
        <f t="shared" si="66"/>
        <v>0</v>
      </c>
      <c r="BV36" s="2">
        <f t="shared" ca="1" si="67"/>
        <v>0</v>
      </c>
      <c r="BW36" s="2">
        <f t="shared" ca="1" si="68"/>
        <v>0</v>
      </c>
      <c r="BX36" s="2">
        <f t="shared" ca="1" si="69"/>
        <v>0</v>
      </c>
      <c r="BY36" s="13">
        <f t="shared" ca="1" si="70"/>
        <v>0</v>
      </c>
      <c r="CB36" s="17" t="s">
        <v>64</v>
      </c>
      <c r="CC36" s="123" t="b">
        <f t="shared" si="43"/>
        <v>1</v>
      </c>
      <c r="CD36" s="17" t="s">
        <v>411</v>
      </c>
      <c r="CE36" s="138" t="str">
        <f>IF([1]!w_info_callput(CD36)="认购","C","P")</f>
        <v>C</v>
      </c>
      <c r="CF36" s="139">
        <f>[1]!w_info_strikeprice(CD36,"")</f>
        <v>3.3</v>
      </c>
      <c r="CG36" s="140" t="str">
        <f>[1]!w_info_lasttradingdate(CD36)</f>
        <v>2020-05-27</v>
      </c>
      <c r="CH36" s="55" t="str">
        <f t="shared" si="44"/>
        <v>IO2005-C-3300.CFE</v>
      </c>
      <c r="CI36" s="55" t="str">
        <f t="shared" si="45"/>
        <v>IO2005-C-3300.CFE</v>
      </c>
      <c r="CK36" s="17" t="s">
        <v>219</v>
      </c>
      <c r="CL36" s="17"/>
    </row>
    <row r="37" spans="1:90">
      <c r="A37" s="50" t="str">
        <f t="shared" si="46"/>
        <v>T</v>
      </c>
      <c r="B37" t="s">
        <v>336</v>
      </c>
      <c r="C37" s="29" t="str">
        <f t="shared" si="3"/>
        <v>C</v>
      </c>
      <c r="D37" s="125">
        <f>[1]!w_info_strikeprice(B37,"")</f>
        <v>3400</v>
      </c>
      <c r="E37" s="18" t="str">
        <f>[1]!w_info_lasttradingdate(B37)</f>
        <v>2020-05-15</v>
      </c>
      <c r="F37" s="4">
        <f>IF(G37&gt;0,RTD("wdf.rtq",,$B37,F$5),0)</f>
        <v>350.6</v>
      </c>
      <c r="G37" s="73">
        <f>RTD("wdf.rtq",,$B37,G$5)</f>
        <v>3</v>
      </c>
      <c r="H37" s="4">
        <f>RTD("wdf.rtq",,$B37,H$5)</f>
        <v>7.2</v>
      </c>
      <c r="I37" s="73">
        <f>RTD("wdf.rtq",,$B37,I$5)</f>
        <v>1</v>
      </c>
      <c r="J37" s="4">
        <f>RTD("wdf.rtq",,$B37,J$5)</f>
        <v>0</v>
      </c>
      <c r="K37" s="73">
        <f>RTD("wdf.rtq",,$B37,K$5)</f>
        <v>0</v>
      </c>
      <c r="L37" s="4">
        <f>[1]!s_dq_presettle(B37,"")</f>
        <v>358.4</v>
      </c>
      <c r="M37" s="6">
        <f t="shared" si="4"/>
        <v>0</v>
      </c>
      <c r="N37" s="3">
        <f t="shared" si="5"/>
        <v>35060</v>
      </c>
      <c r="O37" s="6">
        <f t="shared" si="6"/>
        <v>37243.200000000004</v>
      </c>
      <c r="P37" s="3">
        <f t="shared" si="7"/>
        <v>17000</v>
      </c>
      <c r="Q37" s="6">
        <f t="shared" si="77"/>
        <v>72303.210000000006</v>
      </c>
      <c r="R37" s="75">
        <f ca="1">IF(NOW()-TODAY()&gt;15/24, G37, [1]!s_dq_volume(B37,R$2,1))/$I$2</f>
        <v>16</v>
      </c>
      <c r="S37" s="78">
        <f t="shared" si="71"/>
        <v>324.32000000000016</v>
      </c>
      <c r="T37" s="78">
        <f t="shared" si="72"/>
        <v>26.279999999999859</v>
      </c>
      <c r="AB37" s="17" t="s">
        <v>412</v>
      </c>
      <c r="AC37" s="29" t="str">
        <f>IF([1]!w_info_callput(AB37)="认购","C","P")</f>
        <v>C</v>
      </c>
      <c r="AD37" s="31">
        <f>[1]!w_info_strikeprice(AB37,"")</f>
        <v>3.4</v>
      </c>
      <c r="AE37" s="18" t="str">
        <f>[1]!w_info_lasttradingdate(AB37)</f>
        <v>2020-05-27</v>
      </c>
      <c r="AF37" s="15">
        <f>RTD("wdf.rtq",,$AB37,F$5)</f>
        <v>0.35060000000000002</v>
      </c>
      <c r="AG37" s="73">
        <f>RTD("wdf.rtq",,$AB37,G$5)</f>
        <v>195</v>
      </c>
      <c r="AH37" s="15">
        <f>RTD("wdf.rtq",,$AB37,H$5)</f>
        <v>0.34500000000000003</v>
      </c>
      <c r="AI37" s="73">
        <f>RTD("wdf.rtq",,$AB37,I$5)</f>
        <v>2</v>
      </c>
      <c r="AJ37" s="15">
        <f>RTD("wdf.rtq",,$AB37,J$5)</f>
        <v>0.3624</v>
      </c>
      <c r="AK37" s="77">
        <f>RTD("wdf.rtq",,$AB37,K$5)</f>
        <v>10</v>
      </c>
      <c r="AL37" s="15">
        <f>[1]!s_dq_presettle(AB37,"")</f>
        <v>0.36320000000000002</v>
      </c>
      <c r="AM37" s="15">
        <f t="shared" si="11"/>
        <v>0</v>
      </c>
      <c r="AN37" s="3">
        <f t="shared" si="12"/>
        <v>35060</v>
      </c>
      <c r="AO37" s="15">
        <f t="shared" si="73"/>
        <v>0.44531999999999999</v>
      </c>
      <c r="AP37" s="14">
        <f t="shared" si="14"/>
        <v>2.4542000000000005E-2</v>
      </c>
      <c r="AQ37" s="8">
        <f t="shared" si="76"/>
        <v>95510.409999999989</v>
      </c>
      <c r="AR37" s="78">
        <f ca="1">IF(NOW()-TODAY()&gt;15/24, AG37, [1]!s_dq_volume(AB37,AR$2,1))/AI$2</f>
        <v>110.1</v>
      </c>
      <c r="AS37" s="122">
        <f t="shared" si="74"/>
        <v>0.31100000000000039</v>
      </c>
      <c r="AT37" s="122">
        <f t="shared" si="75"/>
        <v>3.9599999999999635E-2</v>
      </c>
      <c r="AV37" s="49">
        <f t="shared" ca="1" si="18"/>
        <v>1349.3009722776333</v>
      </c>
      <c r="AY37" s="10"/>
      <c r="AZ37" s="10"/>
      <c r="BA37" s="6">
        <f t="shared" ca="1" si="47"/>
        <v>-1428.3009722776333</v>
      </c>
      <c r="BB37" s="6">
        <f t="shared" ca="1" si="48"/>
        <v>-36948.300972277633</v>
      </c>
      <c r="BC37" s="6">
        <f t="shared" si="49"/>
        <v>0</v>
      </c>
      <c r="BD37" s="12">
        <f t="shared" si="50"/>
        <v>0</v>
      </c>
      <c r="BE37" s="2">
        <f t="shared" ca="1" si="51"/>
        <v>-1.3303448846934003E-2</v>
      </c>
      <c r="BF37" s="2">
        <f t="shared" ca="1" si="52"/>
        <v>-0.34040177153667772</v>
      </c>
      <c r="BG37" s="2">
        <f t="shared" si="53"/>
        <v>0</v>
      </c>
      <c r="BH37" s="13">
        <f t="shared" si="54"/>
        <v>0</v>
      </c>
      <c r="BI37" s="2">
        <f t="shared" ca="1" si="55"/>
        <v>-8.8286524166016567E-2</v>
      </c>
      <c r="BJ37" s="2">
        <f t="shared" ca="1" si="56"/>
        <v>-2.2590299383797703</v>
      </c>
      <c r="BK37" s="2">
        <f t="shared" ca="1" si="57"/>
        <v>0</v>
      </c>
      <c r="BL37" s="56">
        <f t="shared" ca="1" si="58"/>
        <v>0</v>
      </c>
      <c r="BN37" s="6">
        <f t="shared" ca="1" si="59"/>
        <v>1270.3009722776333</v>
      </c>
      <c r="BO37" s="6">
        <f t="shared" si="60"/>
        <v>0</v>
      </c>
      <c r="BP37" s="6">
        <f t="shared" ca="1" si="61"/>
        <v>36730.300972277633</v>
      </c>
      <c r="BQ37" s="12">
        <f t="shared" ca="1" si="62"/>
        <v>36790.300972277633</v>
      </c>
      <c r="BR37" s="2">
        <f t="shared" ca="1" si="63"/>
        <v>9.7288579570029184E-3</v>
      </c>
      <c r="BS37" s="2">
        <f t="shared" si="64"/>
        <v>0</v>
      </c>
      <c r="BT37" s="2">
        <f t="shared" ca="1" si="65"/>
        <v>0.38169112381891712</v>
      </c>
      <c r="BU37" s="13">
        <f t="shared" ca="1" si="66"/>
        <v>0.38231470667409229</v>
      </c>
      <c r="BV37" s="2">
        <f t="shared" ca="1" si="67"/>
        <v>6.456423916920119E-2</v>
      </c>
      <c r="BW37" s="2">
        <f t="shared" ca="1" si="68"/>
        <v>0</v>
      </c>
      <c r="BX37" s="2">
        <f t="shared" ca="1" si="69"/>
        <v>2.533041094434632</v>
      </c>
      <c r="BY37" s="13">
        <f t="shared" ca="1" si="70"/>
        <v>2.5371794170189763</v>
      </c>
      <c r="CB37" s="128" t="s">
        <v>430</v>
      </c>
      <c r="CC37" s="123" t="b">
        <f t="shared" ref="CC37:CC95" si="78">AB37=CD37</f>
        <v>1</v>
      </c>
      <c r="CD37" s="17" t="s">
        <v>412</v>
      </c>
      <c r="CE37" s="138" t="str">
        <f>IF([1]!w_info_callput(CD37)="认购","C","P")</f>
        <v>C</v>
      </c>
      <c r="CF37" s="139">
        <f>[1]!w_info_strikeprice(CD37,"")</f>
        <v>3.4</v>
      </c>
      <c r="CG37" s="140" t="str">
        <f>[1]!w_info_lasttradingdate(CD37)</f>
        <v>2020-05-27</v>
      </c>
      <c r="CH37" s="55" t="str">
        <f t="shared" si="44"/>
        <v>IO2005-C-3400.CFE</v>
      </c>
      <c r="CI37" s="55" t="str">
        <f t="shared" si="45"/>
        <v>IO2005-C-3400.CFE</v>
      </c>
      <c r="CK37" s="17" t="s">
        <v>220</v>
      </c>
      <c r="CL37" s="17"/>
    </row>
    <row r="38" spans="1:90">
      <c r="A38" s="50" t="str">
        <f t="shared" si="46"/>
        <v>T</v>
      </c>
      <c r="B38" t="s">
        <v>317</v>
      </c>
      <c r="C38" s="29" t="str">
        <f t="shared" si="3"/>
        <v>C</v>
      </c>
      <c r="D38" s="125">
        <f>[1]!w_info_strikeprice(B38,"")</f>
        <v>3500</v>
      </c>
      <c r="E38" s="18" t="str">
        <f>[1]!w_info_lasttradingdate(B38)</f>
        <v>2020-05-15</v>
      </c>
      <c r="F38" s="4">
        <f>IF(G38&gt;0,RTD("wdf.rtq",,$B38,F$5),0)</f>
        <v>265.60000000000002</v>
      </c>
      <c r="G38" s="73">
        <f>RTD("wdf.rtq",,$B38,G$5)</f>
        <v>58</v>
      </c>
      <c r="H38" s="4">
        <f>RTD("wdf.rtq",,$B38,H$5)</f>
        <v>263.39999999999998</v>
      </c>
      <c r="I38" s="73">
        <f>RTD("wdf.rtq",,$B38,I$5)</f>
        <v>2</v>
      </c>
      <c r="J38" s="4">
        <f>RTD("wdf.rtq",,$B38,J$5)</f>
        <v>0</v>
      </c>
      <c r="K38" s="73">
        <f>RTD("wdf.rtq",,$B38,K$5)</f>
        <v>0</v>
      </c>
      <c r="L38" s="4">
        <f>[1]!s_dq_presettle(B38,"")</f>
        <v>279.60000000000002</v>
      </c>
      <c r="M38" s="6">
        <f t="shared" si="4"/>
        <v>0</v>
      </c>
      <c r="N38" s="3">
        <f t="shared" si="5"/>
        <v>26560.000000000004</v>
      </c>
      <c r="O38" s="6">
        <f t="shared" si="6"/>
        <v>37243.200000000004</v>
      </c>
      <c r="P38" s="3">
        <f t="shared" si="7"/>
        <v>17500</v>
      </c>
      <c r="Q38" s="6">
        <f t="shared" si="77"/>
        <v>63803.210000000014</v>
      </c>
      <c r="R38" s="75">
        <f ca="1">IF(NOW()-TODAY()&gt;15/24, G38, [1]!s_dq_volume(B38,R$2,1))/$I$2</f>
        <v>48</v>
      </c>
      <c r="S38" s="78">
        <f t="shared" si="71"/>
        <v>224.32000000000016</v>
      </c>
      <c r="T38" s="78">
        <f t="shared" si="72"/>
        <v>41.279999999999859</v>
      </c>
      <c r="AB38" s="17" t="s">
        <v>413</v>
      </c>
      <c r="AC38" s="29" t="str">
        <f>IF([1]!w_info_callput(AB38)="认购","C","P")</f>
        <v>C</v>
      </c>
      <c r="AD38" s="31">
        <f>[1]!w_info_strikeprice(AB38,"")</f>
        <v>3.5</v>
      </c>
      <c r="AE38" s="18" t="str">
        <f>[1]!w_info_lasttradingdate(AB38)</f>
        <v>2020-05-27</v>
      </c>
      <c r="AF38" s="15">
        <f>RTD("wdf.rtq",,$AB38,F$5)</f>
        <v>0.27729999999999999</v>
      </c>
      <c r="AG38" s="73">
        <f>RTD("wdf.rtq",,$AB38,G$5)</f>
        <v>741</v>
      </c>
      <c r="AH38" s="15">
        <f>RTD("wdf.rtq",,$AB38,H$5)</f>
        <v>0.27379999999999999</v>
      </c>
      <c r="AI38" s="73">
        <f>RTD("wdf.rtq",,$AB38,I$5)</f>
        <v>3</v>
      </c>
      <c r="AJ38" s="15">
        <f>RTD("wdf.rtq",,$AB38,J$5)</f>
        <v>0.28200000000000003</v>
      </c>
      <c r="AK38" s="77">
        <f>RTD("wdf.rtq",,$AB38,K$5)</f>
        <v>1</v>
      </c>
      <c r="AL38" s="15">
        <f>[1]!s_dq_presettle(AB38,"")</f>
        <v>0.28770000000000001</v>
      </c>
      <c r="AM38" s="15">
        <f t="shared" si="11"/>
        <v>0</v>
      </c>
      <c r="AN38" s="3">
        <f t="shared" si="12"/>
        <v>27730</v>
      </c>
      <c r="AO38" s="15">
        <f t="shared" si="73"/>
        <v>0.44531999999999999</v>
      </c>
      <c r="AP38" s="14">
        <f t="shared" si="14"/>
        <v>1.9411000000000001E-2</v>
      </c>
      <c r="AQ38" s="8">
        <f t="shared" si="76"/>
        <v>86714.409999999989</v>
      </c>
      <c r="AR38" s="78">
        <f ca="1">IF(NOW()-TODAY()&gt;15/24, AG38, [1]!s_dq_volume(AB38,AR$2,1))/AI$2</f>
        <v>161.80000000000001</v>
      </c>
      <c r="AS38" s="122">
        <f t="shared" si="74"/>
        <v>0.2110000000000003</v>
      </c>
      <c r="AT38" s="122">
        <f t="shared" si="75"/>
        <v>6.6299999999999693E-2</v>
      </c>
      <c r="AV38" s="49">
        <f t="shared" ca="1" si="18"/>
        <v>1349.3009722776405</v>
      </c>
      <c r="AY38" s="10"/>
      <c r="AZ38" s="10"/>
      <c r="BA38" s="6">
        <f t="shared" ca="1" si="47"/>
        <v>-2598.3009722776369</v>
      </c>
      <c r="BB38" s="6">
        <f t="shared" ca="1" si="48"/>
        <v>-3288.3009722776478</v>
      </c>
      <c r="BC38" s="6">
        <f t="shared" si="49"/>
        <v>0</v>
      </c>
      <c r="BD38" s="12">
        <f t="shared" si="50"/>
        <v>0</v>
      </c>
      <c r="BE38" s="2">
        <f t="shared" ca="1" si="51"/>
        <v>-2.8386429059765701E-2</v>
      </c>
      <c r="BF38" s="2">
        <f t="shared" ca="1" si="52"/>
        <v>-3.5741154817072657E-2</v>
      </c>
      <c r="BG38" s="2">
        <f t="shared" si="53"/>
        <v>0</v>
      </c>
      <c r="BH38" s="13">
        <f t="shared" si="54"/>
        <v>0</v>
      </c>
      <c r="BI38" s="2">
        <f t="shared" ca="1" si="55"/>
        <v>-0.1883826655784451</v>
      </c>
      <c r="BJ38" s="2">
        <f t="shared" ca="1" si="56"/>
        <v>-0.237191300149664</v>
      </c>
      <c r="BK38" s="2">
        <f t="shared" ca="1" si="57"/>
        <v>0</v>
      </c>
      <c r="BL38" s="56">
        <f t="shared" ca="1" si="58"/>
        <v>0</v>
      </c>
      <c r="BN38" s="6">
        <f t="shared" ca="1" si="59"/>
        <v>2440.3009722776369</v>
      </c>
      <c r="BO38" s="6">
        <f t="shared" si="60"/>
        <v>0</v>
      </c>
      <c r="BP38" s="6">
        <f t="shared" ca="1" si="61"/>
        <v>3070.3009722776478</v>
      </c>
      <c r="BQ38" s="12">
        <f t="shared" ca="1" si="62"/>
        <v>3130.3009722776478</v>
      </c>
      <c r="BR38" s="2">
        <f t="shared" ca="1" si="63"/>
        <v>2.1543268000933636E-2</v>
      </c>
      <c r="BS38" s="2">
        <f t="shared" si="64"/>
        <v>0</v>
      </c>
      <c r="BT38" s="2">
        <f t="shared" ca="1" si="65"/>
        <v>2.7157723693601817E-2</v>
      </c>
      <c r="BU38" s="13">
        <f t="shared" ca="1" si="66"/>
        <v>2.7688446406271529E-2</v>
      </c>
      <c r="BV38" s="2">
        <f t="shared" ca="1" si="67"/>
        <v>0.14296896036983231</v>
      </c>
      <c r="BW38" s="2">
        <f t="shared" ca="1" si="68"/>
        <v>0</v>
      </c>
      <c r="BX38" s="2">
        <f t="shared" ca="1" si="69"/>
        <v>0.18022852996663022</v>
      </c>
      <c r="BY38" s="13">
        <f t="shared" ca="1" si="70"/>
        <v>0.18375059887798378</v>
      </c>
      <c r="CB38" s="17" t="s">
        <v>330</v>
      </c>
      <c r="CC38" s="123" t="b">
        <f t="shared" si="78"/>
        <v>1</v>
      </c>
      <c r="CD38" s="17" t="s">
        <v>413</v>
      </c>
      <c r="CE38" s="138" t="str">
        <f>IF([1]!w_info_callput(CD38)="认购","C","P")</f>
        <v>C</v>
      </c>
      <c r="CF38" s="139">
        <f>[1]!w_info_strikeprice(CD38,"")</f>
        <v>3.5</v>
      </c>
      <c r="CG38" s="140" t="str">
        <f>[1]!w_info_lasttradingdate(CD38)</f>
        <v>2020-05-27</v>
      </c>
      <c r="CH38" s="55" t="str">
        <f t="shared" ref="CH38:CH69" si="79">"IO20"&amp;MID(CG38,6,2)&amp;"-"&amp;CE38&amp;"-"&amp;CF38*1000&amp;".CFE"</f>
        <v>IO2005-C-3500.CFE</v>
      </c>
      <c r="CI38" s="55" t="str">
        <f t="shared" ref="CI38:CI69" si="80">VLOOKUP(CH38,CB:CB,1,0)</f>
        <v>IO2005-C-3500.CFE</v>
      </c>
      <c r="CK38" s="17" t="s">
        <v>221</v>
      </c>
      <c r="CL38" s="17"/>
    </row>
    <row r="39" spans="1:90">
      <c r="A39" s="50" t="str">
        <f t="shared" si="46"/>
        <v>T</v>
      </c>
      <c r="B39" t="s">
        <v>319</v>
      </c>
      <c r="C39" s="29" t="str">
        <f t="shared" si="3"/>
        <v>C</v>
      </c>
      <c r="D39" s="125">
        <f>[1]!w_info_strikeprice(B39,"")</f>
        <v>3600</v>
      </c>
      <c r="E39" s="18" t="str">
        <f>[1]!w_info_lasttradingdate(B39)</f>
        <v>2020-05-15</v>
      </c>
      <c r="F39" s="4">
        <f>IF(G39&gt;0,RTD("wdf.rtq",,$B39,F$5),0)</f>
        <v>200.6</v>
      </c>
      <c r="G39" s="73">
        <f>RTD("wdf.rtq",,$B39,G$5)</f>
        <v>181</v>
      </c>
      <c r="H39" s="4">
        <f>RTD("wdf.rtq",,$B39,H$5)</f>
        <v>198</v>
      </c>
      <c r="I39" s="73">
        <f>RTD("wdf.rtq",,$B39,I$5)</f>
        <v>1</v>
      </c>
      <c r="J39" s="4">
        <f>RTD("wdf.rtq",,$B39,J$5)</f>
        <v>203</v>
      </c>
      <c r="K39" s="73">
        <f>RTD("wdf.rtq",,$B39,K$5)</f>
        <v>1</v>
      </c>
      <c r="L39" s="4">
        <f>[1]!s_dq_presettle(B39,"")</f>
        <v>210.4</v>
      </c>
      <c r="M39" s="6">
        <f t="shared" si="4"/>
        <v>0</v>
      </c>
      <c r="N39" s="3">
        <f t="shared" si="5"/>
        <v>20060</v>
      </c>
      <c r="O39" s="6">
        <f t="shared" si="6"/>
        <v>37243.200000000004</v>
      </c>
      <c r="P39" s="3">
        <f t="shared" si="7"/>
        <v>18000</v>
      </c>
      <c r="Q39" s="6">
        <f t="shared" si="77"/>
        <v>57303.210000000006</v>
      </c>
      <c r="R39" s="75">
        <f ca="1">IF(NOW()-TODAY()&gt;15/24, G39, [1]!s_dq_volume(B39,R$2,1))/$I$2</f>
        <v>425</v>
      </c>
      <c r="S39" s="78">
        <f t="shared" si="71"/>
        <v>124.32000000000016</v>
      </c>
      <c r="T39" s="78">
        <f t="shared" si="72"/>
        <v>76.279999999999831</v>
      </c>
      <c r="AB39" s="17" t="s">
        <v>414</v>
      </c>
      <c r="AC39" s="29" t="str">
        <f>IF([1]!w_info_callput(AB39)="认购","C","P")</f>
        <v>C</v>
      </c>
      <c r="AD39" s="31">
        <f>[1]!w_info_strikeprice(AB39,"")</f>
        <v>3.6</v>
      </c>
      <c r="AE39" s="18" t="str">
        <f>[1]!w_info_lasttradingdate(AB39)</f>
        <v>2020-05-27</v>
      </c>
      <c r="AF39" s="15">
        <f>RTD("wdf.rtq",,$AB39,F$5)</f>
        <v>0.2127</v>
      </c>
      <c r="AG39" s="73">
        <f>RTD("wdf.rtq",,$AB39,G$5)</f>
        <v>1367</v>
      </c>
      <c r="AH39" s="15">
        <f>RTD("wdf.rtq",,$AB39,H$5)</f>
        <v>0.2092</v>
      </c>
      <c r="AI39" s="73">
        <f>RTD("wdf.rtq",,$AB39,I$5)</f>
        <v>1</v>
      </c>
      <c r="AJ39" s="15">
        <f>RTD("wdf.rtq",,$AB39,J$5)</f>
        <v>0.21630000000000002</v>
      </c>
      <c r="AK39" s="77">
        <f>RTD("wdf.rtq",,$AB39,K$5)</f>
        <v>1</v>
      </c>
      <c r="AL39" s="15">
        <f>[1]!s_dq_presettle(AB39,"")</f>
        <v>0.222</v>
      </c>
      <c r="AM39" s="15">
        <f t="shared" si="11"/>
        <v>0</v>
      </c>
      <c r="AN39" s="3">
        <f t="shared" si="12"/>
        <v>21270</v>
      </c>
      <c r="AO39" s="15">
        <f t="shared" si="73"/>
        <v>0.44531999999999999</v>
      </c>
      <c r="AP39" s="14">
        <f t="shared" si="14"/>
        <v>1.4889000000000001E-2</v>
      </c>
      <c r="AQ39" s="8">
        <f t="shared" si="76"/>
        <v>78962.409999999989</v>
      </c>
      <c r="AR39" s="78">
        <f ca="1">IF(NOW()-TODAY()&gt;15/24, AG39, [1]!s_dq_volume(AB39,AR$2,1))/AI$2</f>
        <v>495.8</v>
      </c>
      <c r="AS39" s="122">
        <f t="shared" si="74"/>
        <v>0.11100000000000021</v>
      </c>
      <c r="AT39" s="122">
        <f t="shared" si="75"/>
        <v>0.10169999999999979</v>
      </c>
      <c r="AV39" s="49">
        <f t="shared" ca="1" si="18"/>
        <v>1349.3009722776515</v>
      </c>
      <c r="AY39" s="10"/>
      <c r="AZ39" s="10"/>
      <c r="BA39" s="6">
        <f t="shared" ca="1" si="47"/>
        <v>-2638.3009722776515</v>
      </c>
      <c r="BB39" s="6">
        <f t="shared" ca="1" si="48"/>
        <v>-3258.3009722776551</v>
      </c>
      <c r="BC39" s="6">
        <f t="shared" ca="1" si="49"/>
        <v>-2108.3009722776515</v>
      </c>
      <c r="BD39" s="12">
        <f t="shared" ca="1" si="50"/>
        <v>-2048.3009722776515</v>
      </c>
      <c r="BE39" s="2">
        <f t="shared" ca="1" si="51"/>
        <v>-3.3577614714705578E-2</v>
      </c>
      <c r="BF39" s="2">
        <f t="shared" ca="1" si="52"/>
        <v>-4.1279215329994241E-2</v>
      </c>
      <c r="BG39" s="2">
        <f t="shared" ca="1" si="53"/>
        <v>-2.6945481560350749E-2</v>
      </c>
      <c r="BH39" s="13">
        <f t="shared" ca="1" si="54"/>
        <v>-2.6185335174530058E-2</v>
      </c>
      <c r="BI39" s="2">
        <f t="shared" ca="1" si="55"/>
        <v>-0.22283326128850064</v>
      </c>
      <c r="BJ39" s="2">
        <f t="shared" ca="1" si="56"/>
        <v>-0.27394388355359817</v>
      </c>
      <c r="BK39" s="2">
        <f t="shared" ca="1" si="57"/>
        <v>-0.17882001399141861</v>
      </c>
      <c r="BL39" s="56">
        <f t="shared" ca="1" si="58"/>
        <v>-0.17377540615824494</v>
      </c>
      <c r="BN39" s="6">
        <f t="shared" ca="1" si="59"/>
        <v>2480.3009722776515</v>
      </c>
      <c r="BO39" s="6">
        <f t="shared" ca="1" si="60"/>
        <v>1890.3009722776515</v>
      </c>
      <c r="BP39" s="6">
        <f t="shared" ca="1" si="61"/>
        <v>3040.3009722776551</v>
      </c>
      <c r="BQ39" s="12">
        <f t="shared" ca="1" si="62"/>
        <v>3100.3009722776551</v>
      </c>
      <c r="BR39" s="2">
        <f t="shared" ca="1" si="63"/>
        <v>2.5047875246397778E-2</v>
      </c>
      <c r="BS39" s="2">
        <f t="shared" ca="1" si="64"/>
        <v>1.9043472471378154E-2</v>
      </c>
      <c r="BT39" s="2">
        <f t="shared" ca="1" si="65"/>
        <v>3.0783983061956406E-2</v>
      </c>
      <c r="BU39" s="13">
        <f t="shared" ca="1" si="66"/>
        <v>3.1391507885213166E-2</v>
      </c>
      <c r="BV39" s="2">
        <f t="shared" ca="1" si="67"/>
        <v>0.16622680845336707</v>
      </c>
      <c r="BW39" s="2">
        <f t="shared" ca="1" si="68"/>
        <v>0.12637940821914592</v>
      </c>
      <c r="BX39" s="2">
        <f t="shared" ca="1" si="69"/>
        <v>0.2042937057748016</v>
      </c>
      <c r="BY39" s="13">
        <f t="shared" ca="1" si="70"/>
        <v>0.20832546142005101</v>
      </c>
      <c r="CB39" s="17" t="s">
        <v>331</v>
      </c>
      <c r="CC39" s="123" t="b">
        <f t="shared" si="78"/>
        <v>1</v>
      </c>
      <c r="CD39" s="17" t="s">
        <v>414</v>
      </c>
      <c r="CE39" s="138" t="str">
        <f>IF([1]!w_info_callput(CD39)="认购","C","P")</f>
        <v>C</v>
      </c>
      <c r="CF39" s="139">
        <f>[1]!w_info_strikeprice(CD39,"")</f>
        <v>3.6</v>
      </c>
      <c r="CG39" s="140" t="str">
        <f>[1]!w_info_lasttradingdate(CD39)</f>
        <v>2020-05-27</v>
      </c>
      <c r="CH39" s="55" t="str">
        <f t="shared" si="79"/>
        <v>IO2005-C-3600.CFE</v>
      </c>
      <c r="CI39" s="55" t="str">
        <f t="shared" si="80"/>
        <v>IO2005-C-3600.CFE</v>
      </c>
      <c r="CK39" s="17" t="s">
        <v>222</v>
      </c>
      <c r="CL39" s="17"/>
    </row>
    <row r="40" spans="1:90">
      <c r="A40" s="50" t="str">
        <f t="shared" si="46"/>
        <v>T</v>
      </c>
      <c r="B40" t="s">
        <v>278</v>
      </c>
      <c r="C40" s="29" t="str">
        <f t="shared" si="3"/>
        <v>C</v>
      </c>
      <c r="D40" s="125">
        <f>[1]!w_info_strikeprice(B40,"")</f>
        <v>3700</v>
      </c>
      <c r="E40" s="18" t="str">
        <f>[1]!w_info_lasttradingdate(B40)</f>
        <v>2020-05-15</v>
      </c>
      <c r="F40" s="4">
        <f>IF(G40&gt;0,RTD("wdf.rtq",,$B40,F$5),0)</f>
        <v>144.80000000000001</v>
      </c>
      <c r="G40" s="73">
        <f>RTD("wdf.rtq",,$B40,G$5)</f>
        <v>208</v>
      </c>
      <c r="H40" s="4">
        <f>RTD("wdf.rtq",,$B40,H$5)</f>
        <v>143.6</v>
      </c>
      <c r="I40" s="73">
        <f>RTD("wdf.rtq",,$B40,I$5)</f>
        <v>1</v>
      </c>
      <c r="J40" s="4">
        <f>RTD("wdf.rtq",,$B40,J$5)</f>
        <v>0</v>
      </c>
      <c r="K40" s="73">
        <f>RTD("wdf.rtq",,$B40,K$5)</f>
        <v>0</v>
      </c>
      <c r="L40" s="4">
        <f>[1]!s_dq_presettle(B40,"")</f>
        <v>152</v>
      </c>
      <c r="M40" s="6">
        <f t="shared" si="4"/>
        <v>0</v>
      </c>
      <c r="N40" s="3">
        <f t="shared" si="5"/>
        <v>14480.000000000002</v>
      </c>
      <c r="O40" s="6">
        <f t="shared" si="6"/>
        <v>37243.200000000004</v>
      </c>
      <c r="P40" s="3">
        <f t="shared" si="7"/>
        <v>18500</v>
      </c>
      <c r="Q40" s="6">
        <f t="shared" si="77"/>
        <v>51723.210000000006</v>
      </c>
      <c r="R40" s="75">
        <f ca="1">IF(NOW()-TODAY()&gt;15/24, G40, [1]!s_dq_volume(B40,R$2,1))/$I$2</f>
        <v>275</v>
      </c>
      <c r="S40" s="78">
        <f t="shared" si="71"/>
        <v>24.320000000000164</v>
      </c>
      <c r="T40" s="78">
        <f t="shared" si="72"/>
        <v>120.47999999999985</v>
      </c>
      <c r="AB40" s="17" t="s">
        <v>415</v>
      </c>
      <c r="AC40" s="29" t="str">
        <f>IF([1]!w_info_callput(AB40)="认购","C","P")</f>
        <v>C</v>
      </c>
      <c r="AD40" s="31">
        <f>[1]!w_info_strikeprice(AB40,"")</f>
        <v>3.7</v>
      </c>
      <c r="AE40" s="18" t="str">
        <f>[1]!w_info_lasttradingdate(AB40)</f>
        <v>2020-05-27</v>
      </c>
      <c r="AF40" s="15">
        <f>RTD("wdf.rtq",,$AB40,F$5)</f>
        <v>0.15810000000000002</v>
      </c>
      <c r="AG40" s="73">
        <f>RTD("wdf.rtq",,$AB40,G$5)</f>
        <v>5603</v>
      </c>
      <c r="AH40" s="15">
        <f>RTD("wdf.rtq",,$AB40,H$5)</f>
        <v>0.15590000000000001</v>
      </c>
      <c r="AI40" s="73">
        <f>RTD("wdf.rtq",,$AB40,I$5)</f>
        <v>5</v>
      </c>
      <c r="AJ40" s="15">
        <f>RTD("wdf.rtq",,$AB40,J$5)</f>
        <v>0.16209999999999999</v>
      </c>
      <c r="AK40" s="77">
        <f>RTD("wdf.rtq",,$AB40,K$5)</f>
        <v>3</v>
      </c>
      <c r="AL40" s="15">
        <f>[1]!s_dq_presettle(AB40,"")</f>
        <v>0.16500000000000001</v>
      </c>
      <c r="AM40" s="15">
        <f t="shared" si="11"/>
        <v>0</v>
      </c>
      <c r="AN40" s="3">
        <f t="shared" si="12"/>
        <v>15810.000000000002</v>
      </c>
      <c r="AO40" s="15">
        <f t="shared" si="73"/>
        <v>0.44531999999999999</v>
      </c>
      <c r="AP40" s="14">
        <f t="shared" si="14"/>
        <v>1.1067000000000002E-2</v>
      </c>
      <c r="AQ40" s="8">
        <f t="shared" si="76"/>
        <v>72410.41</v>
      </c>
      <c r="AR40" s="78">
        <f ca="1">IF(NOW()-TODAY()&gt;15/24, AG40, [1]!s_dq_volume(AB40,AR$2,1))/AI$2</f>
        <v>1343.1</v>
      </c>
      <c r="AS40" s="122">
        <f t="shared" si="74"/>
        <v>1.1000000000000121E-2</v>
      </c>
      <c r="AT40" s="122">
        <f t="shared" si="75"/>
        <v>0.1470999999999999</v>
      </c>
      <c r="AV40" s="49">
        <f t="shared" ca="1" si="18"/>
        <v>1349.3009722776605</v>
      </c>
      <c r="AY40" s="10"/>
      <c r="AZ40" s="10"/>
      <c r="BA40" s="6">
        <f t="shared" ca="1" si="47"/>
        <v>-2758.3009722776605</v>
      </c>
      <c r="BB40" s="6">
        <f t="shared" ca="1" si="48"/>
        <v>-3278.3009722776605</v>
      </c>
      <c r="BC40" s="6">
        <f t="shared" si="49"/>
        <v>0</v>
      </c>
      <c r="BD40" s="12">
        <f t="shared" si="50"/>
        <v>0</v>
      </c>
      <c r="BE40" s="2">
        <f t="shared" ca="1" si="51"/>
        <v>-4.0843623045278915E-2</v>
      </c>
      <c r="BF40" s="2">
        <f t="shared" ca="1" si="52"/>
        <v>-4.825770741994468E-2</v>
      </c>
      <c r="BG40" s="2">
        <f t="shared" si="53"/>
        <v>0</v>
      </c>
      <c r="BH40" s="13">
        <f t="shared" si="54"/>
        <v>0</v>
      </c>
      <c r="BI40" s="2">
        <f t="shared" ca="1" si="55"/>
        <v>-0.27105313475503279</v>
      </c>
      <c r="BJ40" s="2">
        <f t="shared" ca="1" si="56"/>
        <v>-0.32025569469599652</v>
      </c>
      <c r="BK40" s="2">
        <f t="shared" ca="1" si="57"/>
        <v>0</v>
      </c>
      <c r="BL40" s="56">
        <f t="shared" ca="1" si="58"/>
        <v>0</v>
      </c>
      <c r="BN40" s="6">
        <f t="shared" ca="1" si="59"/>
        <v>2600.3009722776605</v>
      </c>
      <c r="BO40" s="6">
        <f t="shared" si="60"/>
        <v>0</v>
      </c>
      <c r="BP40" s="6">
        <f t="shared" ca="1" si="61"/>
        <v>3060.3009722776605</v>
      </c>
      <c r="BQ40" s="12">
        <f t="shared" ca="1" si="62"/>
        <v>3120.3009722776605</v>
      </c>
      <c r="BR40" s="2">
        <f t="shared" ca="1" si="63"/>
        <v>2.9926213632524699E-2</v>
      </c>
      <c r="BS40" s="2">
        <f t="shared" si="64"/>
        <v>0</v>
      </c>
      <c r="BT40" s="2">
        <f t="shared" ca="1" si="65"/>
        <v>3.5268938649695068E-2</v>
      </c>
      <c r="BU40" s="13">
        <f t="shared" ca="1" si="66"/>
        <v>3.5960426743145049E-2</v>
      </c>
      <c r="BV40" s="2">
        <f t="shared" ca="1" si="67"/>
        <v>0.19860123592493664</v>
      </c>
      <c r="BW40" s="2">
        <f t="shared" ca="1" si="68"/>
        <v>0</v>
      </c>
      <c r="BX40" s="2">
        <f t="shared" ca="1" si="69"/>
        <v>0.23405750194797634</v>
      </c>
      <c r="BY40" s="13">
        <f t="shared" ca="1" si="70"/>
        <v>0.23864646838632625</v>
      </c>
      <c r="CB40" s="17" t="s">
        <v>65</v>
      </c>
      <c r="CC40" s="123" t="b">
        <f t="shared" si="78"/>
        <v>1</v>
      </c>
      <c r="CD40" s="17" t="s">
        <v>415</v>
      </c>
      <c r="CE40" s="138" t="str">
        <f>IF([1]!w_info_callput(CD40)="认购","C","P")</f>
        <v>C</v>
      </c>
      <c r="CF40" s="139">
        <f>[1]!w_info_strikeprice(CD40,"")</f>
        <v>3.7</v>
      </c>
      <c r="CG40" s="140" t="str">
        <f>[1]!w_info_lasttradingdate(CD40)</f>
        <v>2020-05-27</v>
      </c>
      <c r="CH40" s="55" t="str">
        <f t="shared" si="79"/>
        <v>IO2005-C-3700.CFE</v>
      </c>
      <c r="CI40" s="55" t="str">
        <f t="shared" si="80"/>
        <v>IO2005-C-3700.CFE</v>
      </c>
      <c r="CK40" s="17" t="s">
        <v>223</v>
      </c>
      <c r="CL40" s="17"/>
    </row>
    <row r="41" spans="1:90">
      <c r="A41" s="50" t="str">
        <f t="shared" si="46"/>
        <v>T</v>
      </c>
      <c r="B41" t="s">
        <v>280</v>
      </c>
      <c r="C41" s="29" t="str">
        <f t="shared" si="3"/>
        <v>C</v>
      </c>
      <c r="D41" s="125">
        <f>[1]!w_info_strikeprice(B41,"")</f>
        <v>3800</v>
      </c>
      <c r="E41" s="18" t="str">
        <f>[1]!w_info_lasttradingdate(B41)</f>
        <v>2020-05-15</v>
      </c>
      <c r="F41" s="4">
        <f>IF(G41&gt;0,RTD("wdf.rtq",,$B41,F$5),0)</f>
        <v>100</v>
      </c>
      <c r="G41" s="73">
        <f>RTD("wdf.rtq",,$B41,G$5)</f>
        <v>82</v>
      </c>
      <c r="H41" s="4">
        <f>RTD("wdf.rtq",,$B41,H$5)</f>
        <v>90.2</v>
      </c>
      <c r="I41" s="73">
        <f>RTD("wdf.rtq",,$B41,I$5)</f>
        <v>1</v>
      </c>
      <c r="J41" s="4">
        <f>RTD("wdf.rtq",,$B41,J$5)</f>
        <v>112.8</v>
      </c>
      <c r="K41" s="73">
        <f>RTD("wdf.rtq",,$B41,K$5)</f>
        <v>2</v>
      </c>
      <c r="L41" s="4">
        <f>[1]!s_dq_presettle(B41,"")</f>
        <v>106.6</v>
      </c>
      <c r="M41" s="6">
        <f t="shared" si="4"/>
        <v>75.679999999999836</v>
      </c>
      <c r="N41" s="3">
        <f t="shared" si="5"/>
        <v>10000</v>
      </c>
      <c r="O41" s="6">
        <f t="shared" si="6"/>
        <v>29675.200000000019</v>
      </c>
      <c r="P41" s="3">
        <f t="shared" si="7"/>
        <v>19000</v>
      </c>
      <c r="Q41" s="6">
        <f t="shared" si="77"/>
        <v>39675.210000000021</v>
      </c>
      <c r="R41" s="75">
        <f ca="1">IF(NOW()-TODAY()&gt;15/24, G41, [1]!s_dq_volume(B41,R$2,1))/$I$2</f>
        <v>228</v>
      </c>
      <c r="S41" s="78">
        <f t="shared" si="71"/>
        <v>0</v>
      </c>
      <c r="T41" s="78">
        <f t="shared" si="72"/>
        <v>100</v>
      </c>
      <c r="AB41" s="17" t="s">
        <v>416</v>
      </c>
      <c r="AC41" s="29" t="str">
        <f>IF([1]!w_info_callput(AB41)="认购","C","P")</f>
        <v>C</v>
      </c>
      <c r="AD41" s="31">
        <f>[1]!w_info_strikeprice(AB41,"")</f>
        <v>3.8</v>
      </c>
      <c r="AE41" s="18" t="str">
        <f>[1]!w_info_lasttradingdate(AB41)</f>
        <v>2020-05-27</v>
      </c>
      <c r="AF41" s="15">
        <f>RTD("wdf.rtq",,$AB41,F$5)</f>
        <v>0.11180000000000001</v>
      </c>
      <c r="AG41" s="73">
        <f>RTD("wdf.rtq",,$AB41,G$5)</f>
        <v>4070</v>
      </c>
      <c r="AH41" s="15">
        <f>RTD("wdf.rtq",,$AB41,H$5)</f>
        <v>0.1111</v>
      </c>
      <c r="AI41" s="73">
        <f>RTD("wdf.rtq",,$AB41,I$5)</f>
        <v>5</v>
      </c>
      <c r="AJ41" s="15">
        <f>RTD("wdf.rtq",,$AB41,J$5)</f>
        <v>0.11750000000000001</v>
      </c>
      <c r="AK41" s="77">
        <f>RTD("wdf.rtq",,$AB41,K$5)</f>
        <v>47</v>
      </c>
      <c r="AL41" s="15">
        <f>[1]!s_dq_presettle(AB41,"")</f>
        <v>0.12</v>
      </c>
      <c r="AM41" s="15">
        <f t="shared" si="11"/>
        <v>8.8999999999999524E-2</v>
      </c>
      <c r="AN41" s="3">
        <f t="shared" si="12"/>
        <v>11180.000000000002</v>
      </c>
      <c r="AO41" s="15">
        <f t="shared" si="73"/>
        <v>0.35632000000000047</v>
      </c>
      <c r="AP41" s="14">
        <f t="shared" si="14"/>
        <v>7.8260000000000014E-3</v>
      </c>
      <c r="AQ41" s="8">
        <f t="shared" si="76"/>
        <v>56174.410000000062</v>
      </c>
      <c r="AR41" s="78">
        <f ca="1">IF(NOW()-TODAY()&gt;15/24, AG41, [1]!s_dq_volume(AB41,AR$2,1))/AI$2</f>
        <v>892.6</v>
      </c>
      <c r="AS41" s="122">
        <f t="shared" si="74"/>
        <v>0</v>
      </c>
      <c r="AT41" s="122">
        <f t="shared" si="75"/>
        <v>0.11180000000000001</v>
      </c>
      <c r="AV41" s="49">
        <f t="shared" ca="1" si="18"/>
        <v>0</v>
      </c>
      <c r="AY41" s="10"/>
      <c r="AZ41" s="10"/>
      <c r="BA41" s="6">
        <f t="shared" ca="1" si="47"/>
        <v>-1259.0000000000018</v>
      </c>
      <c r="BB41" s="6">
        <f t="shared" ca="1" si="48"/>
        <v>-2809</v>
      </c>
      <c r="BC41" s="6">
        <f t="shared" ca="1" si="49"/>
        <v>31</v>
      </c>
      <c r="BD41" s="12">
        <f t="shared" ca="1" si="50"/>
        <v>91</v>
      </c>
      <c r="BE41" s="2">
        <f t="shared" ca="1" si="51"/>
        <v>-2.4756558865846809E-2</v>
      </c>
      <c r="BF41" s="2">
        <f t="shared" ca="1" si="52"/>
        <v>-5.462301466537519E-2</v>
      </c>
      <c r="BG41" s="2">
        <f t="shared" ca="1" si="53"/>
        <v>6.1017364164029611E-4</v>
      </c>
      <c r="BH41" s="13">
        <f t="shared" ca="1" si="54"/>
        <v>1.7918602679795942E-3</v>
      </c>
      <c r="BI41" s="2">
        <f t="shared" ca="1" si="55"/>
        <v>-0.16429352701880157</v>
      </c>
      <c r="BJ41" s="2">
        <f t="shared" ca="1" si="56"/>
        <v>-0.36249818823385349</v>
      </c>
      <c r="BK41" s="2">
        <f t="shared" ca="1" si="57"/>
        <v>4.0493341672492378E-3</v>
      </c>
      <c r="BL41" s="56">
        <f t="shared" ca="1" si="58"/>
        <v>1.1891436323864579E-2</v>
      </c>
      <c r="BN41" s="6">
        <f t="shared" ca="1" si="59"/>
        <v>1101.0000000000018</v>
      </c>
      <c r="BO41" s="6">
        <f t="shared" ca="1" si="60"/>
        <v>-249</v>
      </c>
      <c r="BP41" s="6">
        <f t="shared" ca="1" si="61"/>
        <v>2591</v>
      </c>
      <c r="BQ41" s="12">
        <f t="shared" ca="1" si="62"/>
        <v>2651</v>
      </c>
      <c r="BR41" s="2">
        <f t="shared" ca="1" si="63"/>
        <v>1.6637851399052907E-2</v>
      </c>
      <c r="BS41" s="2">
        <f t="shared" ca="1" si="64"/>
        <v>-3.6913820756863751E-3</v>
      </c>
      <c r="BT41" s="2">
        <f t="shared" ca="1" si="65"/>
        <v>3.9742658997095261E-2</v>
      </c>
      <c r="BU41" s="13">
        <f t="shared" ca="1" si="66"/>
        <v>4.066299549301846E-2</v>
      </c>
      <c r="BV41" s="2">
        <f t="shared" ca="1" si="67"/>
        <v>0.11041483201189657</v>
      </c>
      <c r="BW41" s="2">
        <f t="shared" ca="1" si="68"/>
        <v>-2.449735377500958E-2</v>
      </c>
      <c r="BX41" s="2">
        <f t="shared" ca="1" si="69"/>
        <v>0.2637467369807231</v>
      </c>
      <c r="BY41" s="13">
        <f t="shared" ca="1" si="70"/>
        <v>0.26985442463548615</v>
      </c>
      <c r="CB41" s="17" t="s">
        <v>66</v>
      </c>
      <c r="CC41" s="123" t="b">
        <f t="shared" si="78"/>
        <v>1</v>
      </c>
      <c r="CD41" s="17" t="s">
        <v>416</v>
      </c>
      <c r="CE41" s="138" t="str">
        <f>IF([1]!w_info_callput(CD41)="认购","C","P")</f>
        <v>C</v>
      </c>
      <c r="CF41" s="139">
        <f>[1]!w_info_strikeprice(CD41,"")</f>
        <v>3.8</v>
      </c>
      <c r="CG41" s="140" t="str">
        <f>[1]!w_info_lasttradingdate(CD41)</f>
        <v>2020-05-27</v>
      </c>
      <c r="CH41" s="55" t="str">
        <f t="shared" si="79"/>
        <v>IO2005-C-3800.CFE</v>
      </c>
      <c r="CI41" s="55" t="str">
        <f t="shared" si="80"/>
        <v>IO2005-C-3800.CFE</v>
      </c>
      <c r="CK41" s="17" t="s">
        <v>224</v>
      </c>
      <c r="CL41" s="17"/>
    </row>
    <row r="42" spans="1:90">
      <c r="A42" s="50" t="str">
        <f t="shared" si="46"/>
        <v>T</v>
      </c>
      <c r="B42" t="s">
        <v>282</v>
      </c>
      <c r="C42" s="29" t="str">
        <f t="shared" si="3"/>
        <v>C</v>
      </c>
      <c r="D42" s="125">
        <f>[1]!w_info_strikeprice(B42,"")</f>
        <v>3900</v>
      </c>
      <c r="E42" s="18" t="str">
        <f>[1]!w_info_lasttradingdate(B42)</f>
        <v>2020-05-15</v>
      </c>
      <c r="F42" s="4">
        <f>IF(G42&gt;0,RTD("wdf.rtq",,$B42,F$5),0)</f>
        <v>68.8</v>
      </c>
      <c r="G42" s="73">
        <f>RTD("wdf.rtq",,$B42,G$5)</f>
        <v>98</v>
      </c>
      <c r="H42" s="4">
        <f>RTD("wdf.rtq",,$B42,H$5)</f>
        <v>68</v>
      </c>
      <c r="I42" s="73">
        <f>RTD("wdf.rtq",,$B42,I$5)</f>
        <v>1</v>
      </c>
      <c r="J42" s="4">
        <f>RTD("wdf.rtq",,$B42,J$5)</f>
        <v>71</v>
      </c>
      <c r="K42" s="73">
        <f>RTD("wdf.rtq",,$B42,K$5)</f>
        <v>6</v>
      </c>
      <c r="L42" s="4">
        <f>[1]!s_dq_presettle(B42,"")</f>
        <v>71</v>
      </c>
      <c r="M42" s="6">
        <f t="shared" si="4"/>
        <v>175.67999999999984</v>
      </c>
      <c r="N42" s="3">
        <f t="shared" si="5"/>
        <v>6880</v>
      </c>
      <c r="O42" s="6">
        <f t="shared" si="6"/>
        <v>19675.200000000019</v>
      </c>
      <c r="P42" s="3">
        <f t="shared" si="7"/>
        <v>19500</v>
      </c>
      <c r="Q42" s="6">
        <f t="shared" si="77"/>
        <v>26555.210000000017</v>
      </c>
      <c r="R42" s="75">
        <f ca="1">IF(NOW()-TODAY()&gt;15/24, G42, [1]!s_dq_volume(B42,R$2,1))/$I$2</f>
        <v>217</v>
      </c>
      <c r="S42" s="78">
        <f t="shared" si="71"/>
        <v>0</v>
      </c>
      <c r="T42" s="78">
        <f t="shared" si="72"/>
        <v>68.8</v>
      </c>
      <c r="AB42" s="17" t="s">
        <v>417</v>
      </c>
      <c r="AC42" s="29" t="str">
        <f>IF([1]!w_info_callput(AB42)="认购","C","P")</f>
        <v>C</v>
      </c>
      <c r="AD42" s="31">
        <f>[1]!w_info_strikeprice(AB42,"")</f>
        <v>3.9</v>
      </c>
      <c r="AE42" s="18" t="str">
        <f>[1]!w_info_lasttradingdate(AB42)</f>
        <v>2020-05-27</v>
      </c>
      <c r="AF42" s="15">
        <f>RTD("wdf.rtq",,$AB42,F$5)</f>
        <v>8.0399999999999999E-2</v>
      </c>
      <c r="AG42" s="73">
        <f>RTD("wdf.rtq",,$AB42,G$5)</f>
        <v>3770</v>
      </c>
      <c r="AH42" s="15">
        <f>RTD("wdf.rtq",,$AB42,H$5)</f>
        <v>7.8300000000000008E-2</v>
      </c>
      <c r="AI42" s="73">
        <f>RTD("wdf.rtq",,$AB42,I$5)</f>
        <v>2</v>
      </c>
      <c r="AJ42" s="15">
        <f>RTD("wdf.rtq",,$AB42,J$5)</f>
        <v>8.0800000000000011E-2</v>
      </c>
      <c r="AK42" s="77">
        <f>RTD("wdf.rtq",,$AB42,K$5)</f>
        <v>1</v>
      </c>
      <c r="AL42" s="15">
        <f>[1]!s_dq_presettle(AB42,"")</f>
        <v>8.2900000000000001E-2</v>
      </c>
      <c r="AM42" s="15">
        <f t="shared" si="11"/>
        <v>0.18899999999999961</v>
      </c>
      <c r="AN42" s="3">
        <f t="shared" si="12"/>
        <v>8040</v>
      </c>
      <c r="AO42" s="15">
        <f t="shared" si="73"/>
        <v>0.25632000000000038</v>
      </c>
      <c r="AP42" s="14">
        <f t="shared" si="14"/>
        <v>5.6280000000000002E-3</v>
      </c>
      <c r="AQ42" s="8">
        <f t="shared" si="76"/>
        <v>40406.410000000047</v>
      </c>
      <c r="AR42" s="78">
        <f ca="1">IF(NOW()-TODAY()&gt;15/24, AG42, [1]!s_dq_volume(AB42,AR$2,1))/AI$2</f>
        <v>933.7</v>
      </c>
      <c r="AS42" s="122">
        <f t="shared" si="74"/>
        <v>0</v>
      </c>
      <c r="AT42" s="122">
        <f t="shared" si="75"/>
        <v>8.0399999999999999E-2</v>
      </c>
      <c r="AV42" s="49">
        <f t="shared" ca="1" si="18"/>
        <v>0</v>
      </c>
      <c r="AY42" s="10"/>
      <c r="AZ42" s="10"/>
      <c r="BA42" s="6">
        <f t="shared" ca="1" si="47"/>
        <v>-1239</v>
      </c>
      <c r="BB42" s="6">
        <f t="shared" ca="1" si="48"/>
        <v>-1359.0000000000009</v>
      </c>
      <c r="BC42" s="6">
        <f t="shared" ca="1" si="49"/>
        <v>-869.00000000000091</v>
      </c>
      <c r="BD42" s="12">
        <f t="shared" ca="1" si="50"/>
        <v>-809.00000000000091</v>
      </c>
      <c r="BE42" s="2">
        <f t="shared" ca="1" si="51"/>
        <v>-3.5814206648839511E-2</v>
      </c>
      <c r="BF42" s="2">
        <f t="shared" ca="1" si="52"/>
        <v>-3.9237527360163262E-2</v>
      </c>
      <c r="BG42" s="2">
        <f t="shared" ca="1" si="53"/>
        <v>-2.5257802524675781E-2</v>
      </c>
      <c r="BH42" s="13">
        <f t="shared" ca="1" si="54"/>
        <v>-2.3527557342241052E-2</v>
      </c>
      <c r="BI42" s="2">
        <f t="shared" ca="1" si="55"/>
        <v>-0.23767609866957132</v>
      </c>
      <c r="BJ42" s="2">
        <f t="shared" ca="1" si="56"/>
        <v>-0.26039449975381074</v>
      </c>
      <c r="BK42" s="2">
        <f t="shared" ca="1" si="57"/>
        <v>-0.16761996220921202</v>
      </c>
      <c r="BL42" s="56">
        <f t="shared" ca="1" si="58"/>
        <v>-0.1561374259985088</v>
      </c>
      <c r="BN42" s="6">
        <f t="shared" ca="1" si="59"/>
        <v>1081</v>
      </c>
      <c r="BO42" s="6">
        <f t="shared" ca="1" si="60"/>
        <v>651.00000000000091</v>
      </c>
      <c r="BP42" s="6">
        <f t="shared" ca="1" si="61"/>
        <v>1141.0000000000009</v>
      </c>
      <c r="BQ42" s="12">
        <f t="shared" ca="1" si="62"/>
        <v>1201.0000000000009</v>
      </c>
      <c r="BR42" s="2">
        <f t="shared" ca="1" si="63"/>
        <v>2.2860690841195155E-2</v>
      </c>
      <c r="BS42" s="2">
        <f t="shared" ca="1" si="64"/>
        <v>1.370341391824809E-2</v>
      </c>
      <c r="BT42" s="2">
        <f t="shared" ca="1" si="65"/>
        <v>2.4170436103725695E-2</v>
      </c>
      <c r="BU42" s="13">
        <f t="shared" ca="1" si="66"/>
        <v>2.5441460174582216E-2</v>
      </c>
      <c r="BV42" s="2">
        <f t="shared" ca="1" si="67"/>
        <v>0.15171185740065876</v>
      </c>
      <c r="BW42" s="2">
        <f t="shared" ca="1" si="68"/>
        <v>9.0940837821100962E-2</v>
      </c>
      <c r="BX42" s="2">
        <f t="shared" ca="1" si="69"/>
        <v>0.16040380323381598</v>
      </c>
      <c r="BY42" s="13">
        <f t="shared" ca="1" si="70"/>
        <v>0.16883878115859105</v>
      </c>
      <c r="CB42" s="17" t="s">
        <v>67</v>
      </c>
      <c r="CC42" s="123" t="b">
        <f t="shared" si="78"/>
        <v>1</v>
      </c>
      <c r="CD42" s="17" t="s">
        <v>417</v>
      </c>
      <c r="CE42" s="138" t="str">
        <f>IF([1]!w_info_callput(CD42)="认购","C","P")</f>
        <v>C</v>
      </c>
      <c r="CF42" s="139">
        <f>[1]!w_info_strikeprice(CD42,"")</f>
        <v>3.9</v>
      </c>
      <c r="CG42" s="140" t="str">
        <f>[1]!w_info_lasttradingdate(CD42)</f>
        <v>2020-05-27</v>
      </c>
      <c r="CH42" s="55" t="str">
        <f t="shared" si="79"/>
        <v>IO2005-C-3900.CFE</v>
      </c>
      <c r="CI42" s="55" t="str">
        <f t="shared" si="80"/>
        <v>IO2005-C-3900.CFE</v>
      </c>
      <c r="CK42" s="17" t="s">
        <v>225</v>
      </c>
      <c r="CL42" s="17"/>
    </row>
    <row r="43" spans="1:90">
      <c r="A43" s="50" t="str">
        <f t="shared" si="46"/>
        <v>T</v>
      </c>
      <c r="B43" t="s">
        <v>284</v>
      </c>
      <c r="C43" s="29" t="str">
        <f t="shared" si="3"/>
        <v>C</v>
      </c>
      <c r="D43" s="125">
        <f>[1]!w_info_strikeprice(B43,"")</f>
        <v>4000</v>
      </c>
      <c r="E43" s="18" t="str">
        <f>[1]!w_info_lasttradingdate(B43)</f>
        <v>2020-05-15</v>
      </c>
      <c r="F43" s="4">
        <f>IF(G43&gt;0,RTD("wdf.rtq",,$B43,F$5),0)</f>
        <v>44.800000000000004</v>
      </c>
      <c r="G43" s="73">
        <f>RTD("wdf.rtq",,$B43,G$5)</f>
        <v>157</v>
      </c>
      <c r="H43" s="4">
        <f>RTD("wdf.rtq",,$B43,H$5)</f>
        <v>42</v>
      </c>
      <c r="I43" s="73">
        <f>RTD("wdf.rtq",,$B43,I$5)</f>
        <v>1</v>
      </c>
      <c r="J43" s="4">
        <f>RTD("wdf.rtq",,$B43,J$5)</f>
        <v>47.4</v>
      </c>
      <c r="K43" s="73">
        <f>RTD("wdf.rtq",,$B43,K$5)</f>
        <v>1</v>
      </c>
      <c r="L43" s="4">
        <f>[1]!s_dq_presettle(B43,"")</f>
        <v>47.2</v>
      </c>
      <c r="M43" s="6">
        <f t="shared" si="4"/>
        <v>275.67999999999984</v>
      </c>
      <c r="N43" s="3">
        <f t="shared" si="5"/>
        <v>4480</v>
      </c>
      <c r="O43" s="6">
        <f t="shared" si="6"/>
        <v>9675.2000000000189</v>
      </c>
      <c r="P43" s="3">
        <f t="shared" si="7"/>
        <v>20000</v>
      </c>
      <c r="Q43" s="6">
        <f t="shared" si="77"/>
        <v>24480.01</v>
      </c>
      <c r="R43" s="75">
        <f ca="1">IF(NOW()-TODAY()&gt;15/24, G43, [1]!s_dq_volume(B43,R$2,1))/$I$2</f>
        <v>297</v>
      </c>
      <c r="S43" s="78">
        <f t="shared" si="71"/>
        <v>0</v>
      </c>
      <c r="T43" s="78">
        <f t="shared" si="72"/>
        <v>44.800000000000004</v>
      </c>
      <c r="AB43" s="17" t="s">
        <v>418</v>
      </c>
      <c r="AC43" s="29" t="str">
        <f>IF([1]!w_info_callput(AB43)="认购","C","P")</f>
        <v>C</v>
      </c>
      <c r="AD43" s="31">
        <f>[1]!w_info_strikeprice(AB43,"")</f>
        <v>4</v>
      </c>
      <c r="AE43" s="18" t="str">
        <f>[1]!w_info_lasttradingdate(AB43)</f>
        <v>2020-05-27</v>
      </c>
      <c r="AF43" s="15">
        <f>RTD("wdf.rtq",,$AB43,F$5)</f>
        <v>5.5200000000000006E-2</v>
      </c>
      <c r="AG43" s="73">
        <f>RTD("wdf.rtq",,$AB43,G$5)</f>
        <v>2914</v>
      </c>
      <c r="AH43" s="15">
        <f>RTD("wdf.rtq",,$AB43,H$5)</f>
        <v>5.4600000000000003E-2</v>
      </c>
      <c r="AI43" s="73">
        <f>RTD("wdf.rtq",,$AB43,I$5)</f>
        <v>177</v>
      </c>
      <c r="AJ43" s="15">
        <f>RTD("wdf.rtq",,$AB43,J$5)</f>
        <v>5.6300000000000003E-2</v>
      </c>
      <c r="AK43" s="77">
        <f>RTD("wdf.rtq",,$AB43,K$5)</f>
        <v>2</v>
      </c>
      <c r="AL43" s="15">
        <f>[1]!s_dq_presettle(AB43,"")</f>
        <v>5.6899999999999999E-2</v>
      </c>
      <c r="AM43" s="15">
        <f t="shared" si="11"/>
        <v>0.2889999999999997</v>
      </c>
      <c r="AN43" s="3">
        <f t="shared" si="12"/>
        <v>5520.0000000000009</v>
      </c>
      <c r="AO43" s="15">
        <f t="shared" si="73"/>
        <v>0.15632000000000029</v>
      </c>
      <c r="AP43" s="14">
        <f t="shared" si="14"/>
        <v>3.8640000000000007E-3</v>
      </c>
      <c r="AQ43" s="8">
        <f t="shared" si="76"/>
        <v>25382.410000000033</v>
      </c>
      <c r="AR43" s="78">
        <f ca="1">IF(NOW()-TODAY()&gt;15/24, AG43, [1]!s_dq_volume(AB43,AR$2,1))/AI$2</f>
        <v>634.79999999999995</v>
      </c>
      <c r="AS43" s="122">
        <f t="shared" si="74"/>
        <v>0</v>
      </c>
      <c r="AT43" s="122">
        <f t="shared" si="75"/>
        <v>5.5200000000000006E-2</v>
      </c>
      <c r="AV43" s="49">
        <f t="shared" ref="AV43:AV81" ca="1" si="81">IF(AV$3=1,S43*$H$2*$I$2 - IF(AC43="C",MAX($AF$3-AD43,0),MAX(AD43-$AF$3,0))*$AH$2*$AI$2, AV$3*SIGN(S43*$H$2*$I$2 - IF(AC43="C",MAX($AF$3-AD43,0),MAX(AD43-$AF$3,0))*$AH$2*$AI$2))</f>
        <v>0</v>
      </c>
      <c r="AY43" s="10"/>
      <c r="AZ43" s="10"/>
      <c r="BA43" s="6">
        <f t="shared" ca="1" si="47"/>
        <v>-1119.0000000000009</v>
      </c>
      <c r="BB43" s="6">
        <f t="shared" ca="1" si="48"/>
        <v>-1509</v>
      </c>
      <c r="BC43" s="6">
        <f t="shared" ca="1" si="49"/>
        <v>-859</v>
      </c>
      <c r="BD43" s="12">
        <f t="shared" ca="1" si="50"/>
        <v>-799</v>
      </c>
      <c r="BE43" s="2">
        <f t="shared" ca="1" si="51"/>
        <v>-3.7299987566670842E-2</v>
      </c>
      <c r="BF43" s="2">
        <f t="shared" ca="1" si="52"/>
        <v>-5.0116223807298639E-2</v>
      </c>
      <c r="BG43" s="2">
        <f t="shared" ca="1" si="53"/>
        <v>-2.8671552512832942E-2</v>
      </c>
      <c r="BH43" s="13">
        <f t="shared" ca="1" si="54"/>
        <v>-2.6686697833434258E-2</v>
      </c>
      <c r="BI43" s="2">
        <f t="shared" ca="1" si="55"/>
        <v>-0.24753628112427015</v>
      </c>
      <c r="BJ43" s="2">
        <f t="shared" ca="1" si="56"/>
        <v>-0.33258948526661825</v>
      </c>
      <c r="BK43" s="2">
        <f t="shared" ca="1" si="57"/>
        <v>-0.19027484849425497</v>
      </c>
      <c r="BL43" s="56">
        <f t="shared" ca="1" si="58"/>
        <v>-0.17710263107642735</v>
      </c>
      <c r="BN43" s="6">
        <f t="shared" ca="1" si="59"/>
        <v>961.00000000000091</v>
      </c>
      <c r="BO43" s="127">
        <f t="shared" ca="1" si="60"/>
        <v>641</v>
      </c>
      <c r="BP43" s="6">
        <f t="shared" ca="1" si="61"/>
        <v>1291</v>
      </c>
      <c r="BQ43" s="12">
        <f t="shared" ca="1" si="62"/>
        <v>1351</v>
      </c>
      <c r="BR43" s="2">
        <f t="shared" ca="1" si="63"/>
        <v>3.2180925785963016E-2</v>
      </c>
      <c r="BS43" s="2">
        <f t="shared" ca="1" si="64"/>
        <v>2.1279837835020483E-2</v>
      </c>
      <c r="BT43" s="2">
        <f t="shared" ca="1" si="65"/>
        <v>4.3640769199825659E-2</v>
      </c>
      <c r="BU43" s="13">
        <f t="shared" ca="1" si="66"/>
        <v>4.5669031022151287E-2</v>
      </c>
      <c r="BV43" s="2">
        <f t="shared" ca="1" si="67"/>
        <v>0.21356432567048184</v>
      </c>
      <c r="BW43" s="2">
        <f t="shared" ca="1" si="68"/>
        <v>0.14122074199604501</v>
      </c>
      <c r="BX43" s="2">
        <f t="shared" ca="1" si="69"/>
        <v>0.28961601378066121</v>
      </c>
      <c r="BY43" s="13">
        <f t="shared" ca="1" si="70"/>
        <v>0.30307629678336762</v>
      </c>
      <c r="BZ43">
        <v>821</v>
      </c>
      <c r="CB43" s="17" t="s">
        <v>68</v>
      </c>
      <c r="CC43" s="123" t="b">
        <f t="shared" si="78"/>
        <v>1</v>
      </c>
      <c r="CD43" s="17" t="s">
        <v>418</v>
      </c>
      <c r="CE43" s="138" t="str">
        <f>IF([1]!w_info_callput(CD43)="认购","C","P")</f>
        <v>C</v>
      </c>
      <c r="CF43" s="139">
        <f>[1]!w_info_strikeprice(CD43,"")</f>
        <v>4</v>
      </c>
      <c r="CG43" s="140" t="str">
        <f>[1]!w_info_lasttradingdate(CD43)</f>
        <v>2020-05-27</v>
      </c>
      <c r="CH43" s="55" t="str">
        <f t="shared" si="79"/>
        <v>IO2005-C-4000.CFE</v>
      </c>
      <c r="CI43" s="55" t="str">
        <f t="shared" si="80"/>
        <v>IO2005-C-4000.CFE</v>
      </c>
      <c r="CK43" s="17" t="s">
        <v>226</v>
      </c>
      <c r="CL43" s="17"/>
    </row>
    <row r="44" spans="1:90">
      <c r="A44" s="50" t="str">
        <f t="shared" si="46"/>
        <v>T</v>
      </c>
      <c r="B44" t="s">
        <v>286</v>
      </c>
      <c r="C44" s="29" t="str">
        <f t="shared" si="3"/>
        <v>C</v>
      </c>
      <c r="D44" s="125">
        <f>[1]!w_info_strikeprice(B44,"")</f>
        <v>4100</v>
      </c>
      <c r="E44" s="18" t="str">
        <f>[1]!w_info_lasttradingdate(B44)</f>
        <v>2020-05-15</v>
      </c>
      <c r="F44" s="4">
        <f>IF(G44&gt;0,RTD("wdf.rtq",,$B44,F$5),0)</f>
        <v>30.2</v>
      </c>
      <c r="G44" s="73">
        <f>RTD("wdf.rtq",,$B44,G$5)</f>
        <v>43</v>
      </c>
      <c r="H44" s="4">
        <f>RTD("wdf.rtq",,$B44,H$5)</f>
        <v>3</v>
      </c>
      <c r="I44" s="73">
        <f>RTD("wdf.rtq",,$B44,I$5)</f>
        <v>1</v>
      </c>
      <c r="J44" s="4">
        <f>RTD("wdf.rtq",,$B44,J$5)</f>
        <v>387.8</v>
      </c>
      <c r="K44" s="73">
        <f>RTD("wdf.rtq",,$B44,K$5)</f>
        <v>1</v>
      </c>
      <c r="L44" s="4">
        <f>[1]!s_dq_presettle(B44,"")</f>
        <v>30.6</v>
      </c>
      <c r="M44" s="6">
        <f t="shared" si="4"/>
        <v>375.67999999999984</v>
      </c>
      <c r="N44" s="3">
        <f t="shared" si="5"/>
        <v>3020</v>
      </c>
      <c r="O44" s="6">
        <f t="shared" si="6"/>
        <v>-324.79999999998199</v>
      </c>
      <c r="P44" s="3">
        <f t="shared" si="7"/>
        <v>20500</v>
      </c>
      <c r="Q44" s="6">
        <f t="shared" si="77"/>
        <v>23520.01</v>
      </c>
      <c r="R44" s="75">
        <f ca="1">IF(NOW()-TODAY()&gt;15/24, G44, [1]!s_dq_volume(B44,R$2,1))/$I$2</f>
        <v>169</v>
      </c>
      <c r="S44" s="78">
        <f t="shared" si="71"/>
        <v>0</v>
      </c>
      <c r="T44" s="78">
        <f t="shared" si="72"/>
        <v>30.2</v>
      </c>
      <c r="AB44" s="17" t="s">
        <v>419</v>
      </c>
      <c r="AC44" s="29" t="str">
        <f>IF([1]!w_info_callput(AB44)="认购","C","P")</f>
        <v>C</v>
      </c>
      <c r="AD44" s="31">
        <f>[1]!w_info_strikeprice(AB44,"")</f>
        <v>4.0999999999999996</v>
      </c>
      <c r="AE44" s="18" t="str">
        <f>[1]!w_info_lasttradingdate(AB44)</f>
        <v>2020-05-27</v>
      </c>
      <c r="AF44" s="15">
        <f>RTD("wdf.rtq",,$AB44,F$5)</f>
        <v>3.6700000000000003E-2</v>
      </c>
      <c r="AG44" s="73">
        <f>RTD("wdf.rtq",,$AB44,G$5)</f>
        <v>2982</v>
      </c>
      <c r="AH44" s="15">
        <f>RTD("wdf.rtq",,$AB44,H$5)</f>
        <v>3.6700000000000003E-2</v>
      </c>
      <c r="AI44" s="73">
        <f>RTD("wdf.rtq",,$AB44,I$5)</f>
        <v>9</v>
      </c>
      <c r="AJ44" s="15">
        <f>RTD("wdf.rtq",,$AB44,J$5)</f>
        <v>3.7999999999999999E-2</v>
      </c>
      <c r="AK44" s="77">
        <f>RTD("wdf.rtq",,$AB44,K$5)</f>
        <v>1</v>
      </c>
      <c r="AL44" s="15">
        <f>[1]!s_dq_presettle(AB44,"")</f>
        <v>3.7999999999999999E-2</v>
      </c>
      <c r="AM44" s="15">
        <f t="shared" si="11"/>
        <v>0.38899999999999935</v>
      </c>
      <c r="AN44" s="3">
        <f t="shared" si="12"/>
        <v>3670.0000000000005</v>
      </c>
      <c r="AO44" s="15">
        <f t="shared" si="73"/>
        <v>5.6320000000000647E-2</v>
      </c>
      <c r="AP44" s="14">
        <f t="shared" si="14"/>
        <v>2.5690000000000005E-3</v>
      </c>
      <c r="AQ44" s="8">
        <f t="shared" si="76"/>
        <v>11162.410000000078</v>
      </c>
      <c r="AR44" s="78">
        <f ca="1">IF(NOW()-TODAY()&gt;15/24, AG44, [1]!s_dq_volume(AB44,AR$2,1))/AI$2</f>
        <v>1007.8</v>
      </c>
      <c r="AS44" s="122">
        <f t="shared" si="74"/>
        <v>0</v>
      </c>
      <c r="AT44" s="122">
        <f t="shared" si="75"/>
        <v>3.6700000000000003E-2</v>
      </c>
      <c r="AV44" s="49">
        <f t="shared" ca="1" si="81"/>
        <v>0</v>
      </c>
      <c r="AY44" s="10"/>
      <c r="AZ44" s="10"/>
      <c r="BA44" s="6">
        <f t="shared" ca="1" si="47"/>
        <v>-729.00000000000045</v>
      </c>
      <c r="BB44" s="6">
        <f t="shared" ca="1" si="48"/>
        <v>-3579</v>
      </c>
      <c r="BC44" s="6">
        <f t="shared" ca="1" si="49"/>
        <v>34971</v>
      </c>
      <c r="BD44" s="12">
        <f t="shared" ca="1" si="50"/>
        <v>35031</v>
      </c>
      <c r="BE44" s="2">
        <f t="shared" ca="1" si="51"/>
        <v>-2.6811317833277754E-2</v>
      </c>
      <c r="BF44" s="2">
        <f t="shared" ca="1" si="52"/>
        <v>-0.13100288030641277</v>
      </c>
      <c r="BG44" s="2">
        <f t="shared" ca="1" si="53"/>
        <v>1.2852255475099055</v>
      </c>
      <c r="BH44" s="13">
        <f t="shared" ca="1" si="54"/>
        <v>1.2883776063340913</v>
      </c>
      <c r="BI44" s="2">
        <f t="shared" ca="1" si="55"/>
        <v>-0.17792965471175237</v>
      </c>
      <c r="BJ44" s="2">
        <f t="shared" ca="1" si="56"/>
        <v>-0.86938275112437569</v>
      </c>
      <c r="BK44" s="2">
        <f t="shared" ca="1" si="57"/>
        <v>8.5292240880202819</v>
      </c>
      <c r="BL44" s="56">
        <f t="shared" ca="1" si="58"/>
        <v>8.5501422965807876</v>
      </c>
      <c r="BN44" s="6">
        <f t="shared" ca="1" si="59"/>
        <v>571.00000000000045</v>
      </c>
      <c r="BO44" s="127">
        <f t="shared" ca="1" si="60"/>
        <v>-35189</v>
      </c>
      <c r="BP44" s="6">
        <f t="shared" ca="1" si="61"/>
        <v>3361</v>
      </c>
      <c r="BQ44" s="12">
        <f t="shared" ca="1" si="62"/>
        <v>3421</v>
      </c>
      <c r="BR44" s="2">
        <f t="shared" ca="1" si="63"/>
        <v>4.026114038446197E-2</v>
      </c>
      <c r="BS44" s="2">
        <f t="shared" ca="1" si="64"/>
        <v>-0.70459154854561379</v>
      </c>
      <c r="BT44" s="2">
        <f t="shared" ca="1" si="65"/>
        <v>0.29321880264481237</v>
      </c>
      <c r="BU44" s="13">
        <f t="shared" ca="1" si="66"/>
        <v>0.29845381555885514</v>
      </c>
      <c r="BV44" s="2">
        <f t="shared" ca="1" si="67"/>
        <v>0.26718756800597487</v>
      </c>
      <c r="BW44" s="2">
        <f t="shared" ca="1" si="68"/>
        <v>-4.6759257312572551</v>
      </c>
      <c r="BX44" s="2">
        <f t="shared" ca="1" si="69"/>
        <v>1.9459065993701186</v>
      </c>
      <c r="BY44" s="13">
        <f t="shared" ca="1" si="70"/>
        <v>1.9806480487087659</v>
      </c>
      <c r="BZ44">
        <v>661</v>
      </c>
      <c r="CB44" s="17" t="s">
        <v>69</v>
      </c>
      <c r="CC44" s="123" t="b">
        <f t="shared" si="78"/>
        <v>1</v>
      </c>
      <c r="CD44" s="17" t="s">
        <v>419</v>
      </c>
      <c r="CE44" s="138" t="str">
        <f>IF([1]!w_info_callput(CD44)="认购","C","P")</f>
        <v>C</v>
      </c>
      <c r="CF44" s="139">
        <f>[1]!w_info_strikeprice(CD44,"")</f>
        <v>4.0999999999999996</v>
      </c>
      <c r="CG44" s="140" t="str">
        <f>[1]!w_info_lasttradingdate(CD44)</f>
        <v>2020-05-27</v>
      </c>
      <c r="CH44" s="55" t="str">
        <f t="shared" si="79"/>
        <v>IO2005-C-4100.CFE</v>
      </c>
      <c r="CI44" s="55" t="str">
        <f t="shared" si="80"/>
        <v>IO2005-C-4100.CFE</v>
      </c>
      <c r="CK44" s="17" t="s">
        <v>227</v>
      </c>
      <c r="CL44" s="17"/>
    </row>
    <row r="45" spans="1:90">
      <c r="A45" s="50" t="str">
        <f t="shared" si="46"/>
        <v>T</v>
      </c>
      <c r="B45" t="s">
        <v>341</v>
      </c>
      <c r="C45" s="29" t="str">
        <f t="shared" si="3"/>
        <v>P</v>
      </c>
      <c r="D45" s="125">
        <f>[1]!w_info_strikeprice(B45,"")</f>
        <v>3300</v>
      </c>
      <c r="E45" s="18" t="str">
        <f>[1]!w_info_lasttradingdate(B45)</f>
        <v>2020-05-15</v>
      </c>
      <c r="F45" s="4">
        <f>IF(G45&gt;0,RTD("wdf.rtq",,$B45,F$5),0)</f>
        <v>30.8</v>
      </c>
      <c r="G45" s="73">
        <f>RTD("wdf.rtq",,$B45,G$5)</f>
        <v>96</v>
      </c>
      <c r="H45" s="4">
        <f>RTD("wdf.rtq",,$B45,H$5)</f>
        <v>27.6</v>
      </c>
      <c r="I45" s="73">
        <f>RTD("wdf.rtq",,$B45,I$5)</f>
        <v>1</v>
      </c>
      <c r="J45" s="4">
        <f>RTD("wdf.rtq",,$B45,J$5)</f>
        <v>36</v>
      </c>
      <c r="K45" s="73">
        <f>RTD("wdf.rtq",,$B45,K$5)</f>
        <v>1</v>
      </c>
      <c r="L45" s="4">
        <f>[1]!s_dq_presettle(B45,"")</f>
        <v>28</v>
      </c>
      <c r="M45" s="6">
        <f t="shared" si="4"/>
        <v>424.32000000000016</v>
      </c>
      <c r="N45" s="3">
        <f t="shared" si="5"/>
        <v>3080</v>
      </c>
      <c r="O45" s="6">
        <f t="shared" si="6"/>
        <v>-5188.8000000000147</v>
      </c>
      <c r="P45" s="3">
        <f t="shared" si="7"/>
        <v>16500</v>
      </c>
      <c r="Q45" s="6">
        <f t="shared" si="77"/>
        <v>19580.009999999998</v>
      </c>
      <c r="R45" s="75">
        <f ca="1">IF(NOW()-TODAY()&gt;15/24, G45, [1]!s_dq_volume(B45,R$2,1))/$I$2</f>
        <v>255</v>
      </c>
      <c r="S45" s="78">
        <f t="shared" si="71"/>
        <v>0</v>
      </c>
      <c r="T45" s="78">
        <f t="shared" si="72"/>
        <v>30.8</v>
      </c>
      <c r="AB45" s="17" t="s">
        <v>420</v>
      </c>
      <c r="AC45" s="29" t="str">
        <f>IF([1]!w_info_callput(AB45)="认购","C","P")</f>
        <v>P</v>
      </c>
      <c r="AD45" s="31">
        <f>[1]!w_info_strikeprice(AB45,"")</f>
        <v>3.3</v>
      </c>
      <c r="AE45" s="18" t="str">
        <f>[1]!w_info_lasttradingdate(AB45)</f>
        <v>2020-05-27</v>
      </c>
      <c r="AF45" s="15">
        <f>RTD("wdf.rtq",,$AB45,F$5)</f>
        <v>3.8200000000000005E-2</v>
      </c>
      <c r="AG45" s="73">
        <f>RTD("wdf.rtq",,$AB45,G$5)</f>
        <v>4593</v>
      </c>
      <c r="AH45" s="15">
        <f>RTD("wdf.rtq",,$AB45,H$5)</f>
        <v>3.5000000000000003E-2</v>
      </c>
      <c r="AI45" s="73">
        <f>RTD("wdf.rtq",,$AB45,I$5)</f>
        <v>10</v>
      </c>
      <c r="AJ45" s="15">
        <f>RTD("wdf.rtq",,$AB45,J$5)</f>
        <v>3.8800000000000001E-2</v>
      </c>
      <c r="AK45" s="77">
        <f>RTD("wdf.rtq",,$AB45,K$5)</f>
        <v>5</v>
      </c>
      <c r="AL45" s="15">
        <f>[1]!s_dq_presettle(AB45,"")</f>
        <v>3.5099999999999999E-2</v>
      </c>
      <c r="AM45" s="15">
        <f t="shared" si="11"/>
        <v>0.41100000000000048</v>
      </c>
      <c r="AN45" s="3">
        <f t="shared" si="12"/>
        <v>3820.0000000000005</v>
      </c>
      <c r="AO45" s="15">
        <f t="shared" si="73"/>
        <v>3.4319999999999518E-2</v>
      </c>
      <c r="AP45" s="14">
        <f t="shared" si="14"/>
        <v>0.23100000000000001</v>
      </c>
      <c r="AQ45" s="8">
        <f t="shared" si="76"/>
        <v>32304.01</v>
      </c>
      <c r="AR45" s="78">
        <f ca="1">IF(NOW()-TODAY()&gt;15/24, AG45, [1]!s_dq_volume(AB45,AR$2,1))/AI$2</f>
        <v>855</v>
      </c>
      <c r="AS45" s="122">
        <f t="shared" si="74"/>
        <v>0</v>
      </c>
      <c r="AT45" s="122">
        <f t="shared" si="75"/>
        <v>3.8200000000000005E-2</v>
      </c>
      <c r="AV45" s="49">
        <f t="shared" ca="1" si="81"/>
        <v>0</v>
      </c>
      <c r="AY45" s="10"/>
      <c r="AZ45" s="10"/>
      <c r="BA45" s="6">
        <f t="shared" ca="1" si="47"/>
        <v>-819.00000000000045</v>
      </c>
      <c r="BB45" s="6">
        <f t="shared" ca="1" si="48"/>
        <v>-1199</v>
      </c>
      <c r="BC45" s="6">
        <f t="shared" ca="1" si="49"/>
        <v>-39.000000000000455</v>
      </c>
      <c r="BD45" s="12">
        <f t="shared" ca="1" si="50"/>
        <v>20.999999999999545</v>
      </c>
      <c r="BE45" s="2">
        <f t="shared" ca="1" si="51"/>
        <v>-3.4999985042741454E-2</v>
      </c>
      <c r="BF45" s="2">
        <f t="shared" ca="1" si="52"/>
        <v>-5.1108247609442624E-2</v>
      </c>
      <c r="BG45" s="2">
        <f t="shared" ca="1" si="53"/>
        <v>-1.6883109574411638E-3</v>
      </c>
      <c r="BH45" s="13">
        <f t="shared" ca="1" si="54"/>
        <v>9.0987828861424007E-4</v>
      </c>
      <c r="BI45" s="2">
        <f t="shared" ca="1" si="55"/>
        <v>-0.23227262801092055</v>
      </c>
      <c r="BJ45" s="2">
        <f t="shared" ca="1" si="56"/>
        <v>-0.33917291595357374</v>
      </c>
      <c r="BK45" s="2">
        <f t="shared" ca="1" si="57"/>
        <v>-1.1204245444836815E-2</v>
      </c>
      <c r="BL45" s="56">
        <f t="shared" ca="1" si="58"/>
        <v>6.0382831880763203E-3</v>
      </c>
      <c r="BN45" s="6">
        <f t="shared" ca="1" si="59"/>
        <v>661.00000000000045</v>
      </c>
      <c r="BO45" s="6">
        <f t="shared" ca="1" si="60"/>
        <v>-178.99999999999955</v>
      </c>
      <c r="BP45" s="6">
        <f t="shared" ca="1" si="61"/>
        <v>981</v>
      </c>
      <c r="BQ45" s="12">
        <f t="shared" ca="1" si="62"/>
        <v>1041</v>
      </c>
      <c r="BR45" s="2">
        <f t="shared" ca="1" si="63"/>
        <v>1.8680754385950054E-2</v>
      </c>
      <c r="BS45" s="2">
        <f t="shared" ca="1" si="64"/>
        <v>-4.9855155454780562E-3</v>
      </c>
      <c r="BT45" s="2">
        <f t="shared" ca="1" si="65"/>
        <v>2.7977388794157433E-2</v>
      </c>
      <c r="BU45" s="13">
        <f t="shared" ca="1" si="66"/>
        <v>2.9688561006000175E-2</v>
      </c>
      <c r="BV45" s="2">
        <f t="shared" ca="1" si="67"/>
        <v>0.12397227910675944</v>
      </c>
      <c r="BW45" s="2">
        <f t="shared" ca="1" si="68"/>
        <v>-3.3085694074536189E-2</v>
      </c>
      <c r="BX45" s="2">
        <f t="shared" ca="1" si="69"/>
        <v>0.18566812563395388</v>
      </c>
      <c r="BY45" s="13">
        <f t="shared" ca="1" si="70"/>
        <v>0.19702408667618299</v>
      </c>
      <c r="CB45" s="17" t="s">
        <v>70</v>
      </c>
      <c r="CC45" s="123" t="b">
        <f t="shared" si="78"/>
        <v>1</v>
      </c>
      <c r="CD45" s="17" t="s">
        <v>420</v>
      </c>
      <c r="CE45" s="138" t="str">
        <f>IF([1]!w_info_callput(CD45)="认购","C","P")</f>
        <v>P</v>
      </c>
      <c r="CF45" s="139">
        <f>[1]!w_info_strikeprice(CD45,"")</f>
        <v>3.3</v>
      </c>
      <c r="CG45" s="140" t="str">
        <f>[1]!w_info_lasttradingdate(CD45)</f>
        <v>2020-05-27</v>
      </c>
      <c r="CH45" s="55" t="str">
        <f t="shared" si="79"/>
        <v>IO2005-P-3300.CFE</v>
      </c>
      <c r="CI45" s="55" t="str">
        <f t="shared" si="80"/>
        <v>IO2005-P-3300.CFE</v>
      </c>
      <c r="CK45" s="17" t="s">
        <v>228</v>
      </c>
      <c r="CL45" s="17"/>
    </row>
    <row r="46" spans="1:90">
      <c r="A46" s="50" t="str">
        <f t="shared" ref="A46:A59" si="82">IF(C46&amp;D46&amp;YEAR(E46)&amp;MONTH(E46)=AC46&amp;AD46*1000&amp;YEAR(AE46)&amp;MONTH(AE46),"T","F")</f>
        <v>T</v>
      </c>
      <c r="B46" t="s">
        <v>343</v>
      </c>
      <c r="C46" s="29" t="str">
        <f t="shared" si="3"/>
        <v>P</v>
      </c>
      <c r="D46" s="125">
        <f>[1]!w_info_strikeprice(B46,"")</f>
        <v>3400</v>
      </c>
      <c r="E46" s="18" t="str">
        <f>[1]!w_info_lasttradingdate(B46)</f>
        <v>2020-05-15</v>
      </c>
      <c r="F46" s="4">
        <f>IF(G46&gt;0,RTD("wdf.rtq",,$B46,F$5),0)</f>
        <v>47</v>
      </c>
      <c r="G46" s="73">
        <f>RTD("wdf.rtq",,$B46,G$5)</f>
        <v>80</v>
      </c>
      <c r="H46" s="4">
        <f>RTD("wdf.rtq",,$B46,H$5)</f>
        <v>43.6</v>
      </c>
      <c r="I46" s="73">
        <f>RTD("wdf.rtq",,$B46,I$5)</f>
        <v>1</v>
      </c>
      <c r="J46" s="4">
        <f>RTD("wdf.rtq",,$B46,J$5)</f>
        <v>0</v>
      </c>
      <c r="K46" s="73">
        <f>RTD("wdf.rtq",,$B46,K$5)</f>
        <v>0</v>
      </c>
      <c r="L46" s="4">
        <f>[1]!s_dq_presettle(B46,"")</f>
        <v>43.6</v>
      </c>
      <c r="M46" s="6">
        <f t="shared" si="4"/>
        <v>324.32000000000016</v>
      </c>
      <c r="N46" s="3">
        <f t="shared" si="5"/>
        <v>4700</v>
      </c>
      <c r="O46" s="6">
        <f t="shared" si="6"/>
        <v>4811.1999999999853</v>
      </c>
      <c r="P46" s="3">
        <f t="shared" si="7"/>
        <v>17000</v>
      </c>
      <c r="Q46" s="6">
        <f t="shared" si="77"/>
        <v>21700.01</v>
      </c>
      <c r="R46" s="75">
        <f ca="1">IF(NOW()-TODAY()&gt;15/24, G46, [1]!s_dq_volume(B46,R$2,1))/$I$2</f>
        <v>121</v>
      </c>
      <c r="S46" s="78">
        <f t="shared" si="71"/>
        <v>0</v>
      </c>
      <c r="T46" s="78">
        <f t="shared" si="72"/>
        <v>47</v>
      </c>
      <c r="AB46" s="17" t="s">
        <v>421</v>
      </c>
      <c r="AC46" s="29" t="str">
        <f>IF([1]!w_info_callput(AB46)="认购","C","P")</f>
        <v>P</v>
      </c>
      <c r="AD46" s="31">
        <f>[1]!w_info_strikeprice(AB46,"")</f>
        <v>3.4</v>
      </c>
      <c r="AE46" s="18" t="str">
        <f>[1]!w_info_lasttradingdate(AB46)</f>
        <v>2020-05-27</v>
      </c>
      <c r="AF46" s="15">
        <f>RTD("wdf.rtq",,$AB46,F$5)</f>
        <v>5.67E-2</v>
      </c>
      <c r="AG46" s="73">
        <f>RTD("wdf.rtq",,$AB46,G$5)</f>
        <v>3835</v>
      </c>
      <c r="AH46" s="15">
        <f>RTD("wdf.rtq",,$AB46,H$5)</f>
        <v>5.4300000000000001E-2</v>
      </c>
      <c r="AI46" s="73">
        <f>RTD("wdf.rtq",,$AB46,I$5)</f>
        <v>144</v>
      </c>
      <c r="AJ46" s="15">
        <f>RTD("wdf.rtq",,$AB46,J$5)</f>
        <v>5.7600000000000005E-2</v>
      </c>
      <c r="AK46" s="77">
        <f>RTD("wdf.rtq",,$AB46,K$5)</f>
        <v>2</v>
      </c>
      <c r="AL46" s="15">
        <f>[1]!s_dq_presettle(AB46,"")</f>
        <v>5.2600000000000001E-2</v>
      </c>
      <c r="AM46" s="15">
        <f t="shared" si="11"/>
        <v>0.31100000000000039</v>
      </c>
      <c r="AN46" s="3">
        <f t="shared" si="12"/>
        <v>5670</v>
      </c>
      <c r="AO46" s="15">
        <f t="shared" si="73"/>
        <v>0.13431999999999961</v>
      </c>
      <c r="AP46" s="14">
        <f t="shared" si="14"/>
        <v>0.23800000000000002</v>
      </c>
      <c r="AQ46" s="8">
        <f t="shared" si="76"/>
        <v>35364.01</v>
      </c>
      <c r="AR46" s="78">
        <f ca="1">IF(NOW()-TODAY()&gt;15/24, AG46, [1]!s_dq_volume(AB46,AR$2,1))/AI$2</f>
        <v>711.8</v>
      </c>
      <c r="AS46" s="122">
        <f t="shared" si="74"/>
        <v>0</v>
      </c>
      <c r="AT46" s="122">
        <f t="shared" si="75"/>
        <v>5.67E-2</v>
      </c>
      <c r="AV46" s="49">
        <f t="shared" ca="1" si="81"/>
        <v>0</v>
      </c>
      <c r="AY46" s="10"/>
      <c r="AZ46" s="10"/>
      <c r="BA46" s="6">
        <f t="shared" ref="BA46:BA59" ca="1" si="83">IF(AND(F46&gt;0,AF46&gt;0),(H$2*I$2*F46-AH$2*AI$2*AF46)-2*$I$2*$J$2-2*$AI$2*$AJ$2-AV46,0)</f>
        <v>-1049</v>
      </c>
      <c r="BB46" s="6">
        <f t="shared" ref="BB46:BB59" ca="1" si="84">IF(AND(H46&gt;0,AJ46&gt;0),H$2*I$2*H46-AH$2*AI$2*AJ46-2*$I$2*$J$2-2*$AI$2*$AJ$2-AV46,0)</f>
        <v>-1479.0000000000009</v>
      </c>
      <c r="BC46" s="6">
        <f t="shared" ref="BC46:BC59" si="85">IF(AND(J46&gt;0,AH46&gt;0),H$2*I$2*J46-AH$2*AI$2*AH46-2*$I$2*$J$2-2*$AI$2*$AJ$2-H$2*I$2*$BC$2-AH$2*AI$2*$BC$3-AV46,0)</f>
        <v>0</v>
      </c>
      <c r="BD46" s="12">
        <f t="shared" ref="BD46:BD59" si="86">IF(AND(J46&gt;0,AH46&gt;0),H$2*I$2*J46-AH$2*AI$2*AH46-2*$I$2*$J$2-2*$AI$2*$AJ$2-AV46,0)</f>
        <v>0</v>
      </c>
      <c r="BE46" s="2">
        <f t="shared" ref="BE46:BE59" ca="1" si="87">BA46/(Q46+AH$2*AI$2*AF46)</f>
        <v>-3.8326620998677022E-2</v>
      </c>
      <c r="BF46" s="2">
        <f t="shared" ref="BF46:BF59" ca="1" si="88">BB46/(Q46+AH$2*AI$2*AJ46)</f>
        <v>-5.3860140619031126E-2</v>
      </c>
      <c r="BG46" s="2">
        <f t="shared" ref="BG46:BG59" si="89">BC46/(Q46+AH$2*AI$2*(AH46+$BC$3))</f>
        <v>0</v>
      </c>
      <c r="BH46" s="13">
        <f t="shared" ref="BH46:BH59" si="90">BD46/(Q46+AH$2*AI$2*AH46)</f>
        <v>0</v>
      </c>
      <c r="BI46" s="2">
        <f t="shared" ref="BI46:BI59" ca="1" si="91">BE46*365/(AE46+1-TODAY())</f>
        <v>-0.25434939390031114</v>
      </c>
      <c r="BJ46" s="2">
        <f t="shared" ref="BJ46:BJ59" ca="1" si="92">BF46*365/(AE46+1-TODAY())</f>
        <v>-0.35743547865357023</v>
      </c>
      <c r="BK46" s="2">
        <f t="shared" ref="BK46:BK59" ca="1" si="93">BG46*365/(AE46+1-TODAY())</f>
        <v>0</v>
      </c>
      <c r="BL46" s="56">
        <f t="shared" ref="BL46:BL59" ca="1" si="94">BH46*365/(AE46+1-TODAY())</f>
        <v>0</v>
      </c>
      <c r="BN46" s="6">
        <f t="shared" ref="BN46:BN59" ca="1" si="95">IF(AND(F46&gt;0,AF46&gt;0),-H$2*I$2*F46+AH$2*AI$2*AF46-2*$I$2*$J$2-2*$AI$2*$AJ$2+AV46,0)</f>
        <v>891</v>
      </c>
      <c r="BO46" s="6">
        <f t="shared" ref="BO46:BO59" si="96">IF(AND(J46&gt;0,AH46&gt;0),-H$2*I$2*J46+AH$2*AI$2*AH46-2*$I$2*$J$2-2*$AI$2*$AJ$2+AV46,0)</f>
        <v>0</v>
      </c>
      <c r="BP46" s="6">
        <f t="shared" ref="BP46:BP59" ca="1" si="97">IF(AND(H46&gt;0,AJ46&gt;0),-H$2*I$2*H46+AH$2*AI$2*AJ46-2*$I$2*$J$2-2*$AI$2*$AJ$2-H$2*I$2*$BC$2-AH$2*AI$2*$BC$3+AV46,0)</f>
        <v>1261.0000000000009</v>
      </c>
      <c r="BQ46" s="12">
        <f t="shared" ref="BQ46:BQ59" ca="1" si="98">IF(AND(H46&gt;0,AJ46&gt;0),-H$2*I$2*H46+AH$2*AI$2*AJ46-2*$I$2*$J$2-2*$AI$2*$AJ$2+AV46,0)</f>
        <v>1321.0000000000009</v>
      </c>
      <c r="BR46" s="2">
        <f t="shared" ref="BR46:BR59" ca="1" si="99">BN46/(AQ46+H$2*I$2*F46)</f>
        <v>2.2239411381936056E-2</v>
      </c>
      <c r="BS46" s="2">
        <f t="shared" ref="BS46:BS59" si="100">BO46/(AQ46+H$2*I$2*J46)</f>
        <v>0</v>
      </c>
      <c r="BT46" s="2">
        <f t="shared" ref="BT46:BT59" ca="1" si="101">BP46/(AQ46+H$2*I$2*(H46+$BP$3))</f>
        <v>3.174400986002681E-2</v>
      </c>
      <c r="BU46" s="13">
        <f t="shared" ref="BU46:BU59" ca="1" si="102">BQ46/(AQ46+H$2*I$2*H46)</f>
        <v>3.3254447373263697E-2</v>
      </c>
      <c r="BV46" s="2">
        <f t="shared" ref="BV46:BV59" ca="1" si="103">BR46*365/(AE46+1-TODAY())</f>
        <v>0.147588820989212</v>
      </c>
      <c r="BW46" s="2">
        <f t="shared" ref="BW46:BW59" ca="1" si="104">BS46*365/(AE46+1-TODAY())</f>
        <v>0</v>
      </c>
      <c r="BX46" s="2">
        <f t="shared" ref="BX46:BX59" ca="1" si="105">BT46*365/(AE46+1-TODAY())</f>
        <v>0.21066479270745064</v>
      </c>
      <c r="BY46" s="13">
        <f t="shared" ref="BY46:BY59" ca="1" si="106">BU46*365/(AE46+1-TODAY())</f>
        <v>0.22068860529529544</v>
      </c>
      <c r="CB46" s="17" t="s">
        <v>71</v>
      </c>
      <c r="CC46" s="123" t="b">
        <f t="shared" si="78"/>
        <v>1</v>
      </c>
      <c r="CD46" s="17" t="s">
        <v>421</v>
      </c>
      <c r="CE46" s="138" t="str">
        <f>IF([1]!w_info_callput(CD46)="认购","C","P")</f>
        <v>P</v>
      </c>
      <c r="CF46" s="139">
        <f>[1]!w_info_strikeprice(CD46,"")</f>
        <v>3.4</v>
      </c>
      <c r="CG46" s="140" t="str">
        <f>[1]!w_info_lasttradingdate(CD46)</f>
        <v>2020-05-27</v>
      </c>
      <c r="CH46" s="55" t="str">
        <f t="shared" si="79"/>
        <v>IO2005-P-3400.CFE</v>
      </c>
      <c r="CI46" s="55" t="str">
        <f t="shared" si="80"/>
        <v>IO2005-P-3400.CFE</v>
      </c>
      <c r="CK46" s="17" t="s">
        <v>229</v>
      </c>
      <c r="CL46" s="17"/>
    </row>
    <row r="47" spans="1:90">
      <c r="A47" s="50" t="str">
        <f t="shared" si="82"/>
        <v>T</v>
      </c>
      <c r="B47" t="s">
        <v>320</v>
      </c>
      <c r="C47" s="29" t="str">
        <f t="shared" si="3"/>
        <v>P</v>
      </c>
      <c r="D47" s="125">
        <f>[1]!w_info_strikeprice(B47,"")</f>
        <v>3500</v>
      </c>
      <c r="E47" s="18" t="str">
        <f>[1]!w_info_lasttradingdate(B47)</f>
        <v>2020-05-15</v>
      </c>
      <c r="F47" s="4">
        <f>IF(G47&gt;0,RTD("wdf.rtq",,$B47,F$5),0)</f>
        <v>72.400000000000006</v>
      </c>
      <c r="G47" s="73">
        <f>RTD("wdf.rtq",,$B47,G$5)</f>
        <v>168</v>
      </c>
      <c r="H47" s="4">
        <f>RTD("wdf.rtq",,$B47,H$5)</f>
        <v>67.8</v>
      </c>
      <c r="I47" s="73">
        <f>RTD("wdf.rtq",,$B47,I$5)</f>
        <v>3</v>
      </c>
      <c r="J47" s="4">
        <f>RTD("wdf.rtq",,$B47,J$5)</f>
        <v>75</v>
      </c>
      <c r="K47" s="73">
        <f>RTD("wdf.rtq",,$B47,K$5)</f>
        <v>1</v>
      </c>
      <c r="L47" s="4">
        <f>[1]!s_dq_presettle(B47,"")</f>
        <v>66</v>
      </c>
      <c r="M47" s="6">
        <f t="shared" si="4"/>
        <v>224.32000000000016</v>
      </c>
      <c r="N47" s="3">
        <f t="shared" si="5"/>
        <v>7240.0000000000009</v>
      </c>
      <c r="O47" s="6">
        <f t="shared" si="6"/>
        <v>14811.199999999986</v>
      </c>
      <c r="P47" s="3">
        <f t="shared" si="7"/>
        <v>17500</v>
      </c>
      <c r="Q47" s="6">
        <f t="shared" si="77"/>
        <v>24740.01</v>
      </c>
      <c r="R47" s="75">
        <f ca="1">IF(NOW()-TODAY()&gt;15/24, G47, [1]!s_dq_volume(B47,R$2,1))/$I$2</f>
        <v>285</v>
      </c>
      <c r="S47" s="78">
        <f t="shared" si="71"/>
        <v>0</v>
      </c>
      <c r="T47" s="78">
        <f t="shared" si="72"/>
        <v>72.400000000000006</v>
      </c>
      <c r="AB47" s="17" t="s">
        <v>422</v>
      </c>
      <c r="AC47" s="29" t="str">
        <f>IF([1]!w_info_callput(AB47)="认购","C","P")</f>
        <v>P</v>
      </c>
      <c r="AD47" s="31">
        <f>[1]!w_info_strikeprice(AB47,"")</f>
        <v>3.5</v>
      </c>
      <c r="AE47" s="18" t="str">
        <f>[1]!w_info_lasttradingdate(AB47)</f>
        <v>2020-05-27</v>
      </c>
      <c r="AF47" s="15">
        <f>RTD("wdf.rtq",,$AB47,F$5)</f>
        <v>8.3100000000000007E-2</v>
      </c>
      <c r="AG47" s="73">
        <f>RTD("wdf.rtq",,$AB47,G$5)</f>
        <v>4084</v>
      </c>
      <c r="AH47" s="15">
        <f>RTD("wdf.rtq",,$AB47,H$5)</f>
        <v>8.1600000000000006E-2</v>
      </c>
      <c r="AI47" s="73">
        <f>RTD("wdf.rtq",,$AB47,I$5)</f>
        <v>14</v>
      </c>
      <c r="AJ47" s="15">
        <f>RTD("wdf.rtq",,$AB47,J$5)</f>
        <v>8.4000000000000005E-2</v>
      </c>
      <c r="AK47" s="77">
        <f>RTD("wdf.rtq",,$AB47,K$5)</f>
        <v>10</v>
      </c>
      <c r="AL47" s="15">
        <f>[1]!s_dq_presettle(AB47,"")</f>
        <v>7.7799999999999994E-2</v>
      </c>
      <c r="AM47" s="15">
        <f t="shared" si="11"/>
        <v>0.2110000000000003</v>
      </c>
      <c r="AN47" s="3">
        <f t="shared" si="12"/>
        <v>8310</v>
      </c>
      <c r="AO47" s="15">
        <f t="shared" si="73"/>
        <v>0.2343199999999997</v>
      </c>
      <c r="AP47" s="14">
        <f t="shared" si="14"/>
        <v>0.24500000000000002</v>
      </c>
      <c r="AQ47" s="8">
        <f t="shared" si="76"/>
        <v>39372.010000000009</v>
      </c>
      <c r="AR47" s="78">
        <f ca="1">IF(NOW()-TODAY()&gt;15/24, AG47, [1]!s_dq_volume(AB47,AR$2,1))/AI$2</f>
        <v>736.5</v>
      </c>
      <c r="AS47" s="122">
        <f t="shared" si="74"/>
        <v>0</v>
      </c>
      <c r="AT47" s="122">
        <f t="shared" si="75"/>
        <v>8.3100000000000007E-2</v>
      </c>
      <c r="AV47" s="49">
        <f t="shared" ca="1" si="81"/>
        <v>0</v>
      </c>
      <c r="AY47" s="10"/>
      <c r="AZ47" s="10"/>
      <c r="BA47" s="6">
        <f t="shared" ca="1" si="83"/>
        <v>-1148.9999999999991</v>
      </c>
      <c r="BB47" s="6">
        <f t="shared" ca="1" si="84"/>
        <v>-1699</v>
      </c>
      <c r="BC47" s="6">
        <f t="shared" ca="1" si="85"/>
        <v>-799.00000000000091</v>
      </c>
      <c r="BD47" s="12">
        <f t="shared" ca="1" si="86"/>
        <v>-739.00000000000091</v>
      </c>
      <c r="BE47" s="2">
        <f t="shared" ca="1" si="87"/>
        <v>-3.4765496288805944E-2</v>
      </c>
      <c r="BF47" s="2">
        <f t="shared" ca="1" si="88"/>
        <v>-5.1267335163749206E-2</v>
      </c>
      <c r="BG47" s="2">
        <f t="shared" ca="1" si="89"/>
        <v>-2.4270952530087351E-2</v>
      </c>
      <c r="BH47" s="13">
        <f t="shared" ca="1" si="90"/>
        <v>-2.2461999251671985E-2</v>
      </c>
      <c r="BI47" s="2">
        <f t="shared" ca="1" si="91"/>
        <v>-0.23071647537116671</v>
      </c>
      <c r="BJ47" s="2">
        <f t="shared" ca="1" si="92"/>
        <v>-0.34022867881397201</v>
      </c>
      <c r="BK47" s="2">
        <f t="shared" ca="1" si="93"/>
        <v>-0.16107086679057969</v>
      </c>
      <c r="BL47" s="56">
        <f t="shared" ca="1" si="94"/>
        <v>-0.1490659950338232</v>
      </c>
      <c r="BN47" s="6">
        <f t="shared" ca="1" si="95"/>
        <v>990.99999999999909</v>
      </c>
      <c r="BO47" s="6">
        <f t="shared" ca="1" si="96"/>
        <v>581.00000000000091</v>
      </c>
      <c r="BP47" s="6">
        <f t="shared" ca="1" si="97"/>
        <v>1481</v>
      </c>
      <c r="BQ47" s="12">
        <f t="shared" ca="1" si="98"/>
        <v>1541</v>
      </c>
      <c r="BR47" s="2">
        <f t="shared" ca="1" si="99"/>
        <v>2.126061502175081E-2</v>
      </c>
      <c r="BS47" s="2">
        <f t="shared" ca="1" si="100"/>
        <v>1.2395457331571673E-2</v>
      </c>
      <c r="BT47" s="2">
        <f t="shared" ca="1" si="101"/>
        <v>3.2089596058938241E-2</v>
      </c>
      <c r="BU47" s="13">
        <f t="shared" ca="1" si="102"/>
        <v>3.3389661685374043E-2</v>
      </c>
      <c r="BV47" s="2">
        <f t="shared" ca="1" si="103"/>
        <v>0.14109317241707356</v>
      </c>
      <c r="BW47" s="2">
        <f t="shared" ca="1" si="104"/>
        <v>8.2260762291339287E-2</v>
      </c>
      <c r="BX47" s="2">
        <f t="shared" ca="1" si="105"/>
        <v>0.2129582283911356</v>
      </c>
      <c r="BY47" s="13">
        <f t="shared" ca="1" si="106"/>
        <v>0.22158593663930048</v>
      </c>
      <c r="CB47" s="17" t="s">
        <v>72</v>
      </c>
      <c r="CC47" s="123" t="b">
        <f t="shared" si="78"/>
        <v>1</v>
      </c>
      <c r="CD47" s="17" t="s">
        <v>422</v>
      </c>
      <c r="CE47" s="138" t="str">
        <f>IF([1]!w_info_callput(CD47)="认购","C","P")</f>
        <v>P</v>
      </c>
      <c r="CF47" s="139">
        <f>[1]!w_info_strikeprice(CD47,"")</f>
        <v>3.5</v>
      </c>
      <c r="CG47" s="140" t="str">
        <f>[1]!w_info_lasttradingdate(CD47)</f>
        <v>2020-05-27</v>
      </c>
      <c r="CH47" s="55" t="str">
        <f t="shared" si="79"/>
        <v>IO2005-P-3500.CFE</v>
      </c>
      <c r="CI47" s="55" t="str">
        <f t="shared" si="80"/>
        <v>IO2005-P-3500.CFE</v>
      </c>
      <c r="CK47" s="17" t="s">
        <v>230</v>
      </c>
      <c r="CL47" s="17"/>
    </row>
    <row r="48" spans="1:90">
      <c r="A48" s="50" t="str">
        <f t="shared" si="82"/>
        <v>T</v>
      </c>
      <c r="B48" t="s">
        <v>322</v>
      </c>
      <c r="C48" s="29" t="str">
        <f t="shared" si="3"/>
        <v>P</v>
      </c>
      <c r="D48" s="125">
        <f>[1]!w_info_strikeprice(B48,"")</f>
        <v>3600</v>
      </c>
      <c r="E48" s="18" t="str">
        <f>[1]!w_info_lasttradingdate(B48)</f>
        <v>2020-05-15</v>
      </c>
      <c r="F48" s="4">
        <f>IF(G48&gt;0,RTD("wdf.rtq",,$B48,F$5),0)</f>
        <v>105.60000000000001</v>
      </c>
      <c r="G48" s="73">
        <f>RTD("wdf.rtq",,$B48,G$5)</f>
        <v>161</v>
      </c>
      <c r="H48" s="4">
        <f>RTD("wdf.rtq",,$B48,H$5)</f>
        <v>100.8</v>
      </c>
      <c r="I48" s="73">
        <f>RTD("wdf.rtq",,$B48,I$5)</f>
        <v>1</v>
      </c>
      <c r="J48" s="4">
        <f>RTD("wdf.rtq",,$B48,J$5)</f>
        <v>110</v>
      </c>
      <c r="K48" s="73">
        <f>RTD("wdf.rtq",,$B48,K$5)</f>
        <v>2</v>
      </c>
      <c r="L48" s="4">
        <f>[1]!s_dq_presettle(B48,"")</f>
        <v>96.8</v>
      </c>
      <c r="M48" s="6">
        <f t="shared" si="4"/>
        <v>124.32000000000016</v>
      </c>
      <c r="N48" s="3">
        <f t="shared" si="5"/>
        <v>10560</v>
      </c>
      <c r="O48" s="6">
        <f t="shared" si="6"/>
        <v>24811.199999999986</v>
      </c>
      <c r="P48" s="3">
        <f t="shared" si="7"/>
        <v>18000</v>
      </c>
      <c r="Q48" s="6">
        <f t="shared" si="77"/>
        <v>35371.209999999985</v>
      </c>
      <c r="R48" s="75">
        <f ca="1">IF(NOW()-TODAY()&gt;15/24, G48, [1]!s_dq_volume(B48,R$2,1))/$I$2</f>
        <v>179</v>
      </c>
      <c r="S48" s="78">
        <f t="shared" si="71"/>
        <v>0</v>
      </c>
      <c r="T48" s="78">
        <f t="shared" si="72"/>
        <v>105.60000000000001</v>
      </c>
      <c r="AB48" s="17" t="s">
        <v>423</v>
      </c>
      <c r="AC48" s="29" t="str">
        <f>IF([1]!w_info_callput(AB48)="认购","C","P")</f>
        <v>P</v>
      </c>
      <c r="AD48" s="31">
        <f>[1]!w_info_strikeprice(AB48,"")</f>
        <v>3.6</v>
      </c>
      <c r="AE48" s="18" t="str">
        <f>[1]!w_info_lasttradingdate(AB48)</f>
        <v>2020-05-27</v>
      </c>
      <c r="AF48" s="15">
        <f>RTD("wdf.rtq",,$AB48,F$5)</f>
        <v>0.1177</v>
      </c>
      <c r="AG48" s="73">
        <f>RTD("wdf.rtq",,$AB48,G$5)</f>
        <v>2992</v>
      </c>
      <c r="AH48" s="15">
        <f>RTD("wdf.rtq",,$AB48,H$5)</f>
        <v>0.1144</v>
      </c>
      <c r="AI48" s="73">
        <f>RTD("wdf.rtq",,$AB48,I$5)</f>
        <v>10</v>
      </c>
      <c r="AJ48" s="15">
        <f>RTD("wdf.rtq",,$AB48,J$5)</f>
        <v>0.1212</v>
      </c>
      <c r="AK48" s="77">
        <f>RTD("wdf.rtq",,$AB48,K$5)</f>
        <v>28</v>
      </c>
      <c r="AL48" s="15">
        <f>[1]!s_dq_presettle(AB48,"")</f>
        <v>0.1109</v>
      </c>
      <c r="AM48" s="15">
        <f t="shared" si="11"/>
        <v>0.11100000000000021</v>
      </c>
      <c r="AN48" s="3">
        <f t="shared" si="12"/>
        <v>11770</v>
      </c>
      <c r="AO48" s="15">
        <f t="shared" si="73"/>
        <v>0.33431999999999978</v>
      </c>
      <c r="AP48" s="14">
        <f t="shared" si="14"/>
        <v>0.25200000000000006</v>
      </c>
      <c r="AQ48" s="8">
        <f t="shared" si="76"/>
        <v>54242.409999999974</v>
      </c>
      <c r="AR48" s="78">
        <f ca="1">IF(NOW()-TODAY()&gt;15/24, AG48, [1]!s_dq_volume(AB48,AR$2,1))/AI$2</f>
        <v>856.7</v>
      </c>
      <c r="AS48" s="122">
        <f t="shared" si="74"/>
        <v>0</v>
      </c>
      <c r="AT48" s="122">
        <f t="shared" si="75"/>
        <v>0.1177</v>
      </c>
      <c r="AV48" s="49">
        <f t="shared" ca="1" si="81"/>
        <v>0</v>
      </c>
      <c r="AY48" s="10"/>
      <c r="AZ48" s="10"/>
      <c r="BA48" s="6">
        <f t="shared" ca="1" si="83"/>
        <v>-1289</v>
      </c>
      <c r="BB48" s="6">
        <f t="shared" ca="1" si="84"/>
        <v>-2119</v>
      </c>
      <c r="BC48" s="6">
        <f t="shared" ca="1" si="85"/>
        <v>-579</v>
      </c>
      <c r="BD48" s="12">
        <f t="shared" ca="1" si="86"/>
        <v>-519</v>
      </c>
      <c r="BE48" s="2">
        <f t="shared" ca="1" si="87"/>
        <v>-2.7343379603535854E-2</v>
      </c>
      <c r="BF48" s="2">
        <f t="shared" ca="1" si="88"/>
        <v>-4.4618783139027215E-2</v>
      </c>
      <c r="BG48" s="2">
        <f t="shared" ca="1" si="89"/>
        <v>-1.2363549863435094E-2</v>
      </c>
      <c r="BH48" s="13">
        <f t="shared" ca="1" si="90"/>
        <v>-1.1087087900526395E-2</v>
      </c>
      <c r="BI48" s="2">
        <f t="shared" ca="1" si="91"/>
        <v>-0.18146061009619249</v>
      </c>
      <c r="BJ48" s="2">
        <f t="shared" ca="1" si="92"/>
        <v>-0.29610646992263517</v>
      </c>
      <c r="BK48" s="2">
        <f t="shared" ca="1" si="93"/>
        <v>-8.204901273006926E-2</v>
      </c>
      <c r="BL48" s="56">
        <f t="shared" ca="1" si="94"/>
        <v>-7.3577946976220623E-2</v>
      </c>
      <c r="BN48" s="6">
        <f t="shared" ca="1" si="95"/>
        <v>1131</v>
      </c>
      <c r="BO48" s="6">
        <f t="shared" ca="1" si="96"/>
        <v>361</v>
      </c>
      <c r="BP48" s="6">
        <f t="shared" ca="1" si="97"/>
        <v>1901</v>
      </c>
      <c r="BQ48" s="12">
        <f t="shared" ca="1" si="98"/>
        <v>1961</v>
      </c>
      <c r="BR48" s="2">
        <f t="shared" ca="1" si="99"/>
        <v>1.7453054600901425E-2</v>
      </c>
      <c r="BS48" s="2">
        <f t="shared" ca="1" si="100"/>
        <v>5.5332106830511037E-3</v>
      </c>
      <c r="BT48" s="2">
        <f t="shared" ca="1" si="101"/>
        <v>2.9554231704243771E-2</v>
      </c>
      <c r="BU48" s="13">
        <f t="shared" ca="1" si="102"/>
        <v>3.0487041763516024E-2</v>
      </c>
      <c r="BV48" s="2">
        <f t="shared" ca="1" si="103"/>
        <v>0.11582481689689128</v>
      </c>
      <c r="BW48" s="2">
        <f t="shared" ca="1" si="104"/>
        <v>3.6720398169339141E-2</v>
      </c>
      <c r="BX48" s="2">
        <f t="shared" ca="1" si="105"/>
        <v>0.19613262858270866</v>
      </c>
      <c r="BY48" s="13">
        <f t="shared" ca="1" si="106"/>
        <v>0.20232309533969725</v>
      </c>
      <c r="CB48" s="17" t="s">
        <v>73</v>
      </c>
      <c r="CC48" s="123" t="b">
        <f t="shared" si="78"/>
        <v>1</v>
      </c>
      <c r="CD48" s="17" t="s">
        <v>423</v>
      </c>
      <c r="CE48" s="138" t="str">
        <f>IF([1]!w_info_callput(CD48)="认购","C","P")</f>
        <v>P</v>
      </c>
      <c r="CF48" s="139">
        <f>[1]!w_info_strikeprice(CD48,"")</f>
        <v>3.6</v>
      </c>
      <c r="CG48" s="140" t="str">
        <f>[1]!w_info_lasttradingdate(CD48)</f>
        <v>2020-05-27</v>
      </c>
      <c r="CH48" s="55" t="str">
        <f t="shared" si="79"/>
        <v>IO2005-P-3600.CFE</v>
      </c>
      <c r="CI48" s="55" t="str">
        <f t="shared" si="80"/>
        <v>IO2005-P-3600.CFE</v>
      </c>
      <c r="CK48" s="17" t="s">
        <v>231</v>
      </c>
      <c r="CL48" s="17"/>
    </row>
    <row r="49" spans="1:90">
      <c r="A49" s="50" t="str">
        <f t="shared" si="82"/>
        <v>T</v>
      </c>
      <c r="B49" t="s">
        <v>259</v>
      </c>
      <c r="C49" s="29" t="str">
        <f t="shared" si="3"/>
        <v>P</v>
      </c>
      <c r="D49" s="125">
        <f>[1]!w_info_strikeprice(B49,"")</f>
        <v>3700</v>
      </c>
      <c r="E49" s="18" t="str">
        <f>[1]!w_info_lasttradingdate(B49)</f>
        <v>2020-05-15</v>
      </c>
      <c r="F49" s="4">
        <f>IF(G49&gt;0,RTD("wdf.rtq",,$B49,F$5),0)</f>
        <v>148.4</v>
      </c>
      <c r="G49" s="73">
        <f>RTD("wdf.rtq",,$B49,G$5)</f>
        <v>168</v>
      </c>
      <c r="H49" s="4">
        <f>RTD("wdf.rtq",,$B49,H$5)</f>
        <v>12</v>
      </c>
      <c r="I49" s="73">
        <f>RTD("wdf.rtq",,$B49,I$5)</f>
        <v>5</v>
      </c>
      <c r="J49" s="4">
        <f>RTD("wdf.rtq",,$B49,J$5)</f>
        <v>0</v>
      </c>
      <c r="K49" s="73">
        <f>RTD("wdf.rtq",,$B49,K$5)</f>
        <v>0</v>
      </c>
      <c r="L49" s="4">
        <f>[1]!s_dq_presettle(B49,"")</f>
        <v>139.19999999999999</v>
      </c>
      <c r="M49" s="6">
        <f t="shared" si="4"/>
        <v>24.320000000000164</v>
      </c>
      <c r="N49" s="3">
        <f t="shared" si="5"/>
        <v>14840</v>
      </c>
      <c r="O49" s="6">
        <f t="shared" si="6"/>
        <v>34811.199999999983</v>
      </c>
      <c r="P49" s="3">
        <f t="shared" si="7"/>
        <v>18500</v>
      </c>
      <c r="Q49" s="6">
        <f t="shared" si="77"/>
        <v>49651.209999999985</v>
      </c>
      <c r="R49" s="75">
        <f ca="1">IF(NOW()-TODAY()&gt;15/24, G49, [1]!s_dq_volume(B49,R$2,1))/$I$2</f>
        <v>217</v>
      </c>
      <c r="S49" s="78">
        <f t="shared" si="71"/>
        <v>0</v>
      </c>
      <c r="T49" s="78">
        <f t="shared" si="72"/>
        <v>148.4</v>
      </c>
      <c r="AB49" s="17" t="s">
        <v>424</v>
      </c>
      <c r="AC49" s="29" t="str">
        <f>IF([1]!w_info_callput(AB49)="认购","C","P")</f>
        <v>P</v>
      </c>
      <c r="AD49" s="31">
        <f>[1]!w_info_strikeprice(AB49,"")</f>
        <v>3.7</v>
      </c>
      <c r="AE49" s="18" t="str">
        <f>[1]!w_info_lasttradingdate(AB49)</f>
        <v>2020-05-27</v>
      </c>
      <c r="AF49" s="15">
        <f>RTD("wdf.rtq",,$AB49,F$5)</f>
        <v>0.16350000000000001</v>
      </c>
      <c r="AG49" s="73">
        <f>RTD("wdf.rtq",,$AB49,G$5)</f>
        <v>6116</v>
      </c>
      <c r="AH49" s="15">
        <f>RTD("wdf.rtq",,$AB49,H$5)</f>
        <v>0.16140000000000002</v>
      </c>
      <c r="AI49" s="73">
        <f>RTD("wdf.rtq",,$AB49,I$5)</f>
        <v>3</v>
      </c>
      <c r="AJ49" s="15">
        <f>RTD("wdf.rtq",,$AB49,J$5)</f>
        <v>0.16500000000000001</v>
      </c>
      <c r="AK49" s="77">
        <f>RTD("wdf.rtq",,$AB49,K$5)</f>
        <v>7</v>
      </c>
      <c r="AL49" s="15">
        <f>[1]!s_dq_presettle(AB49,"")</f>
        <v>0.15359999999999999</v>
      </c>
      <c r="AM49" s="15">
        <f t="shared" si="11"/>
        <v>1.1000000000000121E-2</v>
      </c>
      <c r="AN49" s="3">
        <f t="shared" si="12"/>
        <v>16350</v>
      </c>
      <c r="AO49" s="15">
        <f t="shared" si="73"/>
        <v>0.43431999999999987</v>
      </c>
      <c r="AP49" s="14">
        <f t="shared" si="14"/>
        <v>0.25900000000000006</v>
      </c>
      <c r="AQ49" s="8">
        <f t="shared" si="76"/>
        <v>71738.409999999989</v>
      </c>
      <c r="AR49" s="78">
        <f ca="1">IF(NOW()-TODAY()&gt;15/24, AG49, [1]!s_dq_volume(AB49,AR$2,1))/AI$2</f>
        <v>1116</v>
      </c>
      <c r="AS49" s="122">
        <f t="shared" si="74"/>
        <v>0</v>
      </c>
      <c r="AT49" s="122">
        <f t="shared" si="75"/>
        <v>0.16350000000000001</v>
      </c>
      <c r="AV49" s="49">
        <f t="shared" ca="1" si="81"/>
        <v>0</v>
      </c>
      <c r="AY49" s="10"/>
      <c r="AZ49" s="10"/>
      <c r="BA49" s="6">
        <f t="shared" ca="1" si="83"/>
        <v>-1589</v>
      </c>
      <c r="BB49" s="6">
        <f t="shared" ca="1" si="84"/>
        <v>-15379</v>
      </c>
      <c r="BC49" s="6">
        <f t="shared" si="85"/>
        <v>0</v>
      </c>
      <c r="BD49" s="12">
        <f t="shared" si="86"/>
        <v>0</v>
      </c>
      <c r="BE49" s="2">
        <f t="shared" ca="1" si="87"/>
        <v>-2.4075316194960672E-2</v>
      </c>
      <c r="BF49" s="2">
        <f t="shared" ca="1" si="88"/>
        <v>-0.23248251997204589</v>
      </c>
      <c r="BG49" s="2">
        <f t="shared" si="89"/>
        <v>0</v>
      </c>
      <c r="BH49" s="13">
        <f t="shared" si="90"/>
        <v>0</v>
      </c>
      <c r="BI49" s="2">
        <f t="shared" ca="1" si="91"/>
        <v>-0.15977255293019355</v>
      </c>
      <c r="BJ49" s="2">
        <f t="shared" ca="1" si="92"/>
        <v>-1.5428385416326682</v>
      </c>
      <c r="BK49" s="2">
        <f t="shared" ca="1" si="93"/>
        <v>0</v>
      </c>
      <c r="BL49" s="56">
        <f t="shared" ca="1" si="94"/>
        <v>0</v>
      </c>
      <c r="BN49" s="6">
        <f t="shared" ca="1" si="95"/>
        <v>1431</v>
      </c>
      <c r="BO49" s="6">
        <f t="shared" si="96"/>
        <v>0</v>
      </c>
      <c r="BP49" s="6">
        <f t="shared" ca="1" si="97"/>
        <v>15161</v>
      </c>
      <c r="BQ49" s="12">
        <f t="shared" ca="1" si="98"/>
        <v>15221</v>
      </c>
      <c r="BR49" s="2">
        <f t="shared" ca="1" si="99"/>
        <v>1.6528370063622098E-2</v>
      </c>
      <c r="BS49" s="2">
        <f t="shared" si="100"/>
        <v>0</v>
      </c>
      <c r="BT49" s="2">
        <f t="shared" ca="1" si="101"/>
        <v>0.20786024596361619</v>
      </c>
      <c r="BU49" s="13">
        <f t="shared" ca="1" si="102"/>
        <v>0.208682914804422</v>
      </c>
      <c r="BV49" s="2">
        <f t="shared" ca="1" si="103"/>
        <v>0.109688274058583</v>
      </c>
      <c r="BW49" s="2">
        <f t="shared" ca="1" si="104"/>
        <v>0</v>
      </c>
      <c r="BX49" s="2">
        <f t="shared" ca="1" si="105"/>
        <v>1.379436177758544</v>
      </c>
      <c r="BY49" s="13">
        <f t="shared" ca="1" si="106"/>
        <v>1.3848957073384367</v>
      </c>
      <c r="CB49" s="17" t="s">
        <v>74</v>
      </c>
      <c r="CC49" s="123" t="b">
        <f t="shared" si="78"/>
        <v>1</v>
      </c>
      <c r="CD49" s="17" t="s">
        <v>424</v>
      </c>
      <c r="CE49" s="138" t="str">
        <f>IF([1]!w_info_callput(CD49)="认购","C","P")</f>
        <v>P</v>
      </c>
      <c r="CF49" s="139">
        <f>[1]!w_info_strikeprice(CD49,"")</f>
        <v>3.7</v>
      </c>
      <c r="CG49" s="140" t="str">
        <f>[1]!w_info_lasttradingdate(CD49)</f>
        <v>2020-05-27</v>
      </c>
      <c r="CH49" s="55" t="str">
        <f t="shared" si="79"/>
        <v>IO2005-P-3700.CFE</v>
      </c>
      <c r="CI49" s="55" t="str">
        <f t="shared" si="80"/>
        <v>IO2005-P-3700.CFE</v>
      </c>
      <c r="CK49" s="17" t="s">
        <v>232</v>
      </c>
      <c r="CL49" s="17"/>
    </row>
    <row r="50" spans="1:90">
      <c r="A50" s="50" t="str">
        <f t="shared" si="82"/>
        <v>T</v>
      </c>
      <c r="B50" t="s">
        <v>261</v>
      </c>
      <c r="C50" s="29" t="str">
        <f t="shared" si="3"/>
        <v>P</v>
      </c>
      <c r="D50" s="125">
        <f>[1]!w_info_strikeprice(B50,"")</f>
        <v>3800</v>
      </c>
      <c r="E50" s="18" t="str">
        <f>[1]!w_info_lasttradingdate(B50)</f>
        <v>2020-05-15</v>
      </c>
      <c r="F50" s="4">
        <f>IF(G50&gt;0,RTD("wdf.rtq",,$B50,F$5),0)</f>
        <v>199.4</v>
      </c>
      <c r="G50" s="73">
        <f>RTD("wdf.rtq",,$B50,G$5)</f>
        <v>67</v>
      </c>
      <c r="H50" s="4">
        <f>RTD("wdf.rtq",,$B50,H$5)</f>
        <v>12</v>
      </c>
      <c r="I50" s="73">
        <f>RTD("wdf.rtq",,$B50,I$5)</f>
        <v>5</v>
      </c>
      <c r="J50" s="4">
        <f>RTD("wdf.rtq",,$B50,J$5)</f>
        <v>206.8</v>
      </c>
      <c r="K50" s="73">
        <f>RTD("wdf.rtq",,$B50,K$5)</f>
        <v>2</v>
      </c>
      <c r="L50" s="4">
        <f>[1]!s_dq_presettle(B50,"")</f>
        <v>191</v>
      </c>
      <c r="M50" s="6">
        <f t="shared" si="4"/>
        <v>0</v>
      </c>
      <c r="N50" s="3">
        <f t="shared" si="5"/>
        <v>19940</v>
      </c>
      <c r="O50" s="6">
        <f t="shared" si="6"/>
        <v>37243.200000000004</v>
      </c>
      <c r="P50" s="3">
        <f t="shared" si="7"/>
        <v>19000</v>
      </c>
      <c r="Q50" s="6">
        <f t="shared" si="77"/>
        <v>57183.210000000006</v>
      </c>
      <c r="R50" s="75">
        <f ca="1">IF(NOW()-TODAY()&gt;15/24, G50, [1]!s_dq_volume(B50,R$2,1))/$I$2</f>
        <v>75</v>
      </c>
      <c r="S50" s="78">
        <f t="shared" si="71"/>
        <v>75.679999999999836</v>
      </c>
      <c r="T50" s="78">
        <f t="shared" si="72"/>
        <v>123.72000000000017</v>
      </c>
      <c r="AB50" s="17" t="s">
        <v>425</v>
      </c>
      <c r="AC50" s="29" t="str">
        <f>IF([1]!w_info_callput(AB50)="认购","C","P")</f>
        <v>P</v>
      </c>
      <c r="AD50" s="31">
        <f>[1]!w_info_strikeprice(AB50,"")</f>
        <v>3.8</v>
      </c>
      <c r="AE50" s="18" t="str">
        <f>[1]!w_info_lasttradingdate(AB50)</f>
        <v>2020-05-27</v>
      </c>
      <c r="AF50" s="15">
        <f>RTD("wdf.rtq",,$AB50,F$5)</f>
        <v>0.2177</v>
      </c>
      <c r="AG50" s="73">
        <f>RTD("wdf.rtq",,$AB50,G$5)</f>
        <v>1434</v>
      </c>
      <c r="AH50" s="15">
        <f>RTD("wdf.rtq",,$AB50,H$5)</f>
        <v>0.19460000000000002</v>
      </c>
      <c r="AI50" s="73">
        <f>RTD("wdf.rtq",,$AB50,I$5)</f>
        <v>17</v>
      </c>
      <c r="AJ50" s="15">
        <f>RTD("wdf.rtq",,$AB50,J$5)</f>
        <v>0.221</v>
      </c>
      <c r="AK50" s="77">
        <f>RTD("wdf.rtq",,$AB50,K$5)</f>
        <v>2</v>
      </c>
      <c r="AL50" s="15">
        <f>[1]!s_dq_presettle(AB50,"")</f>
        <v>0.20699999999999999</v>
      </c>
      <c r="AM50" s="15">
        <f t="shared" si="11"/>
        <v>0</v>
      </c>
      <c r="AN50" s="3">
        <f t="shared" si="12"/>
        <v>21770</v>
      </c>
      <c r="AO50" s="15">
        <f t="shared" si="73"/>
        <v>0.44531999999999999</v>
      </c>
      <c r="AP50" s="14">
        <f t="shared" si="14"/>
        <v>0.26600000000000001</v>
      </c>
      <c r="AQ50" s="8">
        <f t="shared" si="76"/>
        <v>79562.409999999989</v>
      </c>
      <c r="AR50" s="78">
        <f ca="1">IF(NOW()-TODAY()&gt;15/24, AG50, [1]!s_dq_volume(AB50,AR$2,1))/AI$2</f>
        <v>403.1</v>
      </c>
      <c r="AS50" s="122">
        <f t="shared" si="74"/>
        <v>8.8999999999999524E-2</v>
      </c>
      <c r="AT50" s="122">
        <f t="shared" si="75"/>
        <v>0.12870000000000048</v>
      </c>
      <c r="AV50" s="49">
        <f t="shared" ca="1" si="81"/>
        <v>-1349.300972277626</v>
      </c>
      <c r="AY50" s="10"/>
      <c r="AZ50" s="10"/>
      <c r="BA50" s="6">
        <f t="shared" ca="1" si="83"/>
        <v>-559.69902772237401</v>
      </c>
      <c r="BB50" s="6">
        <f t="shared" ca="1" si="84"/>
        <v>-19629.699027722374</v>
      </c>
      <c r="BC50" s="6">
        <f t="shared" ca="1" si="85"/>
        <v>2430.3009722776223</v>
      </c>
      <c r="BD50" s="12">
        <f t="shared" ca="1" si="86"/>
        <v>2490.3009722776223</v>
      </c>
      <c r="BE50" s="2">
        <f t="shared" ca="1" si="87"/>
        <v>-7.0889964793372428E-3</v>
      </c>
      <c r="BF50" s="2">
        <f t="shared" ca="1" si="88"/>
        <v>-0.24758960980165123</v>
      </c>
      <c r="BG50" s="2">
        <f t="shared" ca="1" si="89"/>
        <v>3.1701007201206707E-2</v>
      </c>
      <c r="BH50" s="13">
        <f t="shared" ca="1" si="90"/>
        <v>3.2492127773322936E-2</v>
      </c>
      <c r="BI50" s="2">
        <f t="shared" ca="1" si="91"/>
        <v>-4.7045158453783521E-2</v>
      </c>
      <c r="BJ50" s="2">
        <f t="shared" ca="1" si="92"/>
        <v>-1.64309468322914</v>
      </c>
      <c r="BK50" s="2">
        <f t="shared" ca="1" si="93"/>
        <v>0.21037941142618996</v>
      </c>
      <c r="BL50" s="56">
        <f t="shared" ca="1" si="94"/>
        <v>0.21562957522296131</v>
      </c>
      <c r="BN50" s="6">
        <f t="shared" ca="1" si="95"/>
        <v>401.69902772237401</v>
      </c>
      <c r="BO50" s="6">
        <f t="shared" ca="1" si="96"/>
        <v>-2648.3009722776223</v>
      </c>
      <c r="BP50" s="6">
        <f t="shared" ca="1" si="97"/>
        <v>19411.699027722374</v>
      </c>
      <c r="BQ50" s="12">
        <f t="shared" ca="1" si="98"/>
        <v>19471.699027722374</v>
      </c>
      <c r="BR50" s="2">
        <f t="shared" ca="1" si="99"/>
        <v>4.0370783755124531E-3</v>
      </c>
      <c r="BS50" s="2">
        <f t="shared" ca="1" si="100"/>
        <v>-2.6418967503650626E-2</v>
      </c>
      <c r="BT50" s="2">
        <f t="shared" ca="1" si="101"/>
        <v>0.24035555923369784</v>
      </c>
      <c r="BU50" s="13">
        <f t="shared" ca="1" si="102"/>
        <v>0.24109853863601119</v>
      </c>
      <c r="BV50" s="2">
        <f t="shared" ca="1" si="103"/>
        <v>2.6791520128400824E-2</v>
      </c>
      <c r="BW50" s="2">
        <f t="shared" ca="1" si="104"/>
        <v>-0.17532587525149962</v>
      </c>
      <c r="BX50" s="2">
        <f t="shared" ca="1" si="105"/>
        <v>1.5950868930963584</v>
      </c>
      <c r="BY50" s="13">
        <f t="shared" ca="1" si="106"/>
        <v>1.6000175745844381</v>
      </c>
      <c r="CB50" s="17" t="s">
        <v>75</v>
      </c>
      <c r="CC50" s="123" t="b">
        <f t="shared" si="78"/>
        <v>1</v>
      </c>
      <c r="CD50" s="17" t="s">
        <v>425</v>
      </c>
      <c r="CE50" s="138" t="str">
        <f>IF([1]!w_info_callput(CD50)="认购","C","P")</f>
        <v>P</v>
      </c>
      <c r="CF50" s="139">
        <f>[1]!w_info_strikeprice(CD50,"")</f>
        <v>3.8</v>
      </c>
      <c r="CG50" s="140" t="str">
        <f>[1]!w_info_lasttradingdate(CD50)</f>
        <v>2020-05-27</v>
      </c>
      <c r="CH50" s="55" t="str">
        <f t="shared" si="79"/>
        <v>IO2005-P-3800.CFE</v>
      </c>
      <c r="CI50" s="55" t="str">
        <f t="shared" si="80"/>
        <v>IO2005-P-3800.CFE</v>
      </c>
      <c r="CK50" s="17" t="s">
        <v>233</v>
      </c>
      <c r="CL50" s="17"/>
    </row>
    <row r="51" spans="1:90">
      <c r="A51" s="50" t="str">
        <f t="shared" si="82"/>
        <v>T</v>
      </c>
      <c r="B51" t="s">
        <v>263</v>
      </c>
      <c r="C51" s="29" t="str">
        <f t="shared" si="3"/>
        <v>P</v>
      </c>
      <c r="D51" s="125">
        <f>[1]!w_info_strikeprice(B51,"")</f>
        <v>3900</v>
      </c>
      <c r="E51" s="18" t="str">
        <f>[1]!w_info_lasttradingdate(B51)</f>
        <v>2020-05-15</v>
      </c>
      <c r="F51" s="4">
        <f>IF(G51&gt;0,RTD("wdf.rtq",,$B51,F$5),0)</f>
        <v>268.2</v>
      </c>
      <c r="G51" s="73">
        <f>RTD("wdf.rtq",,$B51,G$5)</f>
        <v>11</v>
      </c>
      <c r="H51" s="4">
        <f>RTD("wdf.rtq",,$B51,H$5)</f>
        <v>12</v>
      </c>
      <c r="I51" s="73">
        <f>RTD("wdf.rtq",,$B51,I$5)</f>
        <v>5</v>
      </c>
      <c r="J51" s="4">
        <f>RTD("wdf.rtq",,$B51,J$5)</f>
        <v>0</v>
      </c>
      <c r="K51" s="73">
        <f>RTD("wdf.rtq",,$B51,K$5)</f>
        <v>0</v>
      </c>
      <c r="L51" s="4">
        <f>[1]!s_dq_presettle(B51,"")</f>
        <v>257.60000000000002</v>
      </c>
      <c r="M51" s="6">
        <f t="shared" si="4"/>
        <v>0</v>
      </c>
      <c r="N51" s="3">
        <f t="shared" si="5"/>
        <v>26820</v>
      </c>
      <c r="O51" s="6">
        <f t="shared" si="6"/>
        <v>37243.200000000004</v>
      </c>
      <c r="P51" s="3">
        <f t="shared" si="7"/>
        <v>19500</v>
      </c>
      <c r="Q51" s="6">
        <f t="shared" ref="Q51:Q59" si="107">I$2*(N51+MAX(O51,P51))*$Q$2+0.01</f>
        <v>64063.210000000006</v>
      </c>
      <c r="R51" s="75">
        <f ca="1">IF(NOW()-TODAY()&gt;15/24, G51, [1]!s_dq_volume(B51,R$2,1))/$I$2</f>
        <v>18</v>
      </c>
      <c r="S51" s="78">
        <f t="shared" si="71"/>
        <v>175.67999999999984</v>
      </c>
      <c r="T51" s="78">
        <f t="shared" si="72"/>
        <v>92.520000000000152</v>
      </c>
      <c r="AB51" s="17" t="s">
        <v>426</v>
      </c>
      <c r="AC51" s="29" t="str">
        <f>IF([1]!w_info_callput(AB51)="认购","C","P")</f>
        <v>P</v>
      </c>
      <c r="AD51" s="31">
        <f>[1]!w_info_strikeprice(AB51,"")</f>
        <v>3.9</v>
      </c>
      <c r="AE51" s="18" t="str">
        <f>[1]!w_info_lasttradingdate(AB51)</f>
        <v>2020-05-27</v>
      </c>
      <c r="AF51" s="15">
        <f>RTD("wdf.rtq",,$AB51,F$5)</f>
        <v>0.28360000000000002</v>
      </c>
      <c r="AG51" s="73">
        <f>RTD("wdf.rtq",,$AB51,G$5)</f>
        <v>757</v>
      </c>
      <c r="AH51" s="15">
        <f>RTD("wdf.rtq",,$AB51,H$5)</f>
        <v>0.27579999999999999</v>
      </c>
      <c r="AI51" s="73">
        <f>RTD("wdf.rtq",,$AB51,I$5)</f>
        <v>25</v>
      </c>
      <c r="AJ51" s="15">
        <f>RTD("wdf.rtq",,$AB51,J$5)</f>
        <v>0.2923</v>
      </c>
      <c r="AK51" s="77">
        <f>RTD("wdf.rtq",,$AB51,K$5)</f>
        <v>26</v>
      </c>
      <c r="AL51" s="15">
        <f>[1]!s_dq_presettle(AB51,"")</f>
        <v>0.2712</v>
      </c>
      <c r="AM51" s="15">
        <f t="shared" si="11"/>
        <v>0</v>
      </c>
      <c r="AN51" s="3">
        <f t="shared" si="12"/>
        <v>28360.000000000004</v>
      </c>
      <c r="AO51" s="15">
        <f t="shared" si="73"/>
        <v>0.44531999999999999</v>
      </c>
      <c r="AP51" s="14">
        <f t="shared" si="14"/>
        <v>0.27300000000000002</v>
      </c>
      <c r="AQ51" s="8">
        <f t="shared" si="76"/>
        <v>87470.409999999989</v>
      </c>
      <c r="AR51" s="78">
        <f ca="1">IF(NOW()-TODAY()&gt;15/24, AG51, [1]!s_dq_volume(AB51,AR$2,1))/AI$2</f>
        <v>173.4</v>
      </c>
      <c r="AS51" s="122">
        <f t="shared" si="74"/>
        <v>0.18899999999999961</v>
      </c>
      <c r="AT51" s="122">
        <f t="shared" si="75"/>
        <v>9.4600000000000406E-2</v>
      </c>
      <c r="AV51" s="49">
        <f t="shared" ca="1" si="81"/>
        <v>-1349.3009722776333</v>
      </c>
      <c r="AY51" s="10"/>
      <c r="AZ51" s="10"/>
      <c r="BA51" s="6">
        <f t="shared" ca="1" si="83"/>
        <v>-269.69902772237037</v>
      </c>
      <c r="BB51" s="6">
        <f t="shared" ca="1" si="84"/>
        <v>-26759.699027722367</v>
      </c>
      <c r="BC51" s="6">
        <f t="shared" si="85"/>
        <v>0</v>
      </c>
      <c r="BD51" s="12">
        <f t="shared" si="86"/>
        <v>0</v>
      </c>
      <c r="BE51" s="2">
        <f t="shared" ca="1" si="87"/>
        <v>-2.9180876505195E-3</v>
      </c>
      <c r="BF51" s="2">
        <f t="shared" ca="1" si="88"/>
        <v>-0.28683436905775206</v>
      </c>
      <c r="BG51" s="2">
        <f t="shared" si="89"/>
        <v>0</v>
      </c>
      <c r="BH51" s="13">
        <f t="shared" si="90"/>
        <v>0</v>
      </c>
      <c r="BI51" s="2">
        <f t="shared" ca="1" si="91"/>
        <v>-1.9365490771629409E-2</v>
      </c>
      <c r="BJ51" s="2">
        <f t="shared" ca="1" si="92"/>
        <v>-1.9035371764741726</v>
      </c>
      <c r="BK51" s="2">
        <f t="shared" ca="1" si="93"/>
        <v>0</v>
      </c>
      <c r="BL51" s="56">
        <f t="shared" ca="1" si="94"/>
        <v>0</v>
      </c>
      <c r="BN51" s="6">
        <f t="shared" ca="1" si="95"/>
        <v>111.69902772237037</v>
      </c>
      <c r="BO51" s="6">
        <f t="shared" si="96"/>
        <v>0</v>
      </c>
      <c r="BP51" s="6">
        <f t="shared" ca="1" si="97"/>
        <v>26541.699027722367</v>
      </c>
      <c r="BQ51" s="12">
        <f t="shared" ca="1" si="98"/>
        <v>26601.699027722367</v>
      </c>
      <c r="BR51" s="2">
        <f t="shared" ca="1" si="99"/>
        <v>9.7732633667488278E-4</v>
      </c>
      <c r="BS51" s="2">
        <f t="shared" si="100"/>
        <v>0</v>
      </c>
      <c r="BT51" s="2">
        <f t="shared" ca="1" si="101"/>
        <v>0.29932976560193031</v>
      </c>
      <c r="BU51" s="13">
        <f t="shared" ca="1" si="102"/>
        <v>0.30000649627899961</v>
      </c>
      <c r="BV51" s="2">
        <f t="shared" ca="1" si="103"/>
        <v>6.4858929615696764E-3</v>
      </c>
      <c r="BW51" s="2">
        <f t="shared" ca="1" si="104"/>
        <v>0</v>
      </c>
      <c r="BX51" s="2">
        <f t="shared" ca="1" si="105"/>
        <v>1.9864611717219012</v>
      </c>
      <c r="BY51" s="13">
        <f t="shared" ca="1" si="106"/>
        <v>1.9909522025788156</v>
      </c>
      <c r="CB51" s="17" t="s">
        <v>76</v>
      </c>
      <c r="CC51" s="123" t="b">
        <f t="shared" si="78"/>
        <v>1</v>
      </c>
      <c r="CD51" s="17" t="s">
        <v>426</v>
      </c>
      <c r="CE51" s="138" t="str">
        <f>IF([1]!w_info_callput(CD51)="认购","C","P")</f>
        <v>P</v>
      </c>
      <c r="CF51" s="139">
        <f>[1]!w_info_strikeprice(CD51,"")</f>
        <v>3.9</v>
      </c>
      <c r="CG51" s="140" t="str">
        <f>[1]!w_info_lasttradingdate(CD51)</f>
        <v>2020-05-27</v>
      </c>
      <c r="CH51" s="55" t="str">
        <f t="shared" si="79"/>
        <v>IO2005-P-3900.CFE</v>
      </c>
      <c r="CI51" s="55" t="str">
        <f t="shared" si="80"/>
        <v>IO2005-P-3900.CFE</v>
      </c>
      <c r="CK51" s="17" t="s">
        <v>234</v>
      </c>
      <c r="CL51" s="17"/>
    </row>
    <row r="52" spans="1:90">
      <c r="A52" s="50" t="str">
        <f t="shared" si="82"/>
        <v>T</v>
      </c>
      <c r="B52" t="s">
        <v>265</v>
      </c>
      <c r="C52" s="29" t="str">
        <f t="shared" si="3"/>
        <v>P</v>
      </c>
      <c r="D52" s="125">
        <f>[1]!w_info_strikeprice(B52,"")</f>
        <v>4000</v>
      </c>
      <c r="E52" s="18" t="str">
        <f>[1]!w_info_lasttradingdate(B52)</f>
        <v>2020-05-15</v>
      </c>
      <c r="F52" s="4">
        <f>IF(G52&gt;0,RTD("wdf.rtq",,$B52,F$5),0)</f>
        <v>347.40000000000003</v>
      </c>
      <c r="G52" s="73">
        <f>RTD("wdf.rtq",,$B52,G$5)</f>
        <v>5</v>
      </c>
      <c r="H52" s="4">
        <f>RTD("wdf.rtq",,$B52,H$5)</f>
        <v>7.2</v>
      </c>
      <c r="I52" s="73">
        <f>RTD("wdf.rtq",,$B52,I$5)</f>
        <v>1</v>
      </c>
      <c r="J52" s="4">
        <f>RTD("wdf.rtq",,$B52,J$5)</f>
        <v>0</v>
      </c>
      <c r="K52" s="73">
        <f>RTD("wdf.rtq",,$B52,K$5)</f>
        <v>0</v>
      </c>
      <c r="L52" s="4">
        <f>[1]!s_dq_presettle(B52,"")</f>
        <v>330</v>
      </c>
      <c r="M52" s="6">
        <f t="shared" si="4"/>
        <v>0</v>
      </c>
      <c r="N52" s="3">
        <f t="shared" si="5"/>
        <v>34740</v>
      </c>
      <c r="O52" s="6">
        <f t="shared" si="6"/>
        <v>37243.200000000004</v>
      </c>
      <c r="P52" s="3">
        <f t="shared" si="7"/>
        <v>20000</v>
      </c>
      <c r="Q52" s="6">
        <f t="shared" si="107"/>
        <v>71983.210000000006</v>
      </c>
      <c r="R52" s="75">
        <f ca="1">IF(NOW()-TODAY()&gt;15/24, G52, [1]!s_dq_volume(B52,R$2,1))/$I$2</f>
        <v>20</v>
      </c>
      <c r="S52" s="78">
        <f t="shared" si="71"/>
        <v>275.67999999999984</v>
      </c>
      <c r="T52" s="78">
        <f t="shared" si="72"/>
        <v>71.720000000000198</v>
      </c>
      <c r="AB52" s="17" t="s">
        <v>427</v>
      </c>
      <c r="AC52" s="29" t="str">
        <f>IF([1]!w_info_callput(AB52)="认购","C","P")</f>
        <v>P</v>
      </c>
      <c r="AD52" s="31">
        <f>[1]!w_info_strikeprice(AB52,"")</f>
        <v>4</v>
      </c>
      <c r="AE52" s="18" t="str">
        <f>[1]!w_info_lasttradingdate(AB52)</f>
        <v>2020-05-27</v>
      </c>
      <c r="AF52" s="15">
        <f>RTD("wdf.rtq",,$AB52,F$5)</f>
        <v>0.36200000000000004</v>
      </c>
      <c r="AG52" s="73">
        <f>RTD("wdf.rtq",,$AB52,G$5)</f>
        <v>184</v>
      </c>
      <c r="AH52" s="15">
        <f>RTD("wdf.rtq",,$AB52,H$5)</f>
        <v>0.35110000000000002</v>
      </c>
      <c r="AI52" s="73">
        <f>RTD("wdf.rtq",,$AB52,I$5)</f>
        <v>1</v>
      </c>
      <c r="AJ52" s="15">
        <f>RTD("wdf.rtq",,$AB52,J$5)</f>
        <v>0.36980000000000002</v>
      </c>
      <c r="AK52" s="77">
        <f>RTD("wdf.rtq",,$AB52,K$5)</f>
        <v>10</v>
      </c>
      <c r="AL52" s="15">
        <f>[1]!s_dq_presettle(AB52,"")</f>
        <v>0.34410000000000002</v>
      </c>
      <c r="AM52" s="15">
        <f t="shared" si="11"/>
        <v>0</v>
      </c>
      <c r="AN52" s="3">
        <f t="shared" si="12"/>
        <v>36200.000000000007</v>
      </c>
      <c r="AO52" s="15">
        <f t="shared" si="73"/>
        <v>0.44531999999999999</v>
      </c>
      <c r="AP52" s="14">
        <f t="shared" si="14"/>
        <v>0.28000000000000003</v>
      </c>
      <c r="AQ52" s="8">
        <f t="shared" si="76"/>
        <v>96878.409999999989</v>
      </c>
      <c r="AR52" s="78">
        <f ca="1">IF(NOW()-TODAY()&gt;15/24, AG52, [1]!s_dq_volume(AB52,AR$2,1))/AI$2</f>
        <v>52.6</v>
      </c>
      <c r="AS52" s="122">
        <f t="shared" si="74"/>
        <v>0.2889999999999997</v>
      </c>
      <c r="AT52" s="122">
        <f t="shared" si="75"/>
        <v>7.3000000000000342E-2</v>
      </c>
      <c r="AV52" s="49">
        <f t="shared" ca="1" si="81"/>
        <v>-1349.3009722776405</v>
      </c>
      <c r="AY52" s="10"/>
      <c r="AZ52" s="10"/>
      <c r="BA52" s="6">
        <f t="shared" ca="1" si="83"/>
        <v>-189.69902772236674</v>
      </c>
      <c r="BB52" s="6">
        <f t="shared" ca="1" si="84"/>
        <v>-34989.699027722359</v>
      </c>
      <c r="BC52" s="6">
        <f t="shared" si="85"/>
        <v>0</v>
      </c>
      <c r="BD52" s="12">
        <f t="shared" si="86"/>
        <v>0</v>
      </c>
      <c r="BE52" s="2">
        <f t="shared" ca="1" si="87"/>
        <v>-1.7534978646165768E-3</v>
      </c>
      <c r="BF52" s="2">
        <f t="shared" ca="1" si="88"/>
        <v>-0.32111479670727722</v>
      </c>
      <c r="BG52" s="2">
        <f t="shared" si="89"/>
        <v>0</v>
      </c>
      <c r="BH52" s="13">
        <f t="shared" si="90"/>
        <v>0</v>
      </c>
      <c r="BI52" s="2">
        <f t="shared" ca="1" si="91"/>
        <v>-1.1636849465182736E-2</v>
      </c>
      <c r="BJ52" s="2">
        <f t="shared" ca="1" si="92"/>
        <v>-2.1310345599664759</v>
      </c>
      <c r="BK52" s="2">
        <f t="shared" ca="1" si="93"/>
        <v>0</v>
      </c>
      <c r="BL52" s="56">
        <f t="shared" ca="1" si="94"/>
        <v>0</v>
      </c>
      <c r="BN52" s="6">
        <f t="shared" ca="1" si="95"/>
        <v>31.699027722366736</v>
      </c>
      <c r="BO52" s="6">
        <f t="shared" si="96"/>
        <v>0</v>
      </c>
      <c r="BP52" s="6">
        <f t="shared" ca="1" si="97"/>
        <v>34771.699027722359</v>
      </c>
      <c r="BQ52" s="12">
        <f t="shared" ca="1" si="98"/>
        <v>34831.699027722359</v>
      </c>
      <c r="BR52" s="2">
        <f t="shared" ca="1" si="99"/>
        <v>2.4084037880693697E-4</v>
      </c>
      <c r="BS52" s="2">
        <f t="shared" si="100"/>
        <v>0</v>
      </c>
      <c r="BT52" s="2">
        <f t="shared" ca="1" si="101"/>
        <v>0.35627313910400366</v>
      </c>
      <c r="BU52" s="13">
        <f t="shared" ca="1" si="102"/>
        <v>0.35688797622545659</v>
      </c>
      <c r="BV52" s="2">
        <f t="shared" ca="1" si="103"/>
        <v>1.5983043320823998E-3</v>
      </c>
      <c r="BW52" s="2">
        <f t="shared" ca="1" si="104"/>
        <v>0</v>
      </c>
      <c r="BX52" s="2">
        <f t="shared" ca="1" si="105"/>
        <v>2.3643581049629332</v>
      </c>
      <c r="BY52" s="13">
        <f t="shared" ca="1" si="106"/>
        <v>2.3684383876780299</v>
      </c>
      <c r="CB52" s="17" t="s">
        <v>77</v>
      </c>
      <c r="CC52" s="123" t="b">
        <f t="shared" si="78"/>
        <v>1</v>
      </c>
      <c r="CD52" s="17" t="s">
        <v>427</v>
      </c>
      <c r="CE52" s="138" t="str">
        <f>IF([1]!w_info_callput(CD52)="认购","C","P")</f>
        <v>P</v>
      </c>
      <c r="CF52" s="139">
        <f>[1]!w_info_strikeprice(CD52,"")</f>
        <v>4</v>
      </c>
      <c r="CG52" s="140" t="str">
        <f>[1]!w_info_lasttradingdate(CD52)</f>
        <v>2020-05-27</v>
      </c>
      <c r="CH52" s="55" t="str">
        <f t="shared" si="79"/>
        <v>IO2005-P-4000.CFE</v>
      </c>
      <c r="CI52" s="55" t="str">
        <f t="shared" si="80"/>
        <v>IO2005-P-4000.CFE</v>
      </c>
      <c r="CK52" s="17" t="s">
        <v>235</v>
      </c>
      <c r="CL52" s="17"/>
    </row>
    <row r="53" spans="1:90" s="34" customFormat="1">
      <c r="A53" s="51" t="str">
        <f t="shared" si="82"/>
        <v>T</v>
      </c>
      <c r="B53" s="34" t="s">
        <v>267</v>
      </c>
      <c r="C53" s="35" t="str">
        <f t="shared" si="3"/>
        <v>P</v>
      </c>
      <c r="D53" s="126">
        <f>[1]!w_info_strikeprice(B53,"")</f>
        <v>4100</v>
      </c>
      <c r="E53" s="36" t="str">
        <f>[1]!w_info_lasttradingdate(B53)</f>
        <v>2020-05-15</v>
      </c>
      <c r="F53" s="37">
        <f>IF(G53&gt;0,RTD("wdf.rtq",,$B53,F$5),0)</f>
        <v>0</v>
      </c>
      <c r="G53" s="74">
        <f>RTD("wdf.rtq",,$B53,G$5)</f>
        <v>0</v>
      </c>
      <c r="H53" s="37">
        <f>RTD("wdf.rtq",,$B53,H$5)</f>
        <v>110</v>
      </c>
      <c r="I53" s="74">
        <f>RTD("wdf.rtq",,$B53,I$5)</f>
        <v>5</v>
      </c>
      <c r="J53" s="37">
        <f>RTD("wdf.rtq",,$B53,J$5)</f>
        <v>520</v>
      </c>
      <c r="K53" s="74">
        <f>RTD("wdf.rtq",,$B53,K$5)</f>
        <v>1</v>
      </c>
      <c r="L53" s="37">
        <f>[1]!s_dq_presettle(B53,"")</f>
        <v>414.2</v>
      </c>
      <c r="M53" s="39">
        <f t="shared" si="4"/>
        <v>0</v>
      </c>
      <c r="N53" s="38">
        <f t="shared" si="5"/>
        <v>0</v>
      </c>
      <c r="O53" s="39">
        <f t="shared" si="6"/>
        <v>37243.200000000004</v>
      </c>
      <c r="P53" s="38">
        <f t="shared" si="7"/>
        <v>20500</v>
      </c>
      <c r="Q53" s="39">
        <f t="shared" si="107"/>
        <v>37243.210000000006</v>
      </c>
      <c r="R53" s="76">
        <f ca="1">IF(NOW()-TODAY()&gt;15/24, G53, [1]!s_dq_volume(B53,R$2,1))/$I$2</f>
        <v>0</v>
      </c>
      <c r="S53" s="79">
        <f t="shared" si="71"/>
        <v>375.67999999999984</v>
      </c>
      <c r="T53" s="79">
        <f t="shared" si="72"/>
        <v>-375.67999999999984</v>
      </c>
      <c r="AB53" s="40" t="s">
        <v>428</v>
      </c>
      <c r="AC53" s="35" t="str">
        <f>IF([1]!w_info_callput(AB53)="认购","C","P")</f>
        <v>P</v>
      </c>
      <c r="AD53" s="41">
        <f>[1]!w_info_strikeprice(AB53,"")</f>
        <v>4.0999999999999996</v>
      </c>
      <c r="AE53" s="36" t="str">
        <f>[1]!w_info_lasttradingdate(AB53)</f>
        <v>2020-05-27</v>
      </c>
      <c r="AF53" s="42">
        <f>RTD("wdf.rtq",,$AB53,F$5)</f>
        <v>0.44230000000000003</v>
      </c>
      <c r="AG53" s="74">
        <f>RTD("wdf.rtq",,$AB53,G$5)</f>
        <v>129</v>
      </c>
      <c r="AH53" s="42">
        <f>RTD("wdf.rtq",,$AB53,H$5)</f>
        <v>0.42120000000000002</v>
      </c>
      <c r="AI53" s="74">
        <f>RTD("wdf.rtq",,$AB53,I$5)</f>
        <v>2</v>
      </c>
      <c r="AJ53" s="42">
        <f>RTD("wdf.rtq",,$AB53,J$5)</f>
        <v>0.44500000000000001</v>
      </c>
      <c r="AK53" s="74">
        <f>RTD("wdf.rtq",,$AB53,K$5)</f>
        <v>1</v>
      </c>
      <c r="AL53" s="42">
        <f>[1]!s_dq_presettle(AB53,"")</f>
        <v>0.42459999999999998</v>
      </c>
      <c r="AM53" s="42">
        <f t="shared" si="11"/>
        <v>0</v>
      </c>
      <c r="AN53" s="38">
        <f t="shared" si="12"/>
        <v>44230</v>
      </c>
      <c r="AO53" s="42">
        <f t="shared" si="73"/>
        <v>0.44531999999999999</v>
      </c>
      <c r="AP53" s="43">
        <f t="shared" si="14"/>
        <v>0.28699999999999998</v>
      </c>
      <c r="AQ53" s="44">
        <f t="shared" si="76"/>
        <v>106514.41</v>
      </c>
      <c r="AR53" s="79">
        <f ca="1">IF(NOW()-TODAY()&gt;15/24, AG53, [1]!s_dq_volume(AB53,AR$2,1))/AI$2</f>
        <v>30</v>
      </c>
      <c r="AS53" s="129">
        <f t="shared" si="74"/>
        <v>0.38899999999999935</v>
      </c>
      <c r="AT53" s="129">
        <f t="shared" si="75"/>
        <v>5.330000000000068E-2</v>
      </c>
      <c r="AU53" s="84"/>
      <c r="AV53" s="137">
        <f t="shared" ca="1" si="81"/>
        <v>-1349.3009722776042</v>
      </c>
      <c r="AX53" s="45"/>
      <c r="AY53" s="48"/>
      <c r="AZ53" s="48"/>
      <c r="BA53" s="39">
        <f t="shared" si="83"/>
        <v>0</v>
      </c>
      <c r="BB53" s="39">
        <f t="shared" ca="1" si="84"/>
        <v>-32229.699027722396</v>
      </c>
      <c r="BC53" s="39">
        <f t="shared" ca="1" si="85"/>
        <v>11090.300972277604</v>
      </c>
      <c r="BD53" s="130">
        <f t="shared" ca="1" si="86"/>
        <v>11150.300972277604</v>
      </c>
      <c r="BE53" s="46">
        <f t="shared" si="87"/>
        <v>0</v>
      </c>
      <c r="BF53" s="46">
        <f t="shared" ca="1" si="88"/>
        <v>-0.39427983104312142</v>
      </c>
      <c r="BG53" s="46">
        <f t="shared" ca="1" si="89"/>
        <v>0.13970587700192022</v>
      </c>
      <c r="BH53" s="47">
        <f t="shared" ca="1" si="90"/>
        <v>0.14049710151942699</v>
      </c>
      <c r="BI53" s="46">
        <f t="shared" ca="1" si="91"/>
        <v>0</v>
      </c>
      <c r="BJ53" s="46">
        <f t="shared" ca="1" si="92"/>
        <v>-2.6165843332861694</v>
      </c>
      <c r="BK53" s="46">
        <f t="shared" ca="1" si="93"/>
        <v>0.92713900192183418</v>
      </c>
      <c r="BL53" s="46">
        <f t="shared" ca="1" si="94"/>
        <v>0.93238985553801546</v>
      </c>
      <c r="BM53" s="84"/>
      <c r="BN53" s="39">
        <f t="shared" si="95"/>
        <v>0</v>
      </c>
      <c r="BO53" s="39">
        <f t="shared" ca="1" si="96"/>
        <v>-11308.300972277604</v>
      </c>
      <c r="BP53" s="39">
        <f t="shared" ca="1" si="97"/>
        <v>32011.699027722396</v>
      </c>
      <c r="BQ53" s="130">
        <f t="shared" ca="1" si="98"/>
        <v>32071.699027722396</v>
      </c>
      <c r="BR53" s="46">
        <f t="shared" si="99"/>
        <v>0</v>
      </c>
      <c r="BS53" s="46">
        <f t="shared" ca="1" si="100"/>
        <v>-7.1339261662568113E-2</v>
      </c>
      <c r="BT53" s="46">
        <f t="shared" ca="1" si="101"/>
        <v>0.2724065378840913</v>
      </c>
      <c r="BU53" s="47">
        <f t="shared" ca="1" si="102"/>
        <v>0.27291715992721571</v>
      </c>
      <c r="BV53" s="46">
        <f t="shared" ca="1" si="103"/>
        <v>0</v>
      </c>
      <c r="BW53" s="46">
        <f t="shared" ca="1" si="104"/>
        <v>-0.47343328194249745</v>
      </c>
      <c r="BX53" s="46">
        <f t="shared" ca="1" si="105"/>
        <v>1.807788842321697</v>
      </c>
      <c r="BY53" s="47">
        <f t="shared" ca="1" si="106"/>
        <v>1.8111775158806134</v>
      </c>
      <c r="CB53" s="40" t="s">
        <v>78</v>
      </c>
      <c r="CC53" s="131" t="b">
        <f t="shared" si="78"/>
        <v>1</v>
      </c>
      <c r="CD53" s="40" t="s">
        <v>428</v>
      </c>
      <c r="CE53" s="35" t="str">
        <f>IF([1]!w_info_callput(CD53)="认购","C","P")</f>
        <v>P</v>
      </c>
      <c r="CF53" s="37">
        <f>[1]!w_info_strikeprice(CD53,"")</f>
        <v>4.0999999999999996</v>
      </c>
      <c r="CG53" s="141" t="str">
        <f>[1]!w_info_lasttradingdate(CD53)</f>
        <v>2020-05-27</v>
      </c>
      <c r="CH53" s="34" t="str">
        <f t="shared" si="79"/>
        <v>IO2005-P-4100.CFE</v>
      </c>
      <c r="CI53" s="34" t="str">
        <f t="shared" si="80"/>
        <v>IO2005-P-4100.CFE</v>
      </c>
      <c r="CK53" s="40" t="s">
        <v>236</v>
      </c>
      <c r="CL53" s="40"/>
    </row>
    <row r="54" spans="1:90">
      <c r="A54" s="50" t="str">
        <f t="shared" si="82"/>
        <v>T</v>
      </c>
      <c r="B54" t="s">
        <v>346</v>
      </c>
      <c r="C54" s="29" t="str">
        <f t="shared" ref="C54:C59" si="108">IF(MID(B54,8,1)="C","C","P")</f>
        <v>C</v>
      </c>
      <c r="D54" s="125">
        <f>[1]!w_info_strikeprice(B54,"")</f>
        <v>3200</v>
      </c>
      <c r="E54" s="18" t="str">
        <f>[1]!w_info_lasttradingdate(B54)</f>
        <v>2020-06-19</v>
      </c>
      <c r="F54" s="4">
        <f>IF(G54&gt;0,RTD("wdf.rtq",,$B54,F$5),0)</f>
        <v>509.8</v>
      </c>
      <c r="G54" s="73">
        <f>RTD("wdf.rtq",,$B54,G$5)</f>
        <v>1</v>
      </c>
      <c r="H54" s="4">
        <f>RTD("wdf.rtq",,$B54,H$5)</f>
        <v>0</v>
      </c>
      <c r="I54" s="73">
        <f>RTD("wdf.rtq",,$B54,I$5)</f>
        <v>0</v>
      </c>
      <c r="J54" s="4">
        <f>RTD("wdf.rtq",,$B54,J$5)</f>
        <v>0</v>
      </c>
      <c r="K54" s="73">
        <f>RTD("wdf.rtq",,$B54,K$5)</f>
        <v>0</v>
      </c>
      <c r="L54" s="4">
        <f>[1]!s_dq_presettle(B54,"")</f>
        <v>527.79999999999995</v>
      </c>
      <c r="M54" s="6">
        <f t="shared" ref="M54:M59" si="109">IF(C54="P",MAX($F$2-D54,0),MAX(0,D54-$F$2))</f>
        <v>0</v>
      </c>
      <c r="N54" s="3">
        <f t="shared" ref="N54:N59" si="110">H$2*I$2*F54</f>
        <v>50980</v>
      </c>
      <c r="O54" s="6">
        <f t="shared" ref="O54:O59" si="111">($F$2*$O$2-M54)*H$2</f>
        <v>37243.200000000004</v>
      </c>
      <c r="P54" s="3">
        <f t="shared" ref="P54:P59" si="112">$O$2*$P$2*D54*H$2</f>
        <v>16000</v>
      </c>
      <c r="Q54" s="6">
        <f t="shared" si="107"/>
        <v>88223.21</v>
      </c>
      <c r="R54" s="75">
        <f ca="1">IF(NOW()-TODAY()&gt;15/24, G54, [1]!s_dq_volume(B54,R$2,1))/$I$2</f>
        <v>4</v>
      </c>
      <c r="S54" s="78">
        <f t="shared" si="71"/>
        <v>524.32000000000016</v>
      </c>
      <c r="T54" s="78">
        <f t="shared" si="72"/>
        <v>-14.520000000000152</v>
      </c>
      <c r="AB54" s="17" t="s">
        <v>402</v>
      </c>
      <c r="AC54" s="29" t="str">
        <f>IF([1]!w_info_callput(AB54)="认购","C","P")</f>
        <v>C</v>
      </c>
      <c r="AD54" s="31">
        <f>[1]!w_info_strikeprice(AB54,"")</f>
        <v>3.2</v>
      </c>
      <c r="AE54" s="18" t="str">
        <f>[1]!w_info_lasttradingdate(AB54)</f>
        <v>2020-06-24</v>
      </c>
      <c r="AF54" s="15">
        <f>RTD("wdf.rtq",,$AB54,F$5)</f>
        <v>0.54930000000000001</v>
      </c>
      <c r="AG54" s="73">
        <f>RTD("wdf.rtq",,$AB54,G$5)</f>
        <v>16</v>
      </c>
      <c r="AH54" s="15">
        <f>RTD("wdf.rtq",,$AB54,H$5)</f>
        <v>0.52100000000000002</v>
      </c>
      <c r="AI54" s="73">
        <f>RTD("wdf.rtq",,$AB54,I$5)</f>
        <v>2</v>
      </c>
      <c r="AJ54" s="15">
        <f>RTD("wdf.rtq",,$AB54,J$5)</f>
        <v>0.55649999999999999</v>
      </c>
      <c r="AK54" s="77">
        <f>RTD("wdf.rtq",,$AB54,K$5)</f>
        <v>10</v>
      </c>
      <c r="AL54" s="15">
        <f>[1]!s_dq_presettle(AB54,"")</f>
        <v>0.55330000000000001</v>
      </c>
      <c r="AM54" s="15">
        <f t="shared" ref="AM54:AM59" si="113">IF(AC54="P",MAX($AF$2-AD54,0),MAX(0,AD54-$AF$2))</f>
        <v>0</v>
      </c>
      <c r="AN54" s="3">
        <f t="shared" ref="AN54:AN59" si="114">AH$2*AI$2*AF54</f>
        <v>54930</v>
      </c>
      <c r="AO54" s="15">
        <f t="shared" si="73"/>
        <v>0.44531999999999999</v>
      </c>
      <c r="AP54" s="14">
        <f t="shared" ref="AP54:AP59" si="115">IF(AC54="C",$AP$2*AF54,$AP$2*AD54)</f>
        <v>3.8451000000000006E-2</v>
      </c>
      <c r="AQ54" s="8">
        <f t="shared" si="76"/>
        <v>119354.40999999999</v>
      </c>
      <c r="AR54" s="78">
        <f ca="1">IF(NOW()-TODAY()&gt;15/24, AG54, [1]!s_dq_volume(AB54,AR$2,1))/AI$2</f>
        <v>8.8000000000000007</v>
      </c>
      <c r="AS54" s="122">
        <f t="shared" si="74"/>
        <v>0.51100000000000012</v>
      </c>
      <c r="AT54" s="122">
        <f t="shared" si="75"/>
        <v>3.829999999999989E-2</v>
      </c>
      <c r="AV54" s="49">
        <f t="shared" ca="1" si="81"/>
        <v>1349.3009722776624</v>
      </c>
      <c r="AY54" s="10"/>
      <c r="AZ54" s="10"/>
      <c r="BA54" s="6">
        <f t="shared" ca="1" si="83"/>
        <v>-5378.3009722776624</v>
      </c>
      <c r="BB54" s="6">
        <f t="shared" si="84"/>
        <v>0</v>
      </c>
      <c r="BC54" s="6">
        <f t="shared" si="85"/>
        <v>0</v>
      </c>
      <c r="BD54" s="12">
        <f t="shared" si="86"/>
        <v>0</v>
      </c>
      <c r="BE54" s="2">
        <f t="shared" ca="1" si="87"/>
        <v>-3.757024360318334E-2</v>
      </c>
      <c r="BF54" s="2">
        <f t="shared" si="88"/>
        <v>0</v>
      </c>
      <c r="BG54" s="2">
        <f t="shared" si="89"/>
        <v>0</v>
      </c>
      <c r="BH54" s="13">
        <f t="shared" si="90"/>
        <v>0</v>
      </c>
      <c r="BI54" s="2">
        <f t="shared" ca="1" si="91"/>
        <v>-0.16521854114652915</v>
      </c>
      <c r="BJ54" s="2">
        <f t="shared" ca="1" si="92"/>
        <v>0</v>
      </c>
      <c r="BK54" s="2">
        <f t="shared" ca="1" si="93"/>
        <v>0</v>
      </c>
      <c r="BL54" s="56">
        <f t="shared" ca="1" si="94"/>
        <v>0</v>
      </c>
      <c r="BN54" s="6">
        <f t="shared" ca="1" si="95"/>
        <v>5220.3009722776624</v>
      </c>
      <c r="BO54" s="6">
        <f t="shared" si="96"/>
        <v>0</v>
      </c>
      <c r="BP54" s="6">
        <f t="shared" si="97"/>
        <v>0</v>
      </c>
      <c r="BQ54" s="12">
        <f t="shared" si="98"/>
        <v>0</v>
      </c>
      <c r="BR54" s="2">
        <f t="shared" ca="1" si="99"/>
        <v>3.0647365803994995E-2</v>
      </c>
      <c r="BS54" s="2">
        <f t="shared" si="100"/>
        <v>0</v>
      </c>
      <c r="BT54" s="2">
        <f t="shared" si="101"/>
        <v>0</v>
      </c>
      <c r="BU54" s="13">
        <f t="shared" si="102"/>
        <v>0</v>
      </c>
      <c r="BV54" s="2">
        <f t="shared" ca="1" si="103"/>
        <v>0.13477456046335148</v>
      </c>
      <c r="BW54" s="2">
        <f t="shared" ca="1" si="104"/>
        <v>0</v>
      </c>
      <c r="BX54" s="2">
        <f t="shared" ca="1" si="105"/>
        <v>0</v>
      </c>
      <c r="BY54" s="13">
        <f t="shared" ca="1" si="106"/>
        <v>0</v>
      </c>
      <c r="CB54" s="17" t="s">
        <v>79</v>
      </c>
      <c r="CC54" s="123" t="b">
        <f t="shared" si="78"/>
        <v>1</v>
      </c>
      <c r="CD54" s="17" t="s">
        <v>402</v>
      </c>
      <c r="CE54" s="138" t="str">
        <f>IF([1]!w_info_callput(CD54)="认购","C","P")</f>
        <v>C</v>
      </c>
      <c r="CF54" s="139">
        <f>[1]!w_info_strikeprice(CD54,"")</f>
        <v>3.2</v>
      </c>
      <c r="CG54" s="140" t="str">
        <f>[1]!w_info_lasttradingdate(CD54)</f>
        <v>2020-06-24</v>
      </c>
      <c r="CH54" s="55" t="str">
        <f t="shared" si="79"/>
        <v>IO2006-C-3200.CFE</v>
      </c>
      <c r="CI54" s="55" t="str">
        <f t="shared" si="80"/>
        <v>IO2006-C-3200.CFE</v>
      </c>
      <c r="CK54" s="17" t="s">
        <v>237</v>
      </c>
      <c r="CL54" s="17"/>
    </row>
    <row r="55" spans="1:90">
      <c r="A55" s="50" t="str">
        <f t="shared" si="82"/>
        <v>T</v>
      </c>
      <c r="B55" t="s">
        <v>93</v>
      </c>
      <c r="C55" s="29" t="str">
        <f t="shared" si="108"/>
        <v>C</v>
      </c>
      <c r="D55" s="125">
        <f>[1]!w_info_strikeprice(B55,"")</f>
        <v>3300</v>
      </c>
      <c r="E55" s="18" t="str">
        <f>[1]!w_info_lasttradingdate(B55)</f>
        <v>2020-06-19</v>
      </c>
      <c r="F55" s="4">
        <f>IF(G55&gt;0,RTD("wdf.rtq",,$B55,F$5),0)</f>
        <v>0</v>
      </c>
      <c r="G55" s="73">
        <f>RTD("wdf.rtq",,$B55,G$5)</f>
        <v>0</v>
      </c>
      <c r="H55" s="4">
        <f>RTD("wdf.rtq",,$B55,H$5)</f>
        <v>0</v>
      </c>
      <c r="I55" s="73">
        <f>RTD("wdf.rtq",,$B55,I$5)</f>
        <v>0</v>
      </c>
      <c r="J55" s="4">
        <f>RTD("wdf.rtq",,$B55,J$5)</f>
        <v>455</v>
      </c>
      <c r="K55" s="73">
        <f>RTD("wdf.rtq",,$B55,K$5)</f>
        <v>1</v>
      </c>
      <c r="L55" s="4">
        <f>[1]!s_dq_presettle(B55,"")</f>
        <v>446.4</v>
      </c>
      <c r="M55" s="6">
        <f t="shared" si="109"/>
        <v>0</v>
      </c>
      <c r="N55" s="3">
        <f t="shared" si="110"/>
        <v>0</v>
      </c>
      <c r="O55" s="6">
        <f t="shared" si="111"/>
        <v>37243.200000000004</v>
      </c>
      <c r="P55" s="3">
        <f t="shared" si="112"/>
        <v>16500</v>
      </c>
      <c r="Q55" s="6">
        <f t="shared" si="107"/>
        <v>37243.210000000006</v>
      </c>
      <c r="R55" s="75">
        <f ca="1">IF(NOW()-TODAY()&gt;15/24, G55, [1]!s_dq_volume(B55,R$2,1))/$I$2</f>
        <v>6</v>
      </c>
      <c r="S55" s="78">
        <f t="shared" si="71"/>
        <v>424.32000000000016</v>
      </c>
      <c r="T55" s="78">
        <f t="shared" si="72"/>
        <v>-424.32000000000016</v>
      </c>
      <c r="AB55" s="17" t="s">
        <v>231</v>
      </c>
      <c r="AC55" s="29" t="str">
        <f>IF([1]!w_info_callput(AB55)="认购","C","P")</f>
        <v>C</v>
      </c>
      <c r="AD55" s="31">
        <f>[1]!w_info_strikeprice(AB55,"")</f>
        <v>3.3</v>
      </c>
      <c r="AE55" s="18" t="str">
        <f>[1]!w_info_lasttradingdate(AB55)</f>
        <v>2020-06-24</v>
      </c>
      <c r="AF55" s="15">
        <f>RTD("wdf.rtq",,$AB55,F$5)</f>
        <v>0.46010000000000001</v>
      </c>
      <c r="AG55" s="73">
        <f>RTD("wdf.rtq",,$AB55,G$5)</f>
        <v>103</v>
      </c>
      <c r="AH55" s="15">
        <f>RTD("wdf.rtq",,$AB55,H$5)</f>
        <v>0.44030000000000002</v>
      </c>
      <c r="AI55" s="73">
        <f>RTD("wdf.rtq",,$AB55,I$5)</f>
        <v>11</v>
      </c>
      <c r="AJ55" s="15">
        <f>RTD("wdf.rtq",,$AB55,J$5)</f>
        <v>0.47550000000000003</v>
      </c>
      <c r="AK55" s="77">
        <f>RTD("wdf.rtq",,$AB55,K$5)</f>
        <v>10</v>
      </c>
      <c r="AL55" s="15">
        <f>[1]!s_dq_presettle(AB55,"")</f>
        <v>0.46960000000000002</v>
      </c>
      <c r="AM55" s="15">
        <f t="shared" si="113"/>
        <v>0</v>
      </c>
      <c r="AN55" s="3">
        <f t="shared" si="114"/>
        <v>46010</v>
      </c>
      <c r="AO55" s="15">
        <f t="shared" si="73"/>
        <v>0.44531999999999999</v>
      </c>
      <c r="AP55" s="14">
        <f t="shared" si="115"/>
        <v>3.2207000000000006E-2</v>
      </c>
      <c r="AQ55" s="8">
        <f t="shared" si="76"/>
        <v>108650.40999999999</v>
      </c>
      <c r="AR55" s="78">
        <f ca="1">IF(NOW()-TODAY()&gt;15/24, AG55, [1]!s_dq_volume(AB55,AR$2,1))/AI$2</f>
        <v>44.6</v>
      </c>
      <c r="AS55" s="122">
        <f t="shared" si="74"/>
        <v>0.41100000000000048</v>
      </c>
      <c r="AT55" s="122">
        <f t="shared" si="75"/>
        <v>4.9099999999999533E-2</v>
      </c>
      <c r="AV55" s="49">
        <f t="shared" ca="1" si="81"/>
        <v>1349.3009722776187</v>
      </c>
      <c r="AY55" s="10"/>
      <c r="AZ55" s="10"/>
      <c r="BA55" s="6">
        <f t="shared" si="83"/>
        <v>0</v>
      </c>
      <c r="BB55" s="6">
        <f t="shared" si="84"/>
        <v>0</v>
      </c>
      <c r="BC55" s="6">
        <f t="shared" ca="1" si="85"/>
        <v>-18.300972277618712</v>
      </c>
      <c r="BD55" s="12">
        <f t="shared" ca="1" si="86"/>
        <v>41.699027722381288</v>
      </c>
      <c r="BE55" s="2">
        <f t="shared" si="87"/>
        <v>0</v>
      </c>
      <c r="BF55" s="2">
        <f t="shared" si="88"/>
        <v>0</v>
      </c>
      <c r="BG55" s="2">
        <f t="shared" ca="1" si="89"/>
        <v>-2.2512301184340869E-4</v>
      </c>
      <c r="BH55" s="13">
        <f t="shared" ca="1" si="90"/>
        <v>5.1307223773222794E-4</v>
      </c>
      <c r="BI55" s="2">
        <f t="shared" ca="1" si="91"/>
        <v>0</v>
      </c>
      <c r="BJ55" s="2">
        <f t="shared" ca="1" si="92"/>
        <v>0</v>
      </c>
      <c r="BK55" s="2">
        <f t="shared" ca="1" si="93"/>
        <v>-9.8999878702221884E-4</v>
      </c>
      <c r="BL55" s="56">
        <f t="shared" ca="1" si="94"/>
        <v>2.2562815273766651E-3</v>
      </c>
      <c r="BN55" s="6">
        <f t="shared" si="95"/>
        <v>0</v>
      </c>
      <c r="BO55" s="6">
        <f t="shared" ca="1" si="96"/>
        <v>-199.69902772238129</v>
      </c>
      <c r="BP55" s="6">
        <f t="shared" si="97"/>
        <v>0</v>
      </c>
      <c r="BQ55" s="12">
        <f t="shared" si="98"/>
        <v>0</v>
      </c>
      <c r="BR55" s="2">
        <f t="shared" si="99"/>
        <v>0</v>
      </c>
      <c r="BS55" s="2">
        <f t="shared" ca="1" si="100"/>
        <v>-1.2954816514752139E-3</v>
      </c>
      <c r="BT55" s="2">
        <f t="shared" si="101"/>
        <v>0</v>
      </c>
      <c r="BU55" s="13">
        <f t="shared" si="102"/>
        <v>0</v>
      </c>
      <c r="BV55" s="2">
        <f t="shared" ca="1" si="103"/>
        <v>0</v>
      </c>
      <c r="BW55" s="2">
        <f t="shared" ca="1" si="104"/>
        <v>-5.6969976239572657E-3</v>
      </c>
      <c r="BX55" s="2">
        <f t="shared" ca="1" si="105"/>
        <v>0</v>
      </c>
      <c r="BY55" s="13">
        <f t="shared" ca="1" si="106"/>
        <v>0</v>
      </c>
      <c r="CB55" s="17" t="s">
        <v>80</v>
      </c>
      <c r="CC55" s="123" t="b">
        <f t="shared" si="78"/>
        <v>1</v>
      </c>
      <c r="CD55" s="17" t="s">
        <v>231</v>
      </c>
      <c r="CE55" s="138" t="str">
        <f>IF([1]!w_info_callput(CD55)="认购","C","P")</f>
        <v>C</v>
      </c>
      <c r="CF55" s="139">
        <f>[1]!w_info_strikeprice(CD55,"")</f>
        <v>3.3</v>
      </c>
      <c r="CG55" s="140" t="str">
        <f>[1]!w_info_lasttradingdate(CD55)</f>
        <v>2020-06-24</v>
      </c>
      <c r="CH55" s="55" t="str">
        <f t="shared" si="79"/>
        <v>IO2006-C-3300.CFE</v>
      </c>
      <c r="CI55" s="55" t="str">
        <f t="shared" si="80"/>
        <v>IO2006-C-3300.CFE</v>
      </c>
      <c r="CK55" s="17" t="s">
        <v>238</v>
      </c>
      <c r="CL55" s="17"/>
    </row>
    <row r="56" spans="1:90">
      <c r="A56" s="50" t="str">
        <f t="shared" si="82"/>
        <v>T</v>
      </c>
      <c r="B56" t="s">
        <v>94</v>
      </c>
      <c r="C56" s="29" t="str">
        <f t="shared" si="108"/>
        <v>C</v>
      </c>
      <c r="D56" s="125">
        <f>[1]!w_info_strikeprice(B56,"")</f>
        <v>3400</v>
      </c>
      <c r="E56" s="18" t="str">
        <f>[1]!w_info_lasttradingdate(B56)</f>
        <v>2020-06-19</v>
      </c>
      <c r="F56" s="4">
        <f>IF(G56&gt;0,RTD("wdf.rtq",,$B56,F$5),0)</f>
        <v>0</v>
      </c>
      <c r="G56" s="73">
        <f>RTD("wdf.rtq",,$B56,G$5)</f>
        <v>0</v>
      </c>
      <c r="H56" s="4">
        <f>RTD("wdf.rtq",,$B56,H$5)</f>
        <v>2</v>
      </c>
      <c r="I56" s="73">
        <f>RTD("wdf.rtq",,$B56,I$5)</f>
        <v>2</v>
      </c>
      <c r="J56" s="4">
        <f>RTD("wdf.rtq",,$B56,J$5)</f>
        <v>0</v>
      </c>
      <c r="K56" s="73">
        <f>RTD("wdf.rtq",,$B56,K$5)</f>
        <v>0</v>
      </c>
      <c r="L56" s="4">
        <f>[1]!s_dq_presettle(B56,"")</f>
        <v>370.8</v>
      </c>
      <c r="M56" s="6">
        <f t="shared" si="109"/>
        <v>0</v>
      </c>
      <c r="N56" s="3">
        <f t="shared" si="110"/>
        <v>0</v>
      </c>
      <c r="O56" s="6">
        <f t="shared" si="111"/>
        <v>37243.200000000004</v>
      </c>
      <c r="P56" s="3">
        <f t="shared" si="112"/>
        <v>17000</v>
      </c>
      <c r="Q56" s="6">
        <f t="shared" si="107"/>
        <v>37243.210000000006</v>
      </c>
      <c r="R56" s="75">
        <f ca="1">IF(NOW()-TODAY()&gt;15/24, G56, [1]!s_dq_volume(B56,R$2,1))/$I$2</f>
        <v>12</v>
      </c>
      <c r="S56" s="78">
        <f t="shared" si="71"/>
        <v>324.32000000000016</v>
      </c>
      <c r="T56" s="78">
        <f t="shared" si="72"/>
        <v>-324.32000000000016</v>
      </c>
      <c r="AB56" s="17" t="s">
        <v>232</v>
      </c>
      <c r="AC56" s="29" t="str">
        <f>IF([1]!w_info_callput(AB56)="认购","C","P")</f>
        <v>C</v>
      </c>
      <c r="AD56" s="31">
        <f>[1]!w_info_strikeprice(AB56,"")</f>
        <v>3.4</v>
      </c>
      <c r="AE56" s="18" t="str">
        <f>[1]!w_info_lasttradingdate(AB56)</f>
        <v>2020-06-24</v>
      </c>
      <c r="AF56" s="15">
        <f>RTD("wdf.rtq",,$AB56,F$5)</f>
        <v>0.3836</v>
      </c>
      <c r="AG56" s="73">
        <f>RTD("wdf.rtq",,$AB56,G$5)</f>
        <v>146</v>
      </c>
      <c r="AH56" s="15">
        <f>RTD("wdf.rtq",,$AB56,H$5)</f>
        <v>0.37</v>
      </c>
      <c r="AI56" s="73">
        <f>RTD("wdf.rtq",,$AB56,I$5)</f>
        <v>5</v>
      </c>
      <c r="AJ56" s="15">
        <f>RTD("wdf.rtq",,$AB56,J$5)</f>
        <v>0.39490000000000003</v>
      </c>
      <c r="AK56" s="77">
        <f>RTD("wdf.rtq",,$AB56,K$5)</f>
        <v>13</v>
      </c>
      <c r="AL56" s="15">
        <f>[1]!s_dq_presettle(AB56,"")</f>
        <v>0.39119999999999999</v>
      </c>
      <c r="AM56" s="15">
        <f t="shared" si="113"/>
        <v>0</v>
      </c>
      <c r="AN56" s="3">
        <f t="shared" si="114"/>
        <v>38360</v>
      </c>
      <c r="AO56" s="15">
        <f t="shared" si="73"/>
        <v>0.44531999999999999</v>
      </c>
      <c r="AP56" s="14">
        <f t="shared" si="115"/>
        <v>2.6852000000000001E-2</v>
      </c>
      <c r="AQ56" s="8">
        <f t="shared" si="76"/>
        <v>99470.409999999989</v>
      </c>
      <c r="AR56" s="78">
        <f ca="1">IF(NOW()-TODAY()&gt;15/24, AG56, [1]!s_dq_volume(AB56,AR$2,1))/AI$2</f>
        <v>42.8</v>
      </c>
      <c r="AS56" s="122">
        <f t="shared" si="74"/>
        <v>0.31100000000000039</v>
      </c>
      <c r="AT56" s="122">
        <f t="shared" si="75"/>
        <v>7.2599999999999609E-2</v>
      </c>
      <c r="AV56" s="49">
        <f t="shared" ca="1" si="81"/>
        <v>1349.3009722776333</v>
      </c>
      <c r="AY56" s="10"/>
      <c r="AZ56" s="10"/>
      <c r="BA56" s="6">
        <f t="shared" si="83"/>
        <v>0</v>
      </c>
      <c r="BB56" s="6">
        <f t="shared" ca="1" si="84"/>
        <v>-40718.300972277633</v>
      </c>
      <c r="BC56" s="6">
        <f t="shared" si="85"/>
        <v>0</v>
      </c>
      <c r="BD56" s="12">
        <f t="shared" si="86"/>
        <v>0</v>
      </c>
      <c r="BE56" s="2">
        <f t="shared" si="87"/>
        <v>0</v>
      </c>
      <c r="BF56" s="2">
        <f t="shared" ca="1" si="88"/>
        <v>-0.53064769442432591</v>
      </c>
      <c r="BG56" s="2">
        <f t="shared" si="89"/>
        <v>0</v>
      </c>
      <c r="BH56" s="13">
        <f t="shared" si="90"/>
        <v>0</v>
      </c>
      <c r="BI56" s="2">
        <f t="shared" ca="1" si="91"/>
        <v>0</v>
      </c>
      <c r="BJ56" s="2">
        <f t="shared" ca="1" si="92"/>
        <v>-2.3335711863238426</v>
      </c>
      <c r="BK56" s="2">
        <f t="shared" ca="1" si="93"/>
        <v>0</v>
      </c>
      <c r="BL56" s="56">
        <f t="shared" ca="1" si="94"/>
        <v>0</v>
      </c>
      <c r="BN56" s="6">
        <f t="shared" si="95"/>
        <v>0</v>
      </c>
      <c r="BO56" s="6">
        <f t="shared" si="96"/>
        <v>0</v>
      </c>
      <c r="BP56" s="6">
        <f t="shared" ca="1" si="97"/>
        <v>40500.300972277633</v>
      </c>
      <c r="BQ56" s="12">
        <f t="shared" ca="1" si="98"/>
        <v>40560.300972277633</v>
      </c>
      <c r="BR56" s="2">
        <f t="shared" si="99"/>
        <v>0</v>
      </c>
      <c r="BS56" s="2">
        <f t="shared" si="100"/>
        <v>0</v>
      </c>
      <c r="BT56" s="2">
        <f t="shared" ca="1" si="101"/>
        <v>0.406342191683909</v>
      </c>
      <c r="BU56" s="13">
        <f t="shared" ca="1" si="102"/>
        <v>0.40694425730041278</v>
      </c>
      <c r="BV56" s="2">
        <f t="shared" ca="1" si="103"/>
        <v>0</v>
      </c>
      <c r="BW56" s="2">
        <f t="shared" ca="1" si="104"/>
        <v>0</v>
      </c>
      <c r="BX56" s="2">
        <f t="shared" ca="1" si="105"/>
        <v>1.7869265055979131</v>
      </c>
      <c r="BY56" s="13">
        <f t="shared" ca="1" si="106"/>
        <v>1.7895741435500081</v>
      </c>
      <c r="CB56" s="17" t="s">
        <v>81</v>
      </c>
      <c r="CC56" s="123" t="b">
        <f t="shared" si="78"/>
        <v>1</v>
      </c>
      <c r="CD56" s="17" t="s">
        <v>232</v>
      </c>
      <c r="CE56" s="138" t="str">
        <f>IF([1]!w_info_callput(CD56)="认购","C","P")</f>
        <v>C</v>
      </c>
      <c r="CF56" s="139">
        <f>[1]!w_info_strikeprice(CD56,"")</f>
        <v>3.4</v>
      </c>
      <c r="CG56" s="140" t="str">
        <f>[1]!w_info_lasttradingdate(CD56)</f>
        <v>2020-06-24</v>
      </c>
      <c r="CH56" s="55" t="str">
        <f t="shared" si="79"/>
        <v>IO2006-C-3400.CFE</v>
      </c>
      <c r="CI56" s="55" t="str">
        <f t="shared" si="80"/>
        <v>IO2006-C-3400.CFE</v>
      </c>
      <c r="CK56" s="17" t="s">
        <v>239</v>
      </c>
      <c r="CL56" s="17"/>
    </row>
    <row r="57" spans="1:90">
      <c r="A57" s="50" t="str">
        <f t="shared" si="82"/>
        <v>T</v>
      </c>
      <c r="B57" t="s">
        <v>95</v>
      </c>
      <c r="C57" s="29" t="str">
        <f t="shared" si="108"/>
        <v>C</v>
      </c>
      <c r="D57" s="125">
        <f>[1]!w_info_strikeprice(B57,"")</f>
        <v>3500</v>
      </c>
      <c r="E57" s="18" t="str">
        <f>[1]!w_info_lasttradingdate(B57)</f>
        <v>2020-06-19</v>
      </c>
      <c r="F57" s="4">
        <f>IF(G57&gt;0,RTD("wdf.rtq",,$B57,F$5),0)</f>
        <v>295.60000000000002</v>
      </c>
      <c r="G57" s="73">
        <f>RTD("wdf.rtq",,$B57,G$5)</f>
        <v>50</v>
      </c>
      <c r="H57" s="4">
        <f>RTD("wdf.rtq",,$B57,H$5)</f>
        <v>2</v>
      </c>
      <c r="I57" s="73">
        <f>RTD("wdf.rtq",,$B57,I$5)</f>
        <v>2</v>
      </c>
      <c r="J57" s="4">
        <f>RTD("wdf.rtq",,$B57,J$5)</f>
        <v>297.40000000000003</v>
      </c>
      <c r="K57" s="73">
        <f>RTD("wdf.rtq",,$B57,K$5)</f>
        <v>5</v>
      </c>
      <c r="L57" s="4">
        <f>[1]!s_dq_presettle(B57,"")</f>
        <v>299.8</v>
      </c>
      <c r="M57" s="6">
        <f t="shared" si="109"/>
        <v>0</v>
      </c>
      <c r="N57" s="3">
        <f t="shared" si="110"/>
        <v>29560.000000000004</v>
      </c>
      <c r="O57" s="6">
        <f t="shared" si="111"/>
        <v>37243.200000000004</v>
      </c>
      <c r="P57" s="3">
        <f t="shared" si="112"/>
        <v>17500</v>
      </c>
      <c r="Q57" s="6">
        <f t="shared" si="107"/>
        <v>66803.210000000006</v>
      </c>
      <c r="R57" s="75">
        <f ca="1">IF(NOW()-TODAY()&gt;15/24, G57, [1]!s_dq_volume(B57,R$2,1))/$I$2</f>
        <v>17</v>
      </c>
      <c r="S57" s="78">
        <f t="shared" si="71"/>
        <v>224.32000000000016</v>
      </c>
      <c r="T57" s="78">
        <f t="shared" si="72"/>
        <v>71.279999999999859</v>
      </c>
      <c r="AB57" s="17" t="s">
        <v>233</v>
      </c>
      <c r="AC57" s="29" t="str">
        <f>IF([1]!w_info_callput(AB57)="认购","C","P")</f>
        <v>C</v>
      </c>
      <c r="AD57" s="31">
        <f>[1]!w_info_strikeprice(AB57,"")</f>
        <v>3.5</v>
      </c>
      <c r="AE57" s="18" t="str">
        <f>[1]!w_info_lasttradingdate(AB57)</f>
        <v>2020-06-24</v>
      </c>
      <c r="AF57" s="15">
        <f>RTD("wdf.rtq",,$AB57,F$5)</f>
        <v>0.31070000000000003</v>
      </c>
      <c r="AG57" s="73">
        <f>RTD("wdf.rtq",,$AB57,G$5)</f>
        <v>358</v>
      </c>
      <c r="AH57" s="15">
        <f>RTD("wdf.rtq",,$AB57,H$5)</f>
        <v>0.29870000000000002</v>
      </c>
      <c r="AI57" s="73">
        <f>RTD("wdf.rtq",,$AB57,I$5)</f>
        <v>29</v>
      </c>
      <c r="AJ57" s="15">
        <f>RTD("wdf.rtq",,$AB57,J$5)</f>
        <v>0.32250000000000001</v>
      </c>
      <c r="AK57" s="77">
        <f>RTD("wdf.rtq",,$AB57,K$5)</f>
        <v>26</v>
      </c>
      <c r="AL57" s="15">
        <f>[1]!s_dq_presettle(AB57,"")</f>
        <v>0.31990000000000002</v>
      </c>
      <c r="AM57" s="15">
        <f t="shared" si="113"/>
        <v>0</v>
      </c>
      <c r="AN57" s="3">
        <f t="shared" si="114"/>
        <v>31070.000000000004</v>
      </c>
      <c r="AO57" s="15">
        <f t="shared" si="73"/>
        <v>0.44531999999999999</v>
      </c>
      <c r="AP57" s="14">
        <f t="shared" si="115"/>
        <v>2.1749000000000004E-2</v>
      </c>
      <c r="AQ57" s="8">
        <f t="shared" si="76"/>
        <v>90722.409999999989</v>
      </c>
      <c r="AR57" s="78">
        <f ca="1">IF(NOW()-TODAY()&gt;15/24, AG57, [1]!s_dq_volume(AB57,AR$2,1))/AI$2</f>
        <v>151.5</v>
      </c>
      <c r="AS57" s="122">
        <f t="shared" si="74"/>
        <v>0.2110000000000003</v>
      </c>
      <c r="AT57" s="122">
        <f t="shared" si="75"/>
        <v>9.9699999999999733E-2</v>
      </c>
      <c r="AV57" s="49">
        <f t="shared" ca="1" si="81"/>
        <v>1349.3009722776405</v>
      </c>
      <c r="AY57" s="10"/>
      <c r="AZ57" s="10"/>
      <c r="BA57" s="6">
        <f t="shared" ca="1" si="83"/>
        <v>-2938.3009722776405</v>
      </c>
      <c r="BB57" s="6">
        <f t="shared" ca="1" si="84"/>
        <v>-33478.300972277641</v>
      </c>
      <c r="BC57" s="6">
        <f t="shared" ca="1" si="85"/>
        <v>-1618.3009722776405</v>
      </c>
      <c r="BD57" s="12">
        <f t="shared" ca="1" si="86"/>
        <v>-1558.3009722776405</v>
      </c>
      <c r="BE57" s="2">
        <f t="shared" ca="1" si="87"/>
        <v>-3.0021504069169085E-2</v>
      </c>
      <c r="BF57" s="2">
        <f t="shared" ca="1" si="88"/>
        <v>-0.33798299895861666</v>
      </c>
      <c r="BG57" s="2">
        <f t="shared" ca="1" si="89"/>
        <v>-1.6736448942771064E-2</v>
      </c>
      <c r="BH57" s="13">
        <f t="shared" ca="1" si="90"/>
        <v>-1.6119263778223984E-2</v>
      </c>
      <c r="BI57" s="2">
        <f t="shared" ca="1" si="91"/>
        <v>-0.13202227693068333</v>
      </c>
      <c r="BJ57" s="2">
        <f t="shared" ca="1" si="92"/>
        <v>-1.4863107785529528</v>
      </c>
      <c r="BK57" s="2">
        <f t="shared" ca="1" si="93"/>
        <v>-7.3600046555559503E-2</v>
      </c>
      <c r="BL57" s="56">
        <f t="shared" ca="1" si="94"/>
        <v>-7.0885919024719926E-2</v>
      </c>
      <c r="BN57" s="6">
        <f t="shared" ca="1" si="95"/>
        <v>2780.3009722776405</v>
      </c>
      <c r="BO57" s="6">
        <f t="shared" ca="1" si="96"/>
        <v>1400.3009722776405</v>
      </c>
      <c r="BP57" s="6">
        <f t="shared" ca="1" si="97"/>
        <v>33260.300972277641</v>
      </c>
      <c r="BQ57" s="12">
        <f t="shared" ca="1" si="98"/>
        <v>33320.300972277641</v>
      </c>
      <c r="BR57" s="2">
        <f t="shared" ca="1" si="99"/>
        <v>2.3114776069731564E-2</v>
      </c>
      <c r="BS57" s="2">
        <f t="shared" ca="1" si="100"/>
        <v>1.1624381184783209E-2</v>
      </c>
      <c r="BT57" s="2">
        <f t="shared" ca="1" si="101"/>
        <v>0.36580963544724487</v>
      </c>
      <c r="BU57" s="13">
        <f t="shared" ca="1" si="102"/>
        <v>0.36646961923114052</v>
      </c>
      <c r="BV57" s="2">
        <f t="shared" ca="1" si="103"/>
        <v>0.10164931645122917</v>
      </c>
      <c r="BW57" s="2">
        <f t="shared" ca="1" si="104"/>
        <v>5.1119266655974355E-2</v>
      </c>
      <c r="BX57" s="2">
        <f t="shared" ca="1" si="105"/>
        <v>1.6086809269667999</v>
      </c>
      <c r="BY57" s="13">
        <f t="shared" ca="1" si="106"/>
        <v>1.6115832652935695</v>
      </c>
      <c r="CB57" s="17" t="s">
        <v>82</v>
      </c>
      <c r="CC57" s="123" t="b">
        <f t="shared" si="78"/>
        <v>1</v>
      </c>
      <c r="CD57" s="17" t="s">
        <v>233</v>
      </c>
      <c r="CE57" s="138" t="str">
        <f>IF([1]!w_info_callput(CD57)="认购","C","P")</f>
        <v>C</v>
      </c>
      <c r="CF57" s="139">
        <f>[1]!w_info_strikeprice(CD57,"")</f>
        <v>3.5</v>
      </c>
      <c r="CG57" s="140" t="str">
        <f>[1]!w_info_lasttradingdate(CD57)</f>
        <v>2020-06-24</v>
      </c>
      <c r="CH57" s="55" t="str">
        <f t="shared" si="79"/>
        <v>IO2006-C-3500.CFE</v>
      </c>
      <c r="CI57" s="55" t="str">
        <f t="shared" si="80"/>
        <v>IO2006-C-3500.CFE</v>
      </c>
      <c r="CK57" s="17" t="s">
        <v>240</v>
      </c>
      <c r="CL57" s="17"/>
    </row>
    <row r="58" spans="1:90">
      <c r="A58" s="50" t="str">
        <f t="shared" si="82"/>
        <v>T</v>
      </c>
      <c r="B58" t="s">
        <v>96</v>
      </c>
      <c r="C58" s="29" t="str">
        <f t="shared" si="108"/>
        <v>C</v>
      </c>
      <c r="D58" s="125">
        <f>[1]!w_info_strikeprice(B58,"")</f>
        <v>3600</v>
      </c>
      <c r="E58" s="18" t="str">
        <f>[1]!w_info_lasttradingdate(B58)</f>
        <v>2020-06-19</v>
      </c>
      <c r="F58" s="4">
        <f>IF(G58&gt;0,RTD("wdf.rtq",,$B58,F$5),0)</f>
        <v>234</v>
      </c>
      <c r="G58" s="73">
        <f>RTD("wdf.rtq",,$B58,G$5)</f>
        <v>20</v>
      </c>
      <c r="H58" s="4">
        <f>RTD("wdf.rtq",,$B58,H$5)</f>
        <v>7</v>
      </c>
      <c r="I58" s="73">
        <f>RTD("wdf.rtq",,$B58,I$5)</f>
        <v>3</v>
      </c>
      <c r="J58" s="4">
        <f>RTD("wdf.rtq",,$B58,J$5)</f>
        <v>283.2</v>
      </c>
      <c r="K58" s="73">
        <f>RTD("wdf.rtq",,$B58,K$5)</f>
        <v>1</v>
      </c>
      <c r="L58" s="4">
        <f>[1]!s_dq_presettle(B58,"")</f>
        <v>239</v>
      </c>
      <c r="M58" s="6">
        <f t="shared" si="109"/>
        <v>0</v>
      </c>
      <c r="N58" s="3">
        <f t="shared" si="110"/>
        <v>23400</v>
      </c>
      <c r="O58" s="6">
        <f t="shared" si="111"/>
        <v>37243.200000000004</v>
      </c>
      <c r="P58" s="3">
        <f t="shared" si="112"/>
        <v>18000</v>
      </c>
      <c r="Q58" s="6">
        <f t="shared" si="107"/>
        <v>60643.210000000006</v>
      </c>
      <c r="R58" s="75">
        <f ca="1">IF(NOW()-TODAY()&gt;15/24, G58, [1]!s_dq_volume(B58,R$2,1))/$I$2</f>
        <v>77</v>
      </c>
      <c r="S58" s="78">
        <f t="shared" si="71"/>
        <v>124.32000000000016</v>
      </c>
      <c r="T58" s="78">
        <f t="shared" si="72"/>
        <v>109.67999999999984</v>
      </c>
      <c r="AB58" s="17" t="s">
        <v>183</v>
      </c>
      <c r="AC58" s="29" t="str">
        <f>IF([1]!w_info_callput(AB58)="认购","C","P")</f>
        <v>C</v>
      </c>
      <c r="AD58" s="31">
        <f>[1]!w_info_strikeprice(AB58,"")</f>
        <v>3.6</v>
      </c>
      <c r="AE58" s="18" t="str">
        <f>[1]!w_info_lasttradingdate(AB58)</f>
        <v>2020-06-24</v>
      </c>
      <c r="AF58" s="15">
        <f>RTD("wdf.rtq",,$AB58,F$5)</f>
        <v>0.249</v>
      </c>
      <c r="AG58" s="73">
        <f>RTD("wdf.rtq",,$AB58,G$5)</f>
        <v>718</v>
      </c>
      <c r="AH58" s="15">
        <f>RTD("wdf.rtq",,$AB58,H$5)</f>
        <v>0.2452</v>
      </c>
      <c r="AI58" s="73">
        <f>RTD("wdf.rtq",,$AB58,I$5)</f>
        <v>5</v>
      </c>
      <c r="AJ58" s="15">
        <f>RTD("wdf.rtq",,$AB58,J$5)</f>
        <v>0.25800000000000001</v>
      </c>
      <c r="AK58" s="77">
        <f>RTD("wdf.rtq",,$AB58,K$5)</f>
        <v>20</v>
      </c>
      <c r="AL58" s="15">
        <f>[1]!s_dq_presettle(AB58,"")</f>
        <v>0.25650000000000001</v>
      </c>
      <c r="AM58" s="15">
        <f t="shared" si="113"/>
        <v>0</v>
      </c>
      <c r="AN58" s="3">
        <f t="shared" si="114"/>
        <v>24900</v>
      </c>
      <c r="AO58" s="15">
        <f t="shared" si="73"/>
        <v>0.44531999999999999</v>
      </c>
      <c r="AP58" s="14">
        <f t="shared" si="115"/>
        <v>1.7430000000000001E-2</v>
      </c>
      <c r="AQ58" s="8">
        <f t="shared" si="76"/>
        <v>83318.409999999989</v>
      </c>
      <c r="AR58" s="78">
        <f ca="1">IF(NOW()-TODAY()&gt;15/24, AG58, [1]!s_dq_volume(AB58,AR$2,1))/AI$2</f>
        <v>321.10000000000002</v>
      </c>
      <c r="AS58" s="122">
        <f t="shared" si="74"/>
        <v>0.11100000000000021</v>
      </c>
      <c r="AT58" s="122">
        <f t="shared" si="75"/>
        <v>0.13799999999999979</v>
      </c>
      <c r="AV58" s="49">
        <f t="shared" ca="1" si="81"/>
        <v>1349.3009722776515</v>
      </c>
      <c r="AY58" s="10"/>
      <c r="AZ58" s="10"/>
      <c r="BA58" s="6">
        <f t="shared" ca="1" si="83"/>
        <v>-2928.3009722776515</v>
      </c>
      <c r="BB58" s="6">
        <f t="shared" ca="1" si="84"/>
        <v>-26528.300972277651</v>
      </c>
      <c r="BC58" s="6">
        <f t="shared" ca="1" si="85"/>
        <v>2311.6990277223485</v>
      </c>
      <c r="BD58" s="12">
        <f t="shared" ca="1" si="86"/>
        <v>2371.6990277223485</v>
      </c>
      <c r="BE58" s="2">
        <f t="shared" ca="1" si="87"/>
        <v>-3.4231834090369666E-2</v>
      </c>
      <c r="BF58" s="2">
        <f t="shared" ca="1" si="88"/>
        <v>-0.30688704147240309</v>
      </c>
      <c r="BG58" s="2">
        <f t="shared" ca="1" si="89"/>
        <v>2.7137965659222614E-2</v>
      </c>
      <c r="BH58" s="13">
        <f t="shared" ca="1" si="90"/>
        <v>2.7848868398952415E-2</v>
      </c>
      <c r="BI58" s="2">
        <f t="shared" ca="1" si="91"/>
        <v>-0.15053758365042083</v>
      </c>
      <c r="BJ58" s="2">
        <f t="shared" ca="1" si="92"/>
        <v>-1.3495634956316522</v>
      </c>
      <c r="BK58" s="2">
        <f t="shared" ca="1" si="93"/>
        <v>0.11934165621224402</v>
      </c>
      <c r="BL58" s="56">
        <f t="shared" ca="1" si="94"/>
        <v>0.1224679152484052</v>
      </c>
      <c r="BN58" s="6">
        <f t="shared" ca="1" si="95"/>
        <v>2770.3009722776515</v>
      </c>
      <c r="BO58" s="6">
        <f t="shared" ca="1" si="96"/>
        <v>-2529.6990277223485</v>
      </c>
      <c r="BP58" s="6">
        <f t="shared" ca="1" si="97"/>
        <v>26310.300972277651</v>
      </c>
      <c r="BQ58" s="12">
        <f t="shared" ca="1" si="98"/>
        <v>26370.300972277651</v>
      </c>
      <c r="BR58" s="2">
        <f t="shared" ca="1" si="99"/>
        <v>2.5958979076596549E-2</v>
      </c>
      <c r="BS58" s="2">
        <f t="shared" ca="1" si="100"/>
        <v>-2.2659755076432465E-2</v>
      </c>
      <c r="BT58" s="2">
        <f t="shared" ca="1" si="101"/>
        <v>0.31314916230019596</v>
      </c>
      <c r="BU58" s="13">
        <f t="shared" ca="1" si="102"/>
        <v>0.31386336604415216</v>
      </c>
      <c r="BV58" s="2">
        <f t="shared" ca="1" si="103"/>
        <v>0.11415695618021375</v>
      </c>
      <c r="BW58" s="2">
        <f t="shared" ca="1" si="104"/>
        <v>-9.9648320516841568E-2</v>
      </c>
      <c r="BX58" s="2">
        <f t="shared" ca="1" si="105"/>
        <v>1.377101737826163</v>
      </c>
      <c r="BY58" s="13">
        <f t="shared" ca="1" si="106"/>
        <v>1.3802425133266933</v>
      </c>
      <c r="CB58" s="17" t="s">
        <v>83</v>
      </c>
      <c r="CC58" s="123" t="b">
        <f t="shared" si="78"/>
        <v>1</v>
      </c>
      <c r="CD58" s="17" t="s">
        <v>183</v>
      </c>
      <c r="CE58" s="138" t="str">
        <f>IF([1]!w_info_callput(CD58)="认购","C","P")</f>
        <v>C</v>
      </c>
      <c r="CF58" s="139">
        <f>[1]!w_info_strikeprice(CD58,"")</f>
        <v>3.6</v>
      </c>
      <c r="CG58" s="140" t="str">
        <f>[1]!w_info_lasttradingdate(CD58)</f>
        <v>2020-06-24</v>
      </c>
      <c r="CH58" s="55" t="str">
        <f t="shared" si="79"/>
        <v>IO2006-C-3600.CFE</v>
      </c>
      <c r="CI58" s="55" t="str">
        <f t="shared" si="80"/>
        <v>IO2006-C-3600.CFE</v>
      </c>
      <c r="CK58" s="17" t="s">
        <v>241</v>
      </c>
      <c r="CL58" s="17"/>
    </row>
    <row r="59" spans="1:90">
      <c r="A59" s="50" t="str">
        <f t="shared" si="82"/>
        <v>T</v>
      </c>
      <c r="B59" t="s">
        <v>97</v>
      </c>
      <c r="C59" s="29" t="str">
        <f t="shared" si="108"/>
        <v>C</v>
      </c>
      <c r="D59" s="125">
        <f>[1]!w_info_strikeprice(B59,"")</f>
        <v>3700</v>
      </c>
      <c r="E59" s="18" t="str">
        <f>[1]!w_info_lasttradingdate(B59)</f>
        <v>2020-06-19</v>
      </c>
      <c r="F59" s="4">
        <f>IF(G59&gt;0,RTD("wdf.rtq",,$B59,F$5),0)</f>
        <v>178</v>
      </c>
      <c r="G59" s="73">
        <f>RTD("wdf.rtq",,$B59,G$5)</f>
        <v>15</v>
      </c>
      <c r="H59" s="4">
        <f>RTD("wdf.rtq",,$B59,H$5)</f>
        <v>111</v>
      </c>
      <c r="I59" s="73">
        <f>RTD("wdf.rtq",,$B59,I$5)</f>
        <v>1</v>
      </c>
      <c r="J59" s="4">
        <f>RTD("wdf.rtq",,$B59,J$5)</f>
        <v>0</v>
      </c>
      <c r="K59" s="73">
        <f>RTD("wdf.rtq",,$B59,K$5)</f>
        <v>0</v>
      </c>
      <c r="L59" s="4">
        <f>[1]!s_dq_presettle(B59,"")</f>
        <v>188</v>
      </c>
      <c r="M59" s="6">
        <f t="shared" si="109"/>
        <v>0</v>
      </c>
      <c r="N59" s="3">
        <f t="shared" si="110"/>
        <v>17800</v>
      </c>
      <c r="O59" s="6">
        <f t="shared" si="111"/>
        <v>37243.200000000004</v>
      </c>
      <c r="P59" s="3">
        <f t="shared" si="112"/>
        <v>18500</v>
      </c>
      <c r="Q59" s="6">
        <f t="shared" si="107"/>
        <v>55043.210000000006</v>
      </c>
      <c r="R59" s="75">
        <f ca="1">IF(NOW()-TODAY()&gt;15/24, G59, [1]!s_dq_volume(B59,R$2,1))/$I$2</f>
        <v>64</v>
      </c>
      <c r="S59" s="78">
        <f t="shared" si="71"/>
        <v>24.320000000000164</v>
      </c>
      <c r="T59" s="78">
        <f t="shared" si="72"/>
        <v>153.67999999999984</v>
      </c>
      <c r="AB59" s="17" t="s">
        <v>184</v>
      </c>
      <c r="AC59" s="29" t="str">
        <f>IF([1]!w_info_callput(AB59)="认购","C","P")</f>
        <v>C</v>
      </c>
      <c r="AD59" s="31">
        <f>[1]!w_info_strikeprice(AB59,"")</f>
        <v>3.7</v>
      </c>
      <c r="AE59" s="18" t="str">
        <f>[1]!w_info_lasttradingdate(AB59)</f>
        <v>2020-06-24</v>
      </c>
      <c r="AF59" s="15">
        <f>RTD("wdf.rtq",,$AB59,F$5)</f>
        <v>0.19600000000000001</v>
      </c>
      <c r="AG59" s="73">
        <f>RTD("wdf.rtq",,$AB59,G$5)</f>
        <v>1455</v>
      </c>
      <c r="AH59" s="15">
        <f>RTD("wdf.rtq",,$AB59,H$5)</f>
        <v>0.1951</v>
      </c>
      <c r="AI59" s="73">
        <f>RTD("wdf.rtq",,$AB59,I$5)</f>
        <v>1</v>
      </c>
      <c r="AJ59" s="15">
        <f>RTD("wdf.rtq",,$AB59,J$5)</f>
        <v>0.20050000000000001</v>
      </c>
      <c r="AK59" s="77">
        <f>RTD("wdf.rtq",,$AB59,K$5)</f>
        <v>1</v>
      </c>
      <c r="AL59" s="15">
        <f>[1]!s_dq_presettle(AB59,"")</f>
        <v>0.20180000000000001</v>
      </c>
      <c r="AM59" s="15">
        <f t="shared" si="113"/>
        <v>0</v>
      </c>
      <c r="AN59" s="3">
        <f t="shared" si="114"/>
        <v>19600</v>
      </c>
      <c r="AO59" s="15">
        <f t="shared" si="73"/>
        <v>0.44531999999999999</v>
      </c>
      <c r="AP59" s="14">
        <f t="shared" si="115"/>
        <v>1.3720000000000001E-2</v>
      </c>
      <c r="AQ59" s="8">
        <f t="shared" si="76"/>
        <v>76958.409999999989</v>
      </c>
      <c r="AR59" s="78">
        <f ca="1">IF(NOW()-TODAY()&gt;15/24, AG59, [1]!s_dq_volume(AB59,AR$2,1))/AI$2</f>
        <v>500.9</v>
      </c>
      <c r="AS59" s="122">
        <f t="shared" si="74"/>
        <v>1.1000000000000121E-2</v>
      </c>
      <c r="AT59" s="122">
        <f t="shared" si="75"/>
        <v>0.18499999999999989</v>
      </c>
      <c r="AV59" s="49">
        <f t="shared" ca="1" si="81"/>
        <v>1349.3009722776605</v>
      </c>
      <c r="AY59" s="10"/>
      <c r="AZ59" s="10"/>
      <c r="BA59" s="6">
        <f t="shared" ca="1" si="83"/>
        <v>-3228.3009722776605</v>
      </c>
      <c r="BB59" s="6">
        <f t="shared" ca="1" si="84"/>
        <v>-10378.300972277661</v>
      </c>
      <c r="BC59" s="6">
        <f t="shared" si="85"/>
        <v>0</v>
      </c>
      <c r="BD59" s="12">
        <f t="shared" si="86"/>
        <v>0</v>
      </c>
      <c r="BE59" s="2">
        <f t="shared" ca="1" si="87"/>
        <v>-4.3249760725425128E-2</v>
      </c>
      <c r="BF59" s="2">
        <f t="shared" ca="1" si="88"/>
        <v>-0.13820558439674718</v>
      </c>
      <c r="BG59" s="2">
        <f t="shared" si="89"/>
        <v>0</v>
      </c>
      <c r="BH59" s="13">
        <f t="shared" si="90"/>
        <v>0</v>
      </c>
      <c r="BI59" s="2">
        <f t="shared" ca="1" si="91"/>
        <v>-0.19019473090096592</v>
      </c>
      <c r="BJ59" s="2">
        <f t="shared" ca="1" si="92"/>
        <v>-0.60777154584111714</v>
      </c>
      <c r="BK59" s="2">
        <f t="shared" ca="1" si="93"/>
        <v>0</v>
      </c>
      <c r="BL59" s="56">
        <f t="shared" ca="1" si="94"/>
        <v>0</v>
      </c>
      <c r="BN59" s="6">
        <f t="shared" ca="1" si="95"/>
        <v>3070.3009722776605</v>
      </c>
      <c r="BO59" s="6">
        <f t="shared" si="96"/>
        <v>0</v>
      </c>
      <c r="BP59" s="6">
        <f t="shared" ca="1" si="97"/>
        <v>10160.300972277661</v>
      </c>
      <c r="BQ59" s="12">
        <f t="shared" ca="1" si="98"/>
        <v>10220.300972277661</v>
      </c>
      <c r="BR59" s="2">
        <f t="shared" ca="1" si="99"/>
        <v>3.2401355956454533E-2</v>
      </c>
      <c r="BS59" s="2">
        <f t="shared" si="100"/>
        <v>0</v>
      </c>
      <c r="BT59" s="2">
        <f t="shared" ca="1" si="101"/>
        <v>0.11538135499665009</v>
      </c>
      <c r="BU59" s="13">
        <f t="shared" ca="1" si="102"/>
        <v>0.11606274712747666</v>
      </c>
      <c r="BV59" s="2">
        <f t="shared" ca="1" si="103"/>
        <v>0.14248789065187836</v>
      </c>
      <c r="BW59" s="2">
        <f t="shared" ca="1" si="104"/>
        <v>0</v>
      </c>
      <c r="BX59" s="2">
        <f t="shared" ca="1" si="105"/>
        <v>0.50739993462382271</v>
      </c>
      <c r="BY59" s="13">
        <f t="shared" ca="1" si="106"/>
        <v>0.51039641809071057</v>
      </c>
      <c r="CB59" s="17" t="s">
        <v>84</v>
      </c>
      <c r="CC59" s="123" t="b">
        <f t="shared" si="78"/>
        <v>1</v>
      </c>
      <c r="CD59" s="17" t="s">
        <v>184</v>
      </c>
      <c r="CE59" s="138" t="str">
        <f>IF([1]!w_info_callput(CD59)="认购","C","P")</f>
        <v>C</v>
      </c>
      <c r="CF59" s="139">
        <f>[1]!w_info_strikeprice(CD59,"")</f>
        <v>3.7</v>
      </c>
      <c r="CG59" s="140" t="str">
        <f>[1]!w_info_lasttradingdate(CD59)</f>
        <v>2020-06-24</v>
      </c>
      <c r="CH59" s="55" t="str">
        <f t="shared" si="79"/>
        <v>IO2006-C-3700.CFE</v>
      </c>
      <c r="CI59" s="55" t="str">
        <f t="shared" si="80"/>
        <v>IO2006-C-3700.CFE</v>
      </c>
      <c r="CK59" s="17" t="s">
        <v>242</v>
      </c>
      <c r="CL59" s="17"/>
    </row>
    <row r="60" spans="1:90">
      <c r="B60" t="s">
        <v>98</v>
      </c>
      <c r="C60" s="29" t="str">
        <f t="shared" ref="C60:C77" si="116">IF(MID(B60,8,1)="C","C","P")</f>
        <v>C</v>
      </c>
      <c r="D60" s="125">
        <f>[1]!w_info_strikeprice(B60,"")</f>
        <v>3800</v>
      </c>
      <c r="E60" s="18" t="str">
        <f>[1]!w_info_lasttradingdate(B60)</f>
        <v>2020-06-19</v>
      </c>
      <c r="F60" s="4">
        <f>IF(G60&gt;0,RTD("wdf.rtq",,$B60,F$5),0)</f>
        <v>135</v>
      </c>
      <c r="G60" s="73">
        <f>RTD("wdf.rtq",,$B60,G$5)</f>
        <v>35</v>
      </c>
      <c r="H60" s="4">
        <f>RTD("wdf.rtq",,$B60,H$5)</f>
        <v>56</v>
      </c>
      <c r="I60" s="73">
        <f>RTD("wdf.rtq",,$B60,I$5)</f>
        <v>1</v>
      </c>
      <c r="J60" s="4">
        <f>RTD("wdf.rtq",,$B60,J$5)</f>
        <v>156</v>
      </c>
      <c r="K60" s="73">
        <f>RTD("wdf.rtq",,$B60,K$5)</f>
        <v>1</v>
      </c>
      <c r="L60" s="4">
        <f>[1]!s_dq_presettle(B60,"")</f>
        <v>145.4</v>
      </c>
      <c r="M60" s="6">
        <f t="shared" ref="M60:M77" si="117">IF(C60="P",MAX($F$2-D60,0),MAX(0,D60-$F$2))</f>
        <v>75.679999999999836</v>
      </c>
      <c r="N60" s="3">
        <f t="shared" ref="N60:N77" si="118">H$2*I$2*F60</f>
        <v>13500</v>
      </c>
      <c r="O60" s="6">
        <f t="shared" ref="O60:O77" si="119">($F$2*$O$2-M60)*H$2</f>
        <v>29675.200000000019</v>
      </c>
      <c r="P60" s="3">
        <f t="shared" ref="P60:P77" si="120">$O$2*$P$2*D60*H$2</f>
        <v>19000</v>
      </c>
      <c r="Q60" s="6">
        <f t="shared" ref="Q60:Q77" si="121">I$2*(N60+MAX(O60,P60))*$Q$2+0.01</f>
        <v>43175.210000000021</v>
      </c>
      <c r="R60" s="75">
        <f ca="1">IF(NOW()-TODAY()&gt;15/24, G60, [1]!s_dq_volume(B60,R$2,1))/$I$2</f>
        <v>99</v>
      </c>
      <c r="S60" s="78">
        <f t="shared" ref="S60:S77" si="122">IF(C60="C",MAX($F$2-D60,0),MAX(D60-$F$2,0))</f>
        <v>0</v>
      </c>
      <c r="T60" s="78">
        <f t="shared" si="72"/>
        <v>135</v>
      </c>
      <c r="AB60" s="17" t="s">
        <v>185</v>
      </c>
      <c r="AC60" s="29" t="str">
        <f>IF([1]!w_info_callput(AB60)="认购","C","P")</f>
        <v>C</v>
      </c>
      <c r="AD60" s="31">
        <f>[1]!w_info_strikeprice(AB60,"")</f>
        <v>3.8</v>
      </c>
      <c r="AE60" s="18" t="str">
        <f>[1]!w_info_lasttradingdate(AB60)</f>
        <v>2020-06-24</v>
      </c>
      <c r="AF60" s="15">
        <f>RTD("wdf.rtq",,$AB60,F$5)</f>
        <v>0.152</v>
      </c>
      <c r="AG60" s="73">
        <f>RTD("wdf.rtq",,$AB60,G$5)</f>
        <v>2687</v>
      </c>
      <c r="AH60" s="15">
        <f>RTD("wdf.rtq",,$AB60,H$5)</f>
        <v>0.15040000000000001</v>
      </c>
      <c r="AI60" s="73">
        <f>RTD("wdf.rtq",,$AB60,I$5)</f>
        <v>15</v>
      </c>
      <c r="AJ60" s="15">
        <f>RTD("wdf.rtq",,$AB60,J$5)</f>
        <v>0.1575</v>
      </c>
      <c r="AK60" s="77">
        <f>RTD("wdf.rtq",,$AB60,K$5)</f>
        <v>3</v>
      </c>
      <c r="AL60" s="15">
        <f>[1]!s_dq_presettle(AB60,"")</f>
        <v>0.15559999999999999</v>
      </c>
      <c r="AM60" s="15">
        <f t="shared" ref="AM60:AM77" si="123">IF(AC60="P",MAX($AF$2-AD60,0),MAX(0,AD60-$AF$2))</f>
        <v>8.8999999999999524E-2</v>
      </c>
      <c r="AN60" s="3">
        <f t="shared" ref="AN60:AN77" si="124">AH$2*AI$2*AF60</f>
        <v>15200</v>
      </c>
      <c r="AO60" s="15">
        <f t="shared" ref="AO60:AO77" si="125">$AO$2*$AF$2-AM60</f>
        <v>0.35632000000000047</v>
      </c>
      <c r="AP60" s="14">
        <f t="shared" ref="AP60:AP77" si="126">IF(AC60="C",$AP$2*AF60,$AP$2*AD60)</f>
        <v>1.064E-2</v>
      </c>
      <c r="AQ60" s="8">
        <f t="shared" ref="AQ60:AQ77" si="127">AH$2*AI$2*IF(AC60="C", MAX(AO60,AP60)+AF60, MIN(AF60+MAX(AO60,AP60),AD60) )*$AQ$2+0.01</f>
        <v>60998.410000000054</v>
      </c>
      <c r="AR60" s="78">
        <f ca="1">IF(NOW()-TODAY()&gt;15/24, AG60, [1]!s_dq_volume(AB60,AR$2,1))/AI$2</f>
        <v>523.79999999999995</v>
      </c>
      <c r="AS60" s="122">
        <f t="shared" ref="AS60:AS77" si="128">IF(AC60="C",MAX($AF$2-AD60,0),MAX(AD60-$AF$2,0))</f>
        <v>0</v>
      </c>
      <c r="AT60" s="122">
        <f t="shared" ref="AT60:AT77" si="129">AF60-AS60</f>
        <v>0.152</v>
      </c>
      <c r="AV60" s="49">
        <f t="shared" ca="1" si="81"/>
        <v>0</v>
      </c>
      <c r="AY60" s="10"/>
      <c r="AZ60" s="10"/>
      <c r="BA60" s="6">
        <f t="shared" ref="BA60:BA77" ca="1" si="130">IF(AND(F60&gt;0,AF60&gt;0),(H$2*I$2*F60-AH$2*AI$2*AF60)-2*$I$2*$J$2-2*$AI$2*$AJ$2-AV60,0)</f>
        <v>-1779</v>
      </c>
      <c r="BB60" s="6">
        <f t="shared" ref="BB60:BB77" ca="1" si="131">IF(AND(H60&gt;0,AJ60&gt;0),H$2*I$2*H60-AH$2*AI$2*AJ60-2*$I$2*$J$2-2*$AI$2*$AJ$2-AV60,0)</f>
        <v>-10229</v>
      </c>
      <c r="BC60" s="6">
        <f t="shared" ref="BC60:BC77" ca="1" si="132">IF(AND(J60&gt;0,AH60&gt;0),H$2*I$2*J60-AH$2*AI$2*AH60-2*$I$2*$J$2-2*$AI$2*$AJ$2-H$2*I$2*$BC$2-AH$2*AI$2*$BC$3-AV60,0)</f>
        <v>421</v>
      </c>
      <c r="BD60" s="12">
        <f t="shared" ref="BD60:BD77" ca="1" si="133">IF(AND(J60&gt;0,AH60&gt;0),H$2*I$2*J60-AH$2*AI$2*AH60-2*$I$2*$J$2-2*$AI$2*$AJ$2-AV60,0)</f>
        <v>481</v>
      </c>
      <c r="BE60" s="2">
        <f t="shared" ref="BE60:BE77" ca="1" si="134">BA60/(Q60+AH$2*AI$2*AF60)</f>
        <v>-3.047526509968871E-2</v>
      </c>
      <c r="BF60" s="2">
        <f t="shared" ref="BF60:BF77" ca="1" si="135">BB60/(Q60+AH$2*AI$2*AJ60)</f>
        <v>-0.17359293246472937</v>
      </c>
      <c r="BG60" s="2">
        <f t="shared" ref="BG60:BG77" ca="1" si="136">BC60/(Q60+AH$2*AI$2*(AH60+$BC$3))</f>
        <v>7.2293033716200189E-3</v>
      </c>
      <c r="BH60" s="13">
        <f t="shared" ref="BH60:BH77" ca="1" si="137">BD60/(Q60+AH$2*AI$2*AH60)</f>
        <v>8.2624455017855265E-3</v>
      </c>
      <c r="BI60" s="2">
        <f t="shared" ref="BI60:BI77" ca="1" si="138">BE60*365/(AE60+1-TODAY())</f>
        <v>-0.13401773206489614</v>
      </c>
      <c r="BJ60" s="2">
        <f t="shared" ref="BJ60:BJ77" ca="1" si="139">BF60*365/(AE60+1-TODAY())</f>
        <v>-0.76339060662200264</v>
      </c>
      <c r="BK60" s="2">
        <f t="shared" ref="BK60:BK77" ca="1" si="140">BG60*365/(AE60+1-TODAY())</f>
        <v>3.1791514827003695E-2</v>
      </c>
      <c r="BL60" s="56">
        <f t="shared" ref="BL60:BL77" ca="1" si="141">BH60*365/(AE60+1-TODAY())</f>
        <v>3.6334850700623096E-2</v>
      </c>
      <c r="BN60" s="6">
        <f t="shared" ref="BN60:BN77" ca="1" si="142">IF(AND(F60&gt;0,AF60&gt;0),-H$2*I$2*F60+AH$2*AI$2*AF60-2*$I$2*$J$2-2*$AI$2*$AJ$2+AV60,0)</f>
        <v>1621</v>
      </c>
      <c r="BO60" s="6">
        <f t="shared" ref="BO60:BO77" ca="1" si="143">IF(AND(J60&gt;0,AH60&gt;0),-H$2*I$2*J60+AH$2*AI$2*AH60-2*$I$2*$J$2-2*$AI$2*$AJ$2+AV60,0)</f>
        <v>-639</v>
      </c>
      <c r="BP60" s="6">
        <f t="shared" ref="BP60:BP77" ca="1" si="144">IF(AND(H60&gt;0,AJ60&gt;0),-H$2*I$2*H60+AH$2*AI$2*AJ60-2*$I$2*$J$2-2*$AI$2*$AJ$2-H$2*I$2*$BC$2-AH$2*AI$2*$BC$3+AV60,0)</f>
        <v>10011</v>
      </c>
      <c r="BQ60" s="12">
        <f t="shared" ref="BQ60:BQ77" ca="1" si="145">IF(AND(H60&gt;0,AJ60&gt;0),-H$2*I$2*H60+AH$2*AI$2*AJ60-2*$I$2*$J$2-2*$AI$2*$AJ$2+AV60,0)</f>
        <v>10071</v>
      </c>
      <c r="BR60" s="2">
        <f t="shared" ref="BR60:BR77" ca="1" si="146">BN60/(AQ60+H$2*I$2*F60)</f>
        <v>2.1758853645332817E-2</v>
      </c>
      <c r="BS60" s="2">
        <f t="shared" ref="BS60:BS77" ca="1" si="147">BO60/(AQ60+H$2*I$2*J60)</f>
        <v>-8.3422097142747415E-3</v>
      </c>
      <c r="BT60" s="2">
        <f t="shared" ref="BT60:BT77" ca="1" si="148">BP60/(AQ60+H$2*I$2*(H60+$BP$3))</f>
        <v>0.15031885886799423</v>
      </c>
      <c r="BU60" s="13">
        <f t="shared" ref="BU60:BU77" ca="1" si="149">BQ60/(AQ60+H$2*I$2*H60)</f>
        <v>0.15121982641927925</v>
      </c>
      <c r="BV60" s="2">
        <f t="shared" ref="BV60:BV77" ca="1" si="150">BR60*365/(AE60+1-TODAY())</f>
        <v>9.5686525066825026E-2</v>
      </c>
      <c r="BW60" s="2">
        <f t="shared" ref="BW60:BW77" ca="1" si="151">BS60*365/(AE60+1-TODAY())</f>
        <v>-3.6685621032653985E-2</v>
      </c>
      <c r="BX60" s="2">
        <f t="shared" ref="BX60:BX77" ca="1" si="152">BT60*365/(AE60+1-TODAY())</f>
        <v>0.66104076490142039</v>
      </c>
      <c r="BY60" s="13">
        <f t="shared" ref="BY60:BY77" ca="1" si="153">BU60*365/(AE60+1-TODAY())</f>
        <v>0.66500285112092683</v>
      </c>
      <c r="CB60" s="17" t="s">
        <v>85</v>
      </c>
      <c r="CC60" s="123" t="b">
        <f t="shared" si="78"/>
        <v>1</v>
      </c>
      <c r="CD60" s="17" t="s">
        <v>185</v>
      </c>
      <c r="CE60" s="138" t="str">
        <f>IF([1]!w_info_callput(CD60)="认购","C","P")</f>
        <v>C</v>
      </c>
      <c r="CF60" s="139">
        <f>[1]!w_info_strikeprice(CD60,"")</f>
        <v>3.8</v>
      </c>
      <c r="CG60" s="140" t="str">
        <f>[1]!w_info_lasttradingdate(CD60)</f>
        <v>2020-06-24</v>
      </c>
      <c r="CH60" s="55" t="str">
        <f t="shared" si="79"/>
        <v>IO2006-C-3800.CFE</v>
      </c>
      <c r="CI60" s="55" t="str">
        <f t="shared" si="80"/>
        <v>IO2006-C-3800.CFE</v>
      </c>
      <c r="CK60" s="17" t="s">
        <v>299</v>
      </c>
      <c r="CL60" s="17"/>
    </row>
    <row r="61" spans="1:90">
      <c r="B61" t="s">
        <v>99</v>
      </c>
      <c r="C61" s="29" t="str">
        <f t="shared" si="116"/>
        <v>C</v>
      </c>
      <c r="D61" s="125">
        <f>[1]!w_info_strikeprice(B61,"")</f>
        <v>3900</v>
      </c>
      <c r="E61" s="18" t="str">
        <f>[1]!w_info_lasttradingdate(B61)</f>
        <v>2020-06-19</v>
      </c>
      <c r="F61" s="4">
        <f>IF(G61&gt;0,RTD("wdf.rtq",,$B61,F$5),0)</f>
        <v>104</v>
      </c>
      <c r="G61" s="73">
        <f>RTD("wdf.rtq",,$B61,G$5)</f>
        <v>33</v>
      </c>
      <c r="H61" s="4">
        <f>RTD("wdf.rtq",,$B61,H$5)</f>
        <v>38</v>
      </c>
      <c r="I61" s="73">
        <f>RTD("wdf.rtq",,$B61,I$5)</f>
        <v>1</v>
      </c>
      <c r="J61" s="4">
        <f>RTD("wdf.rtq",,$B61,J$5)</f>
        <v>113</v>
      </c>
      <c r="K61" s="73">
        <f>RTD("wdf.rtq",,$B61,K$5)</f>
        <v>1</v>
      </c>
      <c r="L61" s="4">
        <f>[1]!s_dq_presettle(B61,"")</f>
        <v>113</v>
      </c>
      <c r="M61" s="6">
        <f t="shared" si="117"/>
        <v>175.67999999999984</v>
      </c>
      <c r="N61" s="3">
        <f t="shared" si="118"/>
        <v>10400</v>
      </c>
      <c r="O61" s="6">
        <f t="shared" si="119"/>
        <v>19675.200000000019</v>
      </c>
      <c r="P61" s="3">
        <f t="shared" si="120"/>
        <v>19500</v>
      </c>
      <c r="Q61" s="6">
        <f t="shared" si="121"/>
        <v>30075.210000000017</v>
      </c>
      <c r="R61" s="75">
        <f ca="1">IF(NOW()-TODAY()&gt;15/24, G61, [1]!s_dq_volume(B61,R$2,1))/$I$2</f>
        <v>99</v>
      </c>
      <c r="S61" s="78">
        <f t="shared" si="122"/>
        <v>0</v>
      </c>
      <c r="T61" s="78">
        <f t="shared" si="72"/>
        <v>104</v>
      </c>
      <c r="AB61" s="17" t="s">
        <v>186</v>
      </c>
      <c r="AC61" s="29" t="str">
        <f>IF([1]!w_info_callput(AB61)="认购","C","P")</f>
        <v>C</v>
      </c>
      <c r="AD61" s="31">
        <f>[1]!w_info_strikeprice(AB61,"")</f>
        <v>3.9</v>
      </c>
      <c r="AE61" s="18" t="str">
        <f>[1]!w_info_lasttradingdate(AB61)</f>
        <v>2020-06-24</v>
      </c>
      <c r="AF61" s="15">
        <f>RTD("wdf.rtq",,$AB61,F$5)</f>
        <v>0.1154</v>
      </c>
      <c r="AG61" s="73">
        <f>RTD("wdf.rtq",,$AB61,G$5)</f>
        <v>1143</v>
      </c>
      <c r="AH61" s="15">
        <f>RTD("wdf.rtq",,$AB61,H$5)</f>
        <v>0.1116</v>
      </c>
      <c r="AI61" s="73">
        <f>RTD("wdf.rtq",,$AB61,I$5)</f>
        <v>16</v>
      </c>
      <c r="AJ61" s="15">
        <f>RTD("wdf.rtq",,$AB61,J$5)</f>
        <v>0.12050000000000001</v>
      </c>
      <c r="AK61" s="77">
        <f>RTD("wdf.rtq",,$AB61,K$5)</f>
        <v>15</v>
      </c>
      <c r="AL61" s="15">
        <f>[1]!s_dq_presettle(AB61,"")</f>
        <v>0.1186</v>
      </c>
      <c r="AM61" s="15">
        <f t="shared" si="123"/>
        <v>0.18899999999999961</v>
      </c>
      <c r="AN61" s="3">
        <f t="shared" si="124"/>
        <v>11540</v>
      </c>
      <c r="AO61" s="15">
        <f t="shared" si="125"/>
        <v>0.25632000000000038</v>
      </c>
      <c r="AP61" s="14">
        <f t="shared" si="126"/>
        <v>8.0780000000000001E-3</v>
      </c>
      <c r="AQ61" s="8">
        <f t="shared" si="127"/>
        <v>44606.410000000047</v>
      </c>
      <c r="AR61" s="78">
        <f ca="1">IF(NOW()-TODAY()&gt;15/24, AG61, [1]!s_dq_volume(AB61,AR$2,1))/AI$2</f>
        <v>270.60000000000002</v>
      </c>
      <c r="AS61" s="122">
        <f t="shared" si="128"/>
        <v>0</v>
      </c>
      <c r="AT61" s="122">
        <f t="shared" si="129"/>
        <v>0.1154</v>
      </c>
      <c r="AV61" s="49">
        <f t="shared" ca="1" si="81"/>
        <v>0</v>
      </c>
      <c r="AY61" s="10"/>
      <c r="AZ61" s="10"/>
      <c r="BA61" s="6">
        <f t="shared" ca="1" si="130"/>
        <v>-1219</v>
      </c>
      <c r="BB61" s="6">
        <f t="shared" ca="1" si="131"/>
        <v>-8329.0000000000018</v>
      </c>
      <c r="BC61" s="6">
        <f t="shared" ca="1" si="132"/>
        <v>1</v>
      </c>
      <c r="BD61" s="12">
        <f t="shared" ca="1" si="133"/>
        <v>61</v>
      </c>
      <c r="BE61" s="2">
        <f t="shared" ca="1" si="134"/>
        <v>-2.9292174664023066E-2</v>
      </c>
      <c r="BF61" s="2">
        <f t="shared" ca="1" si="135"/>
        <v>-0.19772008258237758</v>
      </c>
      <c r="BG61" s="2">
        <f t="shared" ca="1" si="136"/>
        <v>2.4239362737457875E-5</v>
      </c>
      <c r="BH61" s="13">
        <f t="shared" ca="1" si="137"/>
        <v>1.4793182816335837E-3</v>
      </c>
      <c r="BI61" s="2">
        <f t="shared" ca="1" si="138"/>
        <v>-0.12881498496829422</v>
      </c>
      <c r="BJ61" s="2">
        <f t="shared" ca="1" si="139"/>
        <v>-0.86949192942852793</v>
      </c>
      <c r="BK61" s="2">
        <f t="shared" ca="1" si="140"/>
        <v>1.0659478794183282E-4</v>
      </c>
      <c r="BL61" s="56">
        <f t="shared" ca="1" si="141"/>
        <v>6.5054358168223862E-3</v>
      </c>
      <c r="BN61" s="6">
        <f t="shared" ca="1" si="142"/>
        <v>1061</v>
      </c>
      <c r="BO61" s="6">
        <f t="shared" ca="1" si="143"/>
        <v>-219</v>
      </c>
      <c r="BP61" s="6">
        <f t="shared" ca="1" si="144"/>
        <v>8111.0000000000018</v>
      </c>
      <c r="BQ61" s="12">
        <f t="shared" ca="1" si="145"/>
        <v>8171.0000000000018</v>
      </c>
      <c r="BR61" s="2">
        <f t="shared" ca="1" si="146"/>
        <v>1.9288661085135335E-2</v>
      </c>
      <c r="BS61" s="2">
        <f t="shared" ca="1" si="147"/>
        <v>-3.917261008174194E-3</v>
      </c>
      <c r="BT61" s="2">
        <f t="shared" ca="1" si="148"/>
        <v>0.16756038402336207</v>
      </c>
      <c r="BU61" s="13">
        <f t="shared" ca="1" si="149"/>
        <v>0.16879995851789037</v>
      </c>
      <c r="BV61" s="2">
        <f t="shared" ca="1" si="150"/>
        <v>8.482363007318551E-2</v>
      </c>
      <c r="BW61" s="2">
        <f t="shared" ca="1" si="151"/>
        <v>-1.7226509252814225E-2</v>
      </c>
      <c r="BX61" s="2">
        <f t="shared" ca="1" si="152"/>
        <v>0.73686192974129106</v>
      </c>
      <c r="BY61" s="13">
        <f t="shared" ca="1" si="153"/>
        <v>0.74231307059072271</v>
      </c>
      <c r="CB61" s="40" t="s">
        <v>86</v>
      </c>
      <c r="CC61" s="123" t="b">
        <f t="shared" si="78"/>
        <v>1</v>
      </c>
      <c r="CD61" s="17" t="s">
        <v>186</v>
      </c>
      <c r="CE61" s="138" t="str">
        <f>IF([1]!w_info_callput(CD61)="认购","C","P")</f>
        <v>C</v>
      </c>
      <c r="CF61" s="139">
        <f>[1]!w_info_strikeprice(CD61,"")</f>
        <v>3.9</v>
      </c>
      <c r="CG61" s="140" t="str">
        <f>[1]!w_info_lasttradingdate(CD61)</f>
        <v>2020-06-24</v>
      </c>
      <c r="CH61" s="55" t="str">
        <f t="shared" si="79"/>
        <v>IO2006-C-3900.CFE</v>
      </c>
      <c r="CI61" s="55" t="str">
        <f t="shared" si="80"/>
        <v>IO2006-C-3900.CFE</v>
      </c>
      <c r="CK61" s="17" t="s">
        <v>300</v>
      </c>
      <c r="CL61" s="17"/>
    </row>
    <row r="62" spans="1:90">
      <c r="B62" t="s">
        <v>100</v>
      </c>
      <c r="C62" s="29" t="str">
        <f t="shared" si="116"/>
        <v>C</v>
      </c>
      <c r="D62" s="125">
        <f>[1]!w_info_strikeprice(B62,"")</f>
        <v>4000</v>
      </c>
      <c r="E62" s="18" t="str">
        <f>[1]!w_info_lasttradingdate(B62)</f>
        <v>2020-06-19</v>
      </c>
      <c r="F62" s="4">
        <f>IF(G62&gt;0,RTD("wdf.rtq",,$B62,F$5),0)</f>
        <v>80</v>
      </c>
      <c r="G62" s="73">
        <f>RTD("wdf.rtq",,$B62,G$5)</f>
        <v>25</v>
      </c>
      <c r="H62" s="4">
        <f>RTD("wdf.rtq",,$B62,H$5)</f>
        <v>77.2</v>
      </c>
      <c r="I62" s="73">
        <f>RTD("wdf.rtq",,$B62,I$5)</f>
        <v>2</v>
      </c>
      <c r="J62" s="4">
        <f>RTD("wdf.rtq",,$B62,J$5)</f>
        <v>128</v>
      </c>
      <c r="K62" s="73">
        <f>RTD("wdf.rtq",,$B62,K$5)</f>
        <v>3</v>
      </c>
      <c r="L62" s="4">
        <f>[1]!s_dq_presettle(B62,"")</f>
        <v>85.6</v>
      </c>
      <c r="M62" s="6">
        <f t="shared" si="117"/>
        <v>275.67999999999984</v>
      </c>
      <c r="N62" s="3">
        <f t="shared" si="118"/>
        <v>8000</v>
      </c>
      <c r="O62" s="6">
        <f t="shared" si="119"/>
        <v>9675.2000000000189</v>
      </c>
      <c r="P62" s="3">
        <f t="shared" si="120"/>
        <v>20000</v>
      </c>
      <c r="Q62" s="6">
        <f t="shared" si="121"/>
        <v>28000.01</v>
      </c>
      <c r="R62" s="75">
        <f ca="1">IF(NOW()-TODAY()&gt;15/24, G62, [1]!s_dq_volume(B62,R$2,1))/$I$2</f>
        <v>98</v>
      </c>
      <c r="S62" s="78">
        <f t="shared" si="122"/>
        <v>0</v>
      </c>
      <c r="T62" s="78">
        <f t="shared" si="72"/>
        <v>80</v>
      </c>
      <c r="AB62" s="124" t="s">
        <v>187</v>
      </c>
      <c r="AC62" s="29" t="str">
        <f>IF([1]!w_info_callput(AB62)="认购","C","P")</f>
        <v>C</v>
      </c>
      <c r="AD62" s="31">
        <f>[1]!w_info_strikeprice(AB62,"")</f>
        <v>4</v>
      </c>
      <c r="AE62" s="18" t="str">
        <f>[1]!w_info_lasttradingdate(AB62)</f>
        <v>2020-06-24</v>
      </c>
      <c r="AF62" s="15">
        <f>RTD("wdf.rtq",,$AB62,F$5)</f>
        <v>8.77E-2</v>
      </c>
      <c r="AG62" s="73">
        <f>RTD("wdf.rtq",,$AB62,G$5)</f>
        <v>1037</v>
      </c>
      <c r="AH62" s="15">
        <f>RTD("wdf.rtq",,$AB62,H$5)</f>
        <v>8.6000000000000007E-2</v>
      </c>
      <c r="AI62" s="73">
        <f>RTD("wdf.rtq",,$AB62,I$5)</f>
        <v>30</v>
      </c>
      <c r="AJ62" s="15">
        <f>RTD("wdf.rtq",,$AB62,J$5)</f>
        <v>8.9599999999999999E-2</v>
      </c>
      <c r="AK62" s="77">
        <f>RTD("wdf.rtq",,$AB62,K$5)</f>
        <v>1</v>
      </c>
      <c r="AL62" s="15">
        <f>[1]!s_dq_presettle(AB62,"")</f>
        <v>8.9099999999999999E-2</v>
      </c>
      <c r="AM62" s="15">
        <f t="shared" si="123"/>
        <v>0.2889999999999997</v>
      </c>
      <c r="AN62" s="3">
        <f t="shared" si="124"/>
        <v>8770</v>
      </c>
      <c r="AO62" s="15">
        <f t="shared" si="125"/>
        <v>0.15632000000000029</v>
      </c>
      <c r="AP62" s="14">
        <f t="shared" si="126"/>
        <v>6.1390000000000004E-3</v>
      </c>
      <c r="AQ62" s="8">
        <f t="shared" si="127"/>
        <v>29282.410000000033</v>
      </c>
      <c r="AR62" s="78">
        <f ca="1">IF(NOW()-TODAY()&gt;15/24, AG62, [1]!s_dq_volume(AB62,AR$2,1))/AI$2</f>
        <v>327.9</v>
      </c>
      <c r="AS62" s="122">
        <f t="shared" si="128"/>
        <v>0</v>
      </c>
      <c r="AT62" s="122">
        <f t="shared" si="129"/>
        <v>8.77E-2</v>
      </c>
      <c r="AV62" s="49">
        <f t="shared" ca="1" si="81"/>
        <v>0</v>
      </c>
      <c r="AY62" s="10"/>
      <c r="AZ62" s="10"/>
      <c r="BA62" s="6">
        <f t="shared" ca="1" si="130"/>
        <v>-849</v>
      </c>
      <c r="BB62" s="6">
        <f t="shared" ca="1" si="131"/>
        <v>-1319</v>
      </c>
      <c r="BC62" s="6">
        <f t="shared" ca="1" si="132"/>
        <v>4061</v>
      </c>
      <c r="BD62" s="12">
        <f t="shared" ca="1" si="133"/>
        <v>4121</v>
      </c>
      <c r="BE62" s="2">
        <f t="shared" ca="1" si="134"/>
        <v>-2.3089468836152073E-2</v>
      </c>
      <c r="BF62" s="2">
        <f t="shared" ca="1" si="135"/>
        <v>-3.5687219781596384E-2</v>
      </c>
      <c r="BG62" s="2">
        <f t="shared" ca="1" si="136"/>
        <v>0.11089565513499312</v>
      </c>
      <c r="BH62" s="13">
        <f t="shared" ca="1" si="137"/>
        <v>0.11259559765147607</v>
      </c>
      <c r="BI62" s="2">
        <f t="shared" ca="1" si="138"/>
        <v>-0.10153802560476513</v>
      </c>
      <c r="BJ62" s="2">
        <f t="shared" ca="1" si="139"/>
        <v>-0.15693777373834555</v>
      </c>
      <c r="BK62" s="2">
        <f t="shared" ca="1" si="140"/>
        <v>0.48767366414786134</v>
      </c>
      <c r="BL62" s="56">
        <f t="shared" ca="1" si="141"/>
        <v>0.49514931497335862</v>
      </c>
      <c r="BN62" s="6">
        <f t="shared" ca="1" si="142"/>
        <v>691</v>
      </c>
      <c r="BO62" s="6">
        <f t="shared" ca="1" si="143"/>
        <v>-4279</v>
      </c>
      <c r="BP62" s="6">
        <f t="shared" ca="1" si="144"/>
        <v>1101</v>
      </c>
      <c r="BQ62" s="12">
        <f t="shared" ca="1" si="145"/>
        <v>1161</v>
      </c>
      <c r="BR62" s="2">
        <f t="shared" ca="1" si="146"/>
        <v>1.8534209564242208E-2</v>
      </c>
      <c r="BS62" s="2">
        <f t="shared" ca="1" si="147"/>
        <v>-0.10168143887196567</v>
      </c>
      <c r="BT62" s="2">
        <f t="shared" ca="1" si="148"/>
        <v>2.9754802589992035E-2</v>
      </c>
      <c r="BU62" s="13">
        <f t="shared" ca="1" si="149"/>
        <v>3.1376334676579146E-2</v>
      </c>
      <c r="BV62" s="2">
        <f t="shared" ca="1" si="150"/>
        <v>8.1505861336727783E-2</v>
      </c>
      <c r="BW62" s="2">
        <f t="shared" ca="1" si="151"/>
        <v>-0.44715331552129478</v>
      </c>
      <c r="BX62" s="2">
        <f t="shared" ca="1" si="152"/>
        <v>0.13084943307647101</v>
      </c>
      <c r="BY62" s="13">
        <f t="shared" ca="1" si="153"/>
        <v>0.13798026695122154</v>
      </c>
      <c r="CB62" s="17" t="s">
        <v>87</v>
      </c>
      <c r="CC62" s="123" t="b">
        <f t="shared" si="78"/>
        <v>1</v>
      </c>
      <c r="CD62" s="124" t="s">
        <v>187</v>
      </c>
      <c r="CE62" s="138" t="str">
        <f>IF([1]!w_info_callput(CD62)="认购","C","P")</f>
        <v>C</v>
      </c>
      <c r="CF62" s="139">
        <f>[1]!w_info_strikeprice(CD62,"")</f>
        <v>4</v>
      </c>
      <c r="CG62" s="140" t="str">
        <f>[1]!w_info_lasttradingdate(CD62)</f>
        <v>2020-06-24</v>
      </c>
      <c r="CH62" s="55" t="str">
        <f t="shared" si="79"/>
        <v>IO2006-C-4000.CFE</v>
      </c>
      <c r="CI62" s="55" t="str">
        <f t="shared" si="80"/>
        <v>IO2006-C-4000.CFE</v>
      </c>
      <c r="CK62" s="17" t="s">
        <v>301</v>
      </c>
      <c r="CL62" s="17"/>
    </row>
    <row r="63" spans="1:90">
      <c r="B63" t="s">
        <v>101</v>
      </c>
      <c r="C63" s="29" t="str">
        <f t="shared" si="116"/>
        <v>C</v>
      </c>
      <c r="D63" s="125">
        <f>[1]!w_info_strikeprice(B63,"")</f>
        <v>4100</v>
      </c>
      <c r="E63" s="18" t="str">
        <f>[1]!w_info_lasttradingdate(B63)</f>
        <v>2020-06-19</v>
      </c>
      <c r="F63" s="4">
        <f>IF(G63&gt;0,RTD("wdf.rtq",,$B63,F$5),0)</f>
        <v>60</v>
      </c>
      <c r="G63" s="73">
        <f>RTD("wdf.rtq",,$B63,G$5)</f>
        <v>11</v>
      </c>
      <c r="H63" s="4">
        <f>RTD("wdf.rtq",,$B63,H$5)</f>
        <v>50.2</v>
      </c>
      <c r="I63" s="73">
        <f>RTD("wdf.rtq",,$B63,I$5)</f>
        <v>5</v>
      </c>
      <c r="J63" s="4">
        <f>RTD("wdf.rtq",,$B63,J$5)</f>
        <v>85</v>
      </c>
      <c r="K63" s="73">
        <f>RTD("wdf.rtq",,$B63,K$5)</f>
        <v>2</v>
      </c>
      <c r="L63" s="4">
        <f>[1]!s_dq_presettle(B63,"")</f>
        <v>64.599999999999994</v>
      </c>
      <c r="M63" s="6">
        <f t="shared" si="117"/>
        <v>375.67999999999984</v>
      </c>
      <c r="N63" s="3">
        <f t="shared" si="118"/>
        <v>6000</v>
      </c>
      <c r="O63" s="6">
        <f t="shared" si="119"/>
        <v>-324.79999999998199</v>
      </c>
      <c r="P63" s="3">
        <f t="shared" si="120"/>
        <v>20500</v>
      </c>
      <c r="Q63" s="6">
        <f t="shared" si="121"/>
        <v>26500.01</v>
      </c>
      <c r="R63" s="75">
        <f ca="1">IF(NOW()-TODAY()&gt;15/24, G63, [1]!s_dq_volume(B63,R$2,1))/$I$2</f>
        <v>52</v>
      </c>
      <c r="S63" s="78">
        <f t="shared" si="122"/>
        <v>0</v>
      </c>
      <c r="T63" s="78">
        <f t="shared" si="72"/>
        <v>60</v>
      </c>
      <c r="AB63" s="17" t="s">
        <v>188</v>
      </c>
      <c r="AC63" s="29" t="str">
        <f>IF([1]!w_info_callput(AB63)="认购","C","P")</f>
        <v>C</v>
      </c>
      <c r="AD63" s="31">
        <f>[1]!w_info_strikeprice(AB63,"")</f>
        <v>4.0999999999999996</v>
      </c>
      <c r="AE63" s="18" t="str">
        <f>[1]!w_info_lasttradingdate(AB63)</f>
        <v>2020-06-24</v>
      </c>
      <c r="AF63" s="15">
        <f>RTD("wdf.rtq",,$AB63,F$5)</f>
        <v>6.4899999999999999E-2</v>
      </c>
      <c r="AG63" s="73">
        <f>RTD("wdf.rtq",,$AB63,G$5)</f>
        <v>1785</v>
      </c>
      <c r="AH63" s="15">
        <f>RTD("wdf.rtq",,$AB63,H$5)</f>
        <v>6.4600000000000005E-2</v>
      </c>
      <c r="AI63" s="73">
        <f>RTD("wdf.rtq",,$AB63,I$5)</f>
        <v>1</v>
      </c>
      <c r="AJ63" s="15">
        <f>RTD("wdf.rtq",,$AB63,J$5)</f>
        <v>6.5500000000000003E-2</v>
      </c>
      <c r="AK63" s="77">
        <f>RTD("wdf.rtq",,$AB63,K$5)</f>
        <v>1</v>
      </c>
      <c r="AL63" s="15">
        <f>[1]!s_dq_presettle(AB63,"")</f>
        <v>6.6000000000000003E-2</v>
      </c>
      <c r="AM63" s="15">
        <f t="shared" si="123"/>
        <v>0.38899999999999935</v>
      </c>
      <c r="AN63" s="3">
        <f t="shared" si="124"/>
        <v>6490</v>
      </c>
      <c r="AO63" s="15">
        <f t="shared" si="125"/>
        <v>5.6320000000000647E-2</v>
      </c>
      <c r="AP63" s="14">
        <f t="shared" si="126"/>
        <v>4.5430000000000002E-3</v>
      </c>
      <c r="AQ63" s="8">
        <f t="shared" si="127"/>
        <v>14546.410000000078</v>
      </c>
      <c r="AR63" s="78">
        <f ca="1">IF(NOW()-TODAY()&gt;15/24, AG63, [1]!s_dq_volume(AB63,AR$2,1))/AI$2</f>
        <v>418.4</v>
      </c>
      <c r="AS63" s="122">
        <f t="shared" si="128"/>
        <v>0</v>
      </c>
      <c r="AT63" s="122">
        <f t="shared" si="129"/>
        <v>6.4899999999999999E-2</v>
      </c>
      <c r="AV63" s="49">
        <f t="shared" ca="1" si="81"/>
        <v>0</v>
      </c>
      <c r="AY63" s="10"/>
      <c r="AZ63" s="10"/>
      <c r="BA63" s="6">
        <f t="shared" ca="1" si="130"/>
        <v>-569</v>
      </c>
      <c r="BB63" s="6">
        <f t="shared" ca="1" si="131"/>
        <v>-1609</v>
      </c>
      <c r="BC63" s="6">
        <f t="shared" ca="1" si="132"/>
        <v>1900.9999999999991</v>
      </c>
      <c r="BD63" s="12">
        <f t="shared" ca="1" si="133"/>
        <v>1960.9999999999991</v>
      </c>
      <c r="BE63" s="2">
        <f t="shared" ca="1" si="134"/>
        <v>-1.7247645575130172E-2</v>
      </c>
      <c r="BF63" s="2">
        <f t="shared" ca="1" si="135"/>
        <v>-4.8683797675099047E-2</v>
      </c>
      <c r="BG63" s="2">
        <f t="shared" ca="1" si="136"/>
        <v>5.7640977064591523E-2</v>
      </c>
      <c r="BH63" s="13">
        <f t="shared" ca="1" si="137"/>
        <v>5.9496341172226554E-2</v>
      </c>
      <c r="BI63" s="2">
        <f t="shared" ca="1" si="138"/>
        <v>-7.5848079938825461E-2</v>
      </c>
      <c r="BJ63" s="2">
        <f t="shared" ca="1" si="139"/>
        <v>-0.21409139941459218</v>
      </c>
      <c r="BK63" s="2">
        <f t="shared" ca="1" si="140"/>
        <v>0.25348140516356515</v>
      </c>
      <c r="BL63" s="56">
        <f t="shared" ca="1" si="141"/>
        <v>0.26164053648027341</v>
      </c>
      <c r="BN63" s="6">
        <f t="shared" ca="1" si="142"/>
        <v>411</v>
      </c>
      <c r="BO63" s="6">
        <f t="shared" ca="1" si="143"/>
        <v>-2118.9999999999991</v>
      </c>
      <c r="BP63" s="6">
        <f t="shared" ca="1" si="144"/>
        <v>1391</v>
      </c>
      <c r="BQ63" s="12">
        <f t="shared" ca="1" si="145"/>
        <v>1451</v>
      </c>
      <c r="BR63" s="2">
        <f t="shared" ca="1" si="146"/>
        <v>2.000349452775441E-2</v>
      </c>
      <c r="BS63" s="2">
        <f t="shared" ca="1" si="147"/>
        <v>-9.1944905952814002E-2</v>
      </c>
      <c r="BT63" s="2">
        <f t="shared" ca="1" si="148"/>
        <v>7.1091149484090566E-2</v>
      </c>
      <c r="BU63" s="13">
        <f t="shared" ca="1" si="149"/>
        <v>7.4157701898303993E-2</v>
      </c>
      <c r="BV63" s="2">
        <f t="shared" ca="1" si="150"/>
        <v>8.7967174730486264E-2</v>
      </c>
      <c r="BW63" s="2">
        <f t="shared" ca="1" si="151"/>
        <v>-0.40433603220213382</v>
      </c>
      <c r="BX63" s="2">
        <f t="shared" ca="1" si="152"/>
        <v>0.31262975375533802</v>
      </c>
      <c r="BY63" s="13">
        <f t="shared" ca="1" si="153"/>
        <v>0.32611519509495129</v>
      </c>
      <c r="CB63" s="17" t="s">
        <v>88</v>
      </c>
      <c r="CC63" s="123" t="b">
        <f t="shared" si="78"/>
        <v>1</v>
      </c>
      <c r="CD63" s="17" t="s">
        <v>188</v>
      </c>
      <c r="CE63" s="138" t="str">
        <f>IF([1]!w_info_callput(CD63)="认购","C","P")</f>
        <v>C</v>
      </c>
      <c r="CF63" s="139">
        <f>[1]!w_info_strikeprice(CD63,"")</f>
        <v>4.0999999999999996</v>
      </c>
      <c r="CG63" s="140" t="str">
        <f>[1]!w_info_lasttradingdate(CD63)</f>
        <v>2020-06-24</v>
      </c>
      <c r="CH63" s="55" t="str">
        <f t="shared" si="79"/>
        <v>IO2006-C-4100.CFE</v>
      </c>
      <c r="CI63" s="55" t="str">
        <f t="shared" si="80"/>
        <v>IO2006-C-4100.CFE</v>
      </c>
      <c r="CK63" s="17" t="s">
        <v>302</v>
      </c>
      <c r="CL63" s="17"/>
    </row>
    <row r="64" spans="1:90">
      <c r="B64" t="s">
        <v>102</v>
      </c>
      <c r="C64" s="29" t="str">
        <f t="shared" si="116"/>
        <v>C</v>
      </c>
      <c r="D64" s="125">
        <f>[1]!w_info_strikeprice(B64,"")</f>
        <v>4200</v>
      </c>
      <c r="E64" s="18" t="str">
        <f>[1]!w_info_lasttradingdate(B64)</f>
        <v>2020-06-19</v>
      </c>
      <c r="F64" s="4">
        <f>IF(G64&gt;0,RTD("wdf.rtq",,$B64,F$5),0)</f>
        <v>47</v>
      </c>
      <c r="G64" s="73">
        <f>RTD("wdf.rtq",,$B64,G$5)</f>
        <v>85</v>
      </c>
      <c r="H64" s="4">
        <f>RTD("wdf.rtq",,$B64,H$5)</f>
        <v>43.6</v>
      </c>
      <c r="I64" s="73">
        <f>RTD("wdf.rtq",,$B64,I$5)</f>
        <v>1</v>
      </c>
      <c r="J64" s="4">
        <f>RTD("wdf.rtq",,$B64,J$5)</f>
        <v>66</v>
      </c>
      <c r="K64" s="73">
        <f>RTD("wdf.rtq",,$B64,K$5)</f>
        <v>1</v>
      </c>
      <c r="L64" s="4">
        <f>[1]!s_dq_presettle(B64,"")</f>
        <v>48.2</v>
      </c>
      <c r="M64" s="6">
        <f t="shared" si="117"/>
        <v>475.67999999999984</v>
      </c>
      <c r="N64" s="3">
        <f t="shared" si="118"/>
        <v>4700</v>
      </c>
      <c r="O64" s="6">
        <f t="shared" si="119"/>
        <v>-10324.799999999981</v>
      </c>
      <c r="P64" s="3">
        <f t="shared" si="120"/>
        <v>21000</v>
      </c>
      <c r="Q64" s="6">
        <f t="shared" si="121"/>
        <v>25700.01</v>
      </c>
      <c r="R64" s="75">
        <f ca="1">IF(NOW()-TODAY()&gt;15/24, G64, [1]!s_dq_volume(B64,R$2,1))/$I$2</f>
        <v>72</v>
      </c>
      <c r="S64" s="78">
        <f t="shared" si="122"/>
        <v>0</v>
      </c>
      <c r="T64" s="78">
        <f t="shared" si="72"/>
        <v>47</v>
      </c>
      <c r="AB64" s="17" t="s">
        <v>189</v>
      </c>
      <c r="AC64" s="29" t="str">
        <f>IF([1]!w_info_callput(AB64)="认购","C","P")</f>
        <v>C</v>
      </c>
      <c r="AD64" s="31">
        <f>[1]!w_info_strikeprice(AB64,"")</f>
        <v>4.2</v>
      </c>
      <c r="AE64" s="18" t="str">
        <f>[1]!w_info_lasttradingdate(AB64)</f>
        <v>2020-06-24</v>
      </c>
      <c r="AF64" s="15">
        <f>RTD("wdf.rtq",,$AB64,F$5)</f>
        <v>4.7800000000000002E-2</v>
      </c>
      <c r="AG64" s="73">
        <f>RTD("wdf.rtq",,$AB64,G$5)</f>
        <v>1926</v>
      </c>
      <c r="AH64" s="15">
        <f>RTD("wdf.rtq",,$AB64,H$5)</f>
        <v>4.6400000000000004E-2</v>
      </c>
      <c r="AI64" s="73">
        <f>RTD("wdf.rtq",,$AB64,I$5)</f>
        <v>10</v>
      </c>
      <c r="AJ64" s="15">
        <f>RTD("wdf.rtq",,$AB64,J$5)</f>
        <v>4.9600000000000005E-2</v>
      </c>
      <c r="AK64" s="77">
        <f>RTD("wdf.rtq",,$AB64,K$5)</f>
        <v>1</v>
      </c>
      <c r="AL64" s="15">
        <f>[1]!s_dq_presettle(AB64,"")</f>
        <v>4.8500000000000001E-2</v>
      </c>
      <c r="AM64" s="15">
        <f t="shared" si="123"/>
        <v>0.48899999999999988</v>
      </c>
      <c r="AN64" s="3">
        <f t="shared" si="124"/>
        <v>4780</v>
      </c>
      <c r="AO64" s="15">
        <f t="shared" si="125"/>
        <v>-4.3679999999999886E-2</v>
      </c>
      <c r="AP64" s="14">
        <f t="shared" si="126"/>
        <v>3.3460000000000004E-3</v>
      </c>
      <c r="AQ64" s="8">
        <f t="shared" si="127"/>
        <v>6137.5300000000007</v>
      </c>
      <c r="AR64" s="78">
        <f ca="1">IF(NOW()-TODAY()&gt;15/24, AG64, [1]!s_dq_volume(AB64,AR$2,1))/AI$2</f>
        <v>293.10000000000002</v>
      </c>
      <c r="AS64" s="122">
        <f t="shared" si="128"/>
        <v>0</v>
      </c>
      <c r="AT64" s="122">
        <f t="shared" si="129"/>
        <v>4.7800000000000002E-2</v>
      </c>
      <c r="AV64" s="49">
        <f t="shared" ca="1" si="81"/>
        <v>0</v>
      </c>
      <c r="AY64" s="10"/>
      <c r="AZ64" s="10"/>
      <c r="BA64" s="6">
        <f t="shared" ca="1" si="130"/>
        <v>-159</v>
      </c>
      <c r="BB64" s="6">
        <f t="shared" ca="1" si="131"/>
        <v>-679.00000000000091</v>
      </c>
      <c r="BC64" s="6">
        <f t="shared" ca="1" si="132"/>
        <v>1821</v>
      </c>
      <c r="BD64" s="12">
        <f t="shared" ca="1" si="133"/>
        <v>1881</v>
      </c>
      <c r="BE64" s="2">
        <f t="shared" ca="1" si="134"/>
        <v>-5.216533721609672E-3</v>
      </c>
      <c r="BF64" s="2">
        <f t="shared" ca="1" si="135"/>
        <v>-2.2146111498332875E-2</v>
      </c>
      <c r="BG64" s="2">
        <f t="shared" ca="1" si="136"/>
        <v>5.9980217397820362E-2</v>
      </c>
      <c r="BH64" s="13">
        <f t="shared" ca="1" si="137"/>
        <v>6.1997342782682013E-2</v>
      </c>
      <c r="BI64" s="2">
        <f t="shared" ca="1" si="138"/>
        <v>-2.2940178414307594E-2</v>
      </c>
      <c r="BJ64" s="2">
        <f t="shared" ca="1" si="139"/>
        <v>-9.7389526468572282E-2</v>
      </c>
      <c r="BK64" s="2">
        <f t="shared" ca="1" si="140"/>
        <v>0.26376842590607746</v>
      </c>
      <c r="BL64" s="56">
        <f t="shared" ca="1" si="141"/>
        <v>0.27263891705637266</v>
      </c>
      <c r="BN64" s="6">
        <f t="shared" ca="1" si="142"/>
        <v>1</v>
      </c>
      <c r="BO64" s="6">
        <f t="shared" ca="1" si="143"/>
        <v>-2039</v>
      </c>
      <c r="BP64" s="6">
        <f t="shared" ca="1" si="144"/>
        <v>461.00000000000091</v>
      </c>
      <c r="BQ64" s="12">
        <f t="shared" ca="1" si="145"/>
        <v>521.00000000000091</v>
      </c>
      <c r="BR64" s="2">
        <f t="shared" ca="1" si="146"/>
        <v>9.2271947574770261E-5</v>
      </c>
      <c r="BS64" s="2">
        <f t="shared" ca="1" si="147"/>
        <v>-0.16007813131745321</v>
      </c>
      <c r="BT64" s="2">
        <f t="shared" ca="1" si="148"/>
        <v>4.3915008740134688E-2</v>
      </c>
      <c r="BU64" s="13">
        <f t="shared" ca="1" si="149"/>
        <v>4.9630722655710523E-2</v>
      </c>
      <c r="BV64" s="2">
        <f t="shared" ca="1" si="150"/>
        <v>4.0577422728664027E-4</v>
      </c>
      <c r="BW64" s="2">
        <f t="shared" ca="1" si="151"/>
        <v>-0.70395804735988454</v>
      </c>
      <c r="BX64" s="2">
        <f t="shared" ca="1" si="152"/>
        <v>0.19312021915842362</v>
      </c>
      <c r="BY64" s="13">
        <f t="shared" ca="1" si="153"/>
        <v>0.21825558758234143</v>
      </c>
      <c r="CB64" s="17" t="s">
        <v>89</v>
      </c>
      <c r="CC64" s="123" t="b">
        <f t="shared" si="78"/>
        <v>1</v>
      </c>
      <c r="CD64" s="17" t="s">
        <v>189</v>
      </c>
      <c r="CE64" s="138" t="str">
        <f>IF([1]!w_info_callput(CD64)="认购","C","P")</f>
        <v>C</v>
      </c>
      <c r="CF64" s="139">
        <f>[1]!w_info_strikeprice(CD64,"")</f>
        <v>4.2</v>
      </c>
      <c r="CG64" s="140" t="str">
        <f>[1]!w_info_lasttradingdate(CD64)</f>
        <v>2020-06-24</v>
      </c>
      <c r="CH64" s="55" t="str">
        <f t="shared" si="79"/>
        <v>IO2006-C-4200.CFE</v>
      </c>
      <c r="CI64" s="55" t="str">
        <f t="shared" si="80"/>
        <v>IO2006-C-4200.CFE</v>
      </c>
      <c r="CK64" s="17" t="s">
        <v>303</v>
      </c>
      <c r="CL64" s="17"/>
    </row>
    <row r="65" spans="2:90">
      <c r="B65" t="s">
        <v>103</v>
      </c>
      <c r="C65" s="29" t="str">
        <f t="shared" si="116"/>
        <v>C</v>
      </c>
      <c r="D65" s="125">
        <f>[1]!w_info_strikeprice(B65,"")</f>
        <v>4300</v>
      </c>
      <c r="E65" s="18" t="str">
        <f>[1]!w_info_lasttradingdate(B65)</f>
        <v>2020-06-19</v>
      </c>
      <c r="F65" s="4">
        <f>IF(G65&gt;0,RTD("wdf.rtq",,$B65,F$5),0)</f>
        <v>33.200000000000003</v>
      </c>
      <c r="G65" s="73">
        <f>RTD("wdf.rtq",,$B65,G$5)</f>
        <v>26</v>
      </c>
      <c r="H65" s="4">
        <f>RTD("wdf.rtq",,$B65,H$5)</f>
        <v>30</v>
      </c>
      <c r="I65" s="73">
        <f>RTD("wdf.rtq",,$B65,I$5)</f>
        <v>2</v>
      </c>
      <c r="J65" s="4">
        <f>RTD("wdf.rtq",,$B65,J$5)</f>
        <v>50</v>
      </c>
      <c r="K65" s="73">
        <f>RTD("wdf.rtq",,$B65,K$5)</f>
        <v>1</v>
      </c>
      <c r="L65" s="4">
        <f>[1]!s_dq_presettle(B65,"")</f>
        <v>36.4</v>
      </c>
      <c r="M65" s="6">
        <f t="shared" si="117"/>
        <v>575.67999999999984</v>
      </c>
      <c r="N65" s="3">
        <f t="shared" si="118"/>
        <v>3320.0000000000005</v>
      </c>
      <c r="O65" s="6">
        <f t="shared" si="119"/>
        <v>-20324.799999999981</v>
      </c>
      <c r="P65" s="3">
        <f t="shared" si="120"/>
        <v>21500</v>
      </c>
      <c r="Q65" s="6">
        <f t="shared" si="121"/>
        <v>24820.01</v>
      </c>
      <c r="R65" s="75">
        <f ca="1">IF(NOW()-TODAY()&gt;15/24, G65, [1]!s_dq_volume(B65,R$2,1))/$I$2</f>
        <v>94</v>
      </c>
      <c r="S65" s="78">
        <f t="shared" si="122"/>
        <v>0</v>
      </c>
      <c r="T65" s="78">
        <f t="shared" si="72"/>
        <v>33.200000000000003</v>
      </c>
      <c r="AB65" s="17" t="s">
        <v>190</v>
      </c>
      <c r="AC65" s="29" t="str">
        <f>IF([1]!w_info_callput(AB65)="认购","C","P")</f>
        <v>C</v>
      </c>
      <c r="AD65" s="31">
        <f>[1]!w_info_strikeprice(AB65,"")</f>
        <v>4.3</v>
      </c>
      <c r="AE65" s="18" t="str">
        <f>[1]!w_info_lasttradingdate(AB65)</f>
        <v>2020-06-24</v>
      </c>
      <c r="AF65" s="15">
        <f>RTD("wdf.rtq",,$AB65,F$5)</f>
        <v>3.5099999999999999E-2</v>
      </c>
      <c r="AG65" s="73">
        <f>RTD("wdf.rtq",,$AB65,G$5)</f>
        <v>683</v>
      </c>
      <c r="AH65" s="15">
        <f>RTD("wdf.rtq",,$AB65,H$5)</f>
        <v>2.8000000000000001E-2</v>
      </c>
      <c r="AI65" s="73">
        <f>RTD("wdf.rtq",,$AB65,I$5)</f>
        <v>5</v>
      </c>
      <c r="AJ65" s="15">
        <f>RTD("wdf.rtq",,$AB65,J$5)</f>
        <v>3.5900000000000001E-2</v>
      </c>
      <c r="AK65" s="77">
        <f>RTD("wdf.rtq",,$AB65,K$5)</f>
        <v>1</v>
      </c>
      <c r="AL65" s="15">
        <f>[1]!s_dq_presettle(AB65,"")</f>
        <v>3.6299999999999999E-2</v>
      </c>
      <c r="AM65" s="15">
        <f t="shared" si="123"/>
        <v>0.58899999999999952</v>
      </c>
      <c r="AN65" s="3">
        <f t="shared" si="124"/>
        <v>3510</v>
      </c>
      <c r="AO65" s="15">
        <f t="shared" si="125"/>
        <v>-0.14367999999999953</v>
      </c>
      <c r="AP65" s="14">
        <f t="shared" si="126"/>
        <v>2.457E-3</v>
      </c>
      <c r="AQ65" s="8">
        <f t="shared" si="127"/>
        <v>4506.8499999999995</v>
      </c>
      <c r="AR65" s="78">
        <f ca="1">IF(NOW()-TODAY()&gt;15/24, AG65, [1]!s_dq_volume(AB65,AR$2,1))/AI$2</f>
        <v>212.9</v>
      </c>
      <c r="AS65" s="122">
        <f t="shared" si="128"/>
        <v>0</v>
      </c>
      <c r="AT65" s="122">
        <f t="shared" si="129"/>
        <v>3.5099999999999999E-2</v>
      </c>
      <c r="AV65" s="49">
        <f t="shared" ca="1" si="81"/>
        <v>0</v>
      </c>
      <c r="AY65" s="10"/>
      <c r="AZ65" s="10"/>
      <c r="BA65" s="6">
        <f t="shared" ca="1" si="130"/>
        <v>-268.99999999999955</v>
      </c>
      <c r="BB65" s="6">
        <f t="shared" ca="1" si="131"/>
        <v>-669</v>
      </c>
      <c r="BC65" s="6">
        <f t="shared" ca="1" si="132"/>
        <v>2061</v>
      </c>
      <c r="BD65" s="12">
        <f t="shared" ca="1" si="133"/>
        <v>2121</v>
      </c>
      <c r="BE65" s="2">
        <f t="shared" ca="1" si="134"/>
        <v>-9.4952313818455966E-3</v>
      </c>
      <c r="BF65" s="2">
        <f t="shared" ca="1" si="135"/>
        <v>-2.3548038173868999E-2</v>
      </c>
      <c r="BG65" s="2">
        <f t="shared" ca="1" si="136"/>
        <v>7.4565819621628213E-2</v>
      </c>
      <c r="BH65" s="13">
        <f t="shared" ca="1" si="137"/>
        <v>7.6792151776918255E-2</v>
      </c>
      <c r="BI65" s="2">
        <f t="shared" ca="1" si="138"/>
        <v>-4.1756138004501724E-2</v>
      </c>
      <c r="BJ65" s="2">
        <f t="shared" ca="1" si="139"/>
        <v>-0.10355462570436368</v>
      </c>
      <c r="BK65" s="2">
        <f t="shared" ca="1" si="140"/>
        <v>0.32790992966137711</v>
      </c>
      <c r="BL65" s="56">
        <f t="shared" ca="1" si="141"/>
        <v>0.3377004264888574</v>
      </c>
      <c r="BN65" s="6">
        <f t="shared" ca="1" si="142"/>
        <v>110.99999999999955</v>
      </c>
      <c r="BO65" s="6">
        <f t="shared" ca="1" si="143"/>
        <v>-2279</v>
      </c>
      <c r="BP65" s="6">
        <f t="shared" ca="1" si="144"/>
        <v>451</v>
      </c>
      <c r="BQ65" s="12">
        <f t="shared" ca="1" si="145"/>
        <v>511</v>
      </c>
      <c r="BR65" s="2">
        <f t="shared" ca="1" si="146"/>
        <v>1.4181950593150442E-2</v>
      </c>
      <c r="BS65" s="2">
        <f t="shared" ca="1" si="147"/>
        <v>-0.23972188474626194</v>
      </c>
      <c r="BT65" s="2">
        <f t="shared" ca="1" si="148"/>
        <v>6.0078301609059442E-2</v>
      </c>
      <c r="BU65" s="13">
        <f t="shared" ca="1" si="149"/>
        <v>6.8071161672339273E-2</v>
      </c>
      <c r="BV65" s="2">
        <f t="shared" ca="1" si="150"/>
        <v>6.2366409234938691E-2</v>
      </c>
      <c r="BW65" s="2">
        <f t="shared" ca="1" si="151"/>
        <v>-1.0541986497877782</v>
      </c>
      <c r="BX65" s="2">
        <f t="shared" ca="1" si="152"/>
        <v>0.26419976008803248</v>
      </c>
      <c r="BY65" s="13">
        <f t="shared" ca="1" si="153"/>
        <v>0.29934908446269681</v>
      </c>
      <c r="CB65" s="17" t="s">
        <v>90</v>
      </c>
      <c r="CC65" s="123" t="b">
        <f t="shared" si="78"/>
        <v>1</v>
      </c>
      <c r="CD65" s="17" t="s">
        <v>190</v>
      </c>
      <c r="CE65" s="138" t="str">
        <f>IF([1]!w_info_callput(CD65)="认购","C","P")</f>
        <v>C</v>
      </c>
      <c r="CF65" s="139">
        <f>[1]!w_info_strikeprice(CD65,"")</f>
        <v>4.3</v>
      </c>
      <c r="CG65" s="140" t="str">
        <f>[1]!w_info_lasttradingdate(CD65)</f>
        <v>2020-06-24</v>
      </c>
      <c r="CH65" s="55" t="str">
        <f t="shared" si="79"/>
        <v>IO2006-C-4300.CFE</v>
      </c>
      <c r="CI65" s="55" t="str">
        <f t="shared" si="80"/>
        <v>IO2006-C-4300.CFE</v>
      </c>
      <c r="CK65" s="17" t="s">
        <v>304</v>
      </c>
      <c r="CL65" s="17"/>
    </row>
    <row r="66" spans="2:90">
      <c r="B66" t="s">
        <v>104</v>
      </c>
      <c r="C66" s="29" t="str">
        <f t="shared" si="116"/>
        <v>C</v>
      </c>
      <c r="D66" s="125">
        <f>[1]!w_info_strikeprice(B66,"")</f>
        <v>4400</v>
      </c>
      <c r="E66" s="18" t="str">
        <f>[1]!w_info_lasttradingdate(B66)</f>
        <v>2020-06-19</v>
      </c>
      <c r="F66" s="4">
        <f>IF(G66&gt;0,RTD("wdf.rtq",,$B66,F$5),0)</f>
        <v>27.400000000000002</v>
      </c>
      <c r="G66" s="73">
        <f>RTD("wdf.rtq",,$B66,G$5)</f>
        <v>9</v>
      </c>
      <c r="H66" s="4">
        <f>RTD("wdf.rtq",,$B66,H$5)</f>
        <v>2.2000000000000002</v>
      </c>
      <c r="I66" s="73">
        <f>RTD("wdf.rtq",,$B66,I$5)</f>
        <v>1</v>
      </c>
      <c r="J66" s="4">
        <f>RTD("wdf.rtq",,$B66,J$5)</f>
        <v>59.6</v>
      </c>
      <c r="K66" s="73">
        <f>RTD("wdf.rtq",,$B66,K$5)</f>
        <v>2</v>
      </c>
      <c r="L66" s="4">
        <f>[1]!s_dq_presettle(B66,"")</f>
        <v>27.6</v>
      </c>
      <c r="M66" s="6">
        <f t="shared" si="117"/>
        <v>675.67999999999984</v>
      </c>
      <c r="N66" s="3">
        <f t="shared" si="118"/>
        <v>2740</v>
      </c>
      <c r="O66" s="6">
        <f t="shared" si="119"/>
        <v>-30324.799999999981</v>
      </c>
      <c r="P66" s="3">
        <f t="shared" si="120"/>
        <v>22000</v>
      </c>
      <c r="Q66" s="6">
        <f t="shared" si="121"/>
        <v>24740.01</v>
      </c>
      <c r="R66" s="75">
        <f ca="1">IF(NOW()-TODAY()&gt;15/24, G66, [1]!s_dq_volume(B66,R$2,1))/$I$2</f>
        <v>43</v>
      </c>
      <c r="S66" s="78">
        <f t="shared" si="122"/>
        <v>0</v>
      </c>
      <c r="T66" s="78">
        <f t="shared" si="72"/>
        <v>27.400000000000002</v>
      </c>
      <c r="AB66" s="17" t="s">
        <v>191</v>
      </c>
      <c r="AC66" s="29" t="str">
        <f>IF([1]!w_info_callput(AB66)="认购","C","P")</f>
        <v>C</v>
      </c>
      <c r="AD66" s="31">
        <f>[1]!w_info_strikeprice(AB66,"")</f>
        <v>4.4000000000000004</v>
      </c>
      <c r="AE66" s="18" t="str">
        <f>[1]!w_info_lasttradingdate(AB66)</f>
        <v>2020-06-24</v>
      </c>
      <c r="AF66" s="15">
        <f>RTD("wdf.rtq",,$AB66,F$5)</f>
        <v>2.64E-2</v>
      </c>
      <c r="AG66" s="73">
        <f>RTD("wdf.rtq",,$AB66,G$5)</f>
        <v>549</v>
      </c>
      <c r="AH66" s="15">
        <f>RTD("wdf.rtq",,$AB66,H$5)</f>
        <v>2.5500000000000002E-2</v>
      </c>
      <c r="AI66" s="73">
        <f>RTD("wdf.rtq",,$AB66,I$5)</f>
        <v>10</v>
      </c>
      <c r="AJ66" s="15">
        <f>RTD("wdf.rtq",,$AB66,J$5)</f>
        <v>2.75E-2</v>
      </c>
      <c r="AK66" s="77">
        <f>RTD("wdf.rtq",,$AB66,K$5)</f>
        <v>11</v>
      </c>
      <c r="AL66" s="15">
        <f>[1]!s_dq_presettle(AB66,"")</f>
        <v>2.6700000000000002E-2</v>
      </c>
      <c r="AM66" s="15">
        <f t="shared" si="123"/>
        <v>0.68900000000000006</v>
      </c>
      <c r="AN66" s="3">
        <f t="shared" si="124"/>
        <v>2640</v>
      </c>
      <c r="AO66" s="15">
        <f t="shared" si="125"/>
        <v>-0.24368000000000006</v>
      </c>
      <c r="AP66" s="14">
        <f t="shared" si="126"/>
        <v>1.8480000000000003E-3</v>
      </c>
      <c r="AQ66" s="8">
        <f t="shared" si="127"/>
        <v>3389.77</v>
      </c>
      <c r="AR66" s="78">
        <f ca="1">IF(NOW()-TODAY()&gt;15/24, AG66, [1]!s_dq_volume(AB66,AR$2,1))/AI$2</f>
        <v>235.3</v>
      </c>
      <c r="AS66" s="122">
        <f t="shared" si="128"/>
        <v>0</v>
      </c>
      <c r="AT66" s="122">
        <f t="shared" si="129"/>
        <v>2.64E-2</v>
      </c>
      <c r="AV66" s="49">
        <f t="shared" ca="1" si="81"/>
        <v>0</v>
      </c>
      <c r="AY66" s="10"/>
      <c r="AZ66" s="10"/>
      <c r="BA66" s="6">
        <f t="shared" ca="1" si="130"/>
        <v>21</v>
      </c>
      <c r="BB66" s="6">
        <f t="shared" ca="1" si="131"/>
        <v>-2609</v>
      </c>
      <c r="BC66" s="6">
        <f t="shared" ca="1" si="132"/>
        <v>3271</v>
      </c>
      <c r="BD66" s="12">
        <f t="shared" ca="1" si="133"/>
        <v>3331</v>
      </c>
      <c r="BE66" s="2">
        <f t="shared" ca="1" si="134"/>
        <v>7.6698291929038745E-4</v>
      </c>
      <c r="BF66" s="2">
        <f t="shared" ca="1" si="135"/>
        <v>-9.490720447173355E-2</v>
      </c>
      <c r="BG66" s="2">
        <f t="shared" ca="1" si="136"/>
        <v>0.11977293307472242</v>
      </c>
      <c r="BH66" s="13">
        <f t="shared" ca="1" si="137"/>
        <v>0.12205931767705472</v>
      </c>
      <c r="BI66" s="2">
        <f t="shared" ca="1" si="138"/>
        <v>3.3728766932649566E-3</v>
      </c>
      <c r="BJ66" s="2">
        <f t="shared" ca="1" si="139"/>
        <v>-0.41736300761665962</v>
      </c>
      <c r="BK66" s="2">
        <f t="shared" ca="1" si="140"/>
        <v>0.52671229605149017</v>
      </c>
      <c r="BL66" s="56">
        <f t="shared" ca="1" si="141"/>
        <v>0.53676687894126474</v>
      </c>
      <c r="BN66" s="6">
        <f t="shared" ca="1" si="142"/>
        <v>-179</v>
      </c>
      <c r="BO66" s="6">
        <f t="shared" ca="1" si="143"/>
        <v>-3489</v>
      </c>
      <c r="BP66" s="6">
        <f t="shared" ca="1" si="144"/>
        <v>2391</v>
      </c>
      <c r="BQ66" s="12">
        <f t="shared" ca="1" si="145"/>
        <v>2451</v>
      </c>
      <c r="BR66" s="2">
        <f t="shared" ca="1" si="146"/>
        <v>-2.920174818957318E-2</v>
      </c>
      <c r="BS66" s="2">
        <f t="shared" ca="1" si="147"/>
        <v>-0.37316425965558508</v>
      </c>
      <c r="BT66" s="2">
        <f t="shared" ca="1" si="148"/>
        <v>0.66236540075738481</v>
      </c>
      <c r="BU66" s="13">
        <f t="shared" ca="1" si="149"/>
        <v>0.6789906282117697</v>
      </c>
      <c r="BV66" s="2">
        <f t="shared" ca="1" si="150"/>
        <v>-0.12841732637583386</v>
      </c>
      <c r="BW66" s="2">
        <f t="shared" ca="1" si="151"/>
        <v>-1.6410235514974525</v>
      </c>
      <c r="BX66" s="2">
        <f t="shared" ca="1" si="152"/>
        <v>2.9128117021258491</v>
      </c>
      <c r="BY66" s="13">
        <f t="shared" ca="1" si="153"/>
        <v>2.9859226421360958</v>
      </c>
      <c r="CB66" s="17" t="s">
        <v>91</v>
      </c>
      <c r="CC66" s="123" t="b">
        <f t="shared" si="78"/>
        <v>1</v>
      </c>
      <c r="CD66" s="17" t="s">
        <v>191</v>
      </c>
      <c r="CE66" s="138" t="str">
        <f>IF([1]!w_info_callput(CD66)="认购","C","P")</f>
        <v>C</v>
      </c>
      <c r="CF66" s="139">
        <f>[1]!w_info_strikeprice(CD66,"")</f>
        <v>4.4000000000000004</v>
      </c>
      <c r="CG66" s="140" t="str">
        <f>[1]!w_info_lasttradingdate(CD66)</f>
        <v>2020-06-24</v>
      </c>
      <c r="CH66" s="55" t="str">
        <f t="shared" si="79"/>
        <v>IO2006-C-4400.CFE</v>
      </c>
      <c r="CI66" s="55" t="str">
        <f t="shared" si="80"/>
        <v>IO2006-C-4400.CFE</v>
      </c>
      <c r="CK66" s="17" t="s">
        <v>305</v>
      </c>
      <c r="CL66" s="17"/>
    </row>
    <row r="67" spans="2:90">
      <c r="B67" t="s">
        <v>105</v>
      </c>
      <c r="C67" s="29" t="str">
        <f t="shared" si="116"/>
        <v>C</v>
      </c>
      <c r="D67" s="125">
        <f>[1]!w_info_strikeprice(B67,"")</f>
        <v>4500</v>
      </c>
      <c r="E67" s="18" t="str">
        <f>[1]!w_info_lasttradingdate(B67)</f>
        <v>2020-06-19</v>
      </c>
      <c r="F67" s="4">
        <f>IF(G67&gt;0,RTD("wdf.rtq",,$B67,F$5),0)</f>
        <v>19.8</v>
      </c>
      <c r="G67" s="73">
        <f>RTD("wdf.rtq",,$B67,G$5)</f>
        <v>5</v>
      </c>
      <c r="H67" s="4">
        <f>RTD("wdf.rtq",,$B67,H$5)</f>
        <v>2.2000000000000002</v>
      </c>
      <c r="I67" s="73">
        <f>RTD("wdf.rtq",,$B67,I$5)</f>
        <v>1</v>
      </c>
      <c r="J67" s="4">
        <f>RTD("wdf.rtq",,$B67,J$5)</f>
        <v>45</v>
      </c>
      <c r="K67" s="73">
        <f>RTD("wdf.rtq",,$B67,K$5)</f>
        <v>5</v>
      </c>
      <c r="L67" s="4">
        <f>[1]!s_dq_presettle(B67,"")</f>
        <v>21.4</v>
      </c>
      <c r="M67" s="6">
        <f t="shared" si="117"/>
        <v>775.67999999999984</v>
      </c>
      <c r="N67" s="3">
        <f t="shared" si="118"/>
        <v>1980</v>
      </c>
      <c r="O67" s="6">
        <f t="shared" si="119"/>
        <v>-40324.799999999981</v>
      </c>
      <c r="P67" s="3">
        <f t="shared" si="120"/>
        <v>22500</v>
      </c>
      <c r="Q67" s="6">
        <f t="shared" si="121"/>
        <v>24480.01</v>
      </c>
      <c r="R67" s="75">
        <f ca="1">IF(NOW()-TODAY()&gt;15/24, G67, [1]!s_dq_volume(B67,R$2,1))/$I$2</f>
        <v>36</v>
      </c>
      <c r="S67" s="78">
        <f t="shared" si="122"/>
        <v>0</v>
      </c>
      <c r="T67" s="78">
        <f t="shared" si="72"/>
        <v>19.8</v>
      </c>
      <c r="AB67" s="17" t="s">
        <v>201</v>
      </c>
      <c r="AC67" s="29" t="str">
        <f>IF([1]!w_info_callput(AB67)="认购","C","P")</f>
        <v>C</v>
      </c>
      <c r="AD67" s="31">
        <f>[1]!w_info_strikeprice(AB67,"")</f>
        <v>4.5</v>
      </c>
      <c r="AE67" s="18" t="str">
        <f>[1]!w_info_lasttradingdate(AB67)</f>
        <v>2020-06-24</v>
      </c>
      <c r="AF67" s="15">
        <f>RTD("wdf.rtq",,$AB67,F$5)</f>
        <v>1.9800000000000002E-2</v>
      </c>
      <c r="AG67" s="73">
        <f>RTD("wdf.rtq",,$AB67,G$5)</f>
        <v>676</v>
      </c>
      <c r="AH67" s="15">
        <f>RTD("wdf.rtq",,$AB67,H$5)</f>
        <v>1.8200000000000001E-2</v>
      </c>
      <c r="AI67" s="73">
        <f>RTD("wdf.rtq",,$AB67,I$5)</f>
        <v>10</v>
      </c>
      <c r="AJ67" s="15">
        <f>RTD("wdf.rtq",,$AB67,J$5)</f>
        <v>0.02</v>
      </c>
      <c r="AK67" s="77">
        <f>RTD("wdf.rtq",,$AB67,K$5)</f>
        <v>10</v>
      </c>
      <c r="AL67" s="15">
        <f>[1]!s_dq_presettle(AB67,"")</f>
        <v>1.9699999999999999E-2</v>
      </c>
      <c r="AM67" s="15">
        <f t="shared" si="123"/>
        <v>0.7889999999999997</v>
      </c>
      <c r="AN67" s="3">
        <f t="shared" si="124"/>
        <v>1980.0000000000002</v>
      </c>
      <c r="AO67" s="15">
        <f t="shared" si="125"/>
        <v>-0.34367999999999971</v>
      </c>
      <c r="AP67" s="14">
        <f t="shared" si="126"/>
        <v>1.3860000000000003E-3</v>
      </c>
      <c r="AQ67" s="8">
        <f t="shared" si="127"/>
        <v>2542.3300000000004</v>
      </c>
      <c r="AR67" s="78">
        <f ca="1">IF(NOW()-TODAY()&gt;15/24, AG67, [1]!s_dq_volume(AB67,AR$2,1))/AI$2</f>
        <v>212.7</v>
      </c>
      <c r="AS67" s="122">
        <f t="shared" si="128"/>
        <v>0</v>
      </c>
      <c r="AT67" s="122">
        <f t="shared" si="129"/>
        <v>1.9800000000000002E-2</v>
      </c>
      <c r="AV67" s="49">
        <f t="shared" ca="1" si="81"/>
        <v>0</v>
      </c>
      <c r="AY67" s="10"/>
      <c r="AZ67" s="10"/>
      <c r="BA67" s="6">
        <f t="shared" ca="1" si="130"/>
        <v>-79.000000000000227</v>
      </c>
      <c r="BB67" s="6">
        <f t="shared" ca="1" si="131"/>
        <v>-1859</v>
      </c>
      <c r="BC67" s="6">
        <f t="shared" ca="1" si="132"/>
        <v>2541</v>
      </c>
      <c r="BD67" s="12">
        <f t="shared" ca="1" si="133"/>
        <v>2601</v>
      </c>
      <c r="BE67" s="2">
        <f t="shared" ca="1" si="134"/>
        <v>-2.9856375715655525E-3</v>
      </c>
      <c r="BF67" s="2">
        <f t="shared" ca="1" si="135"/>
        <v>-7.0203900980399941E-2</v>
      </c>
      <c r="BG67" s="2">
        <f t="shared" ca="1" si="136"/>
        <v>9.6542516511201937E-2</v>
      </c>
      <c r="BH67" s="13">
        <f t="shared" ca="1" si="137"/>
        <v>9.88973007995054E-2</v>
      </c>
      <c r="BI67" s="2">
        <f t="shared" ca="1" si="138"/>
        <v>-1.3129611007487069E-2</v>
      </c>
      <c r="BJ67" s="2">
        <f t="shared" ca="1" si="139"/>
        <v>-0.30872799828730096</v>
      </c>
      <c r="BK67" s="2">
        <f t="shared" ca="1" si="140"/>
        <v>0.42455444007938198</v>
      </c>
      <c r="BL67" s="56">
        <f t="shared" ca="1" si="141"/>
        <v>0.43490981676890927</v>
      </c>
      <c r="BN67" s="6">
        <f t="shared" ca="1" si="142"/>
        <v>-78.999999999999773</v>
      </c>
      <c r="BO67" s="6">
        <f t="shared" ca="1" si="143"/>
        <v>-2759</v>
      </c>
      <c r="BP67" s="6">
        <f t="shared" ca="1" si="144"/>
        <v>1641</v>
      </c>
      <c r="BQ67" s="12">
        <f t="shared" ca="1" si="145"/>
        <v>1701</v>
      </c>
      <c r="BR67" s="2">
        <f t="shared" ca="1" si="146"/>
        <v>-1.746887113501221E-2</v>
      </c>
      <c r="BS67" s="2">
        <f t="shared" ca="1" si="147"/>
        <v>-0.39177374533712567</v>
      </c>
      <c r="BT67" s="2">
        <f t="shared" ca="1" si="148"/>
        <v>0.59405940594059403</v>
      </c>
      <c r="BU67" s="13">
        <f t="shared" ca="1" si="149"/>
        <v>0.61578450076565794</v>
      </c>
      <c r="BV67" s="2">
        <f t="shared" ca="1" si="150"/>
        <v>-7.6820939328668153E-2</v>
      </c>
      <c r="BW67" s="2">
        <f t="shared" ca="1" si="151"/>
        <v>-1.7228604463620585</v>
      </c>
      <c r="BX67" s="2">
        <f t="shared" ca="1" si="152"/>
        <v>2.6124299176905641</v>
      </c>
      <c r="BY67" s="13">
        <f t="shared" ca="1" si="153"/>
        <v>2.7079679852947609</v>
      </c>
      <c r="CB67" s="17" t="s">
        <v>92</v>
      </c>
      <c r="CC67" s="123" t="b">
        <f t="shared" si="78"/>
        <v>1</v>
      </c>
      <c r="CD67" s="17" t="s">
        <v>201</v>
      </c>
      <c r="CE67" s="138" t="str">
        <f>IF([1]!w_info_callput(CD67)="认购","C","P")</f>
        <v>C</v>
      </c>
      <c r="CF67" s="139">
        <f>[1]!w_info_strikeprice(CD67,"")</f>
        <v>4.5</v>
      </c>
      <c r="CG67" s="140" t="str">
        <f>[1]!w_info_lasttradingdate(CD67)</f>
        <v>2020-06-24</v>
      </c>
      <c r="CH67" s="55" t="str">
        <f t="shared" si="79"/>
        <v>IO2006-C-4500.CFE</v>
      </c>
      <c r="CI67" s="55" t="str">
        <f t="shared" si="80"/>
        <v>IO2006-C-4500.CFE</v>
      </c>
      <c r="CK67" s="17" t="s">
        <v>306</v>
      </c>
      <c r="CL67" s="17"/>
    </row>
    <row r="68" spans="2:90">
      <c r="B68" t="s">
        <v>106</v>
      </c>
      <c r="C68" s="29" t="str">
        <f t="shared" si="116"/>
        <v>C</v>
      </c>
      <c r="D68" s="125">
        <f>[1]!w_info_strikeprice(B68,"")</f>
        <v>4600</v>
      </c>
      <c r="E68" s="18" t="str">
        <f>[1]!w_info_lasttradingdate(B68)</f>
        <v>2020-06-19</v>
      </c>
      <c r="F68" s="4">
        <f>IF(G68&gt;0,RTD("wdf.rtq",,$B68,F$5),0)</f>
        <v>15</v>
      </c>
      <c r="G68" s="73">
        <f>RTD("wdf.rtq",,$B68,G$5)</f>
        <v>6</v>
      </c>
      <c r="H68" s="4">
        <f>RTD("wdf.rtq",,$B68,H$5)</f>
        <v>2.2000000000000002</v>
      </c>
      <c r="I68" s="73">
        <f>RTD("wdf.rtq",,$B68,I$5)</f>
        <v>1</v>
      </c>
      <c r="J68" s="4">
        <f>RTD("wdf.rtq",,$B68,J$5)</f>
        <v>15.200000000000001</v>
      </c>
      <c r="K68" s="73">
        <f>RTD("wdf.rtq",,$B68,K$5)</f>
        <v>1</v>
      </c>
      <c r="L68" s="4">
        <f>[1]!s_dq_presettle(B68,"")</f>
        <v>17</v>
      </c>
      <c r="M68" s="6">
        <f t="shared" si="117"/>
        <v>875.67999999999984</v>
      </c>
      <c r="N68" s="3">
        <f t="shared" si="118"/>
        <v>1500</v>
      </c>
      <c r="O68" s="6">
        <f t="shared" si="119"/>
        <v>-50324.799999999981</v>
      </c>
      <c r="P68" s="3">
        <f t="shared" si="120"/>
        <v>23000</v>
      </c>
      <c r="Q68" s="6">
        <f t="shared" si="121"/>
        <v>24500.01</v>
      </c>
      <c r="R68" s="75">
        <f ca="1">IF(NOW()-TODAY()&gt;15/24, G68, [1]!s_dq_volume(B68,R$2,1))/$I$2</f>
        <v>39</v>
      </c>
      <c r="S68" s="78">
        <f t="shared" si="122"/>
        <v>0</v>
      </c>
      <c r="T68" s="78">
        <f t="shared" si="72"/>
        <v>15</v>
      </c>
      <c r="AB68" s="17" t="s">
        <v>203</v>
      </c>
      <c r="AC68" s="29" t="str">
        <f>IF([1]!w_info_callput(AB68)="认购","C","P")</f>
        <v>C</v>
      </c>
      <c r="AD68" s="31">
        <f>[1]!w_info_strikeprice(AB68,"")</f>
        <v>4.5999999999999996</v>
      </c>
      <c r="AE68" s="18" t="str">
        <f>[1]!w_info_lasttradingdate(AB68)</f>
        <v>2020-06-24</v>
      </c>
      <c r="AF68" s="15">
        <f>RTD("wdf.rtq",,$AB68,F$5)</f>
        <v>1.5000000000000001E-2</v>
      </c>
      <c r="AG68" s="73">
        <f>RTD("wdf.rtq",,$AB68,G$5)</f>
        <v>819</v>
      </c>
      <c r="AH68" s="15">
        <f>RTD("wdf.rtq",,$AB68,H$5)</f>
        <v>1.5000000000000001E-2</v>
      </c>
      <c r="AI68" s="73">
        <f>RTD("wdf.rtq",,$AB68,I$5)</f>
        <v>30</v>
      </c>
      <c r="AJ68" s="15">
        <f>RTD("wdf.rtq",,$AB68,J$5)</f>
        <v>1.5600000000000001E-2</v>
      </c>
      <c r="AK68" s="77">
        <f>RTD("wdf.rtq",,$AB68,K$5)</f>
        <v>1</v>
      </c>
      <c r="AL68" s="15">
        <f>[1]!s_dq_presettle(AB68,"")</f>
        <v>1.52E-2</v>
      </c>
      <c r="AM68" s="15">
        <f t="shared" si="123"/>
        <v>0.88899999999999935</v>
      </c>
      <c r="AN68" s="3">
        <f t="shared" si="124"/>
        <v>1500.0000000000002</v>
      </c>
      <c r="AO68" s="15">
        <f t="shared" si="125"/>
        <v>-0.44367999999999935</v>
      </c>
      <c r="AP68" s="14">
        <f t="shared" si="126"/>
        <v>1.0500000000000002E-3</v>
      </c>
      <c r="AQ68" s="8">
        <f t="shared" si="127"/>
        <v>1926.0100000000002</v>
      </c>
      <c r="AR68" s="78">
        <f ca="1">IF(NOW()-TODAY()&gt;15/24, AG68, [1]!s_dq_volume(AB68,AR$2,1))/AI$2</f>
        <v>316.3</v>
      </c>
      <c r="AS68" s="122">
        <f t="shared" si="128"/>
        <v>0</v>
      </c>
      <c r="AT68" s="122">
        <f t="shared" si="129"/>
        <v>1.5000000000000001E-2</v>
      </c>
      <c r="AV68" s="49">
        <f t="shared" ca="1" si="81"/>
        <v>0</v>
      </c>
      <c r="AY68" s="10"/>
      <c r="AZ68" s="10"/>
      <c r="BA68" s="6">
        <f t="shared" ca="1" si="130"/>
        <v>-79.000000000000227</v>
      </c>
      <c r="BB68" s="6">
        <f t="shared" ca="1" si="131"/>
        <v>-1419</v>
      </c>
      <c r="BC68" s="6">
        <f t="shared" ca="1" si="132"/>
        <v>-119.00000000000023</v>
      </c>
      <c r="BD68" s="12">
        <f t="shared" ca="1" si="133"/>
        <v>-59.000000000000227</v>
      </c>
      <c r="BE68" s="2">
        <f t="shared" ca="1" si="134"/>
        <v>-3.0384603698229437E-3</v>
      </c>
      <c r="BF68" s="2">
        <f t="shared" ca="1" si="135"/>
        <v>-5.4451245413950342E-2</v>
      </c>
      <c r="BG68" s="2">
        <f t="shared" ca="1" si="136"/>
        <v>-4.5734033153715251E-3</v>
      </c>
      <c r="BH68" s="13">
        <f t="shared" ca="1" si="137"/>
        <v>-2.2692298964500485E-3</v>
      </c>
      <c r="BI68" s="2">
        <f t="shared" ca="1" si="138"/>
        <v>-1.3361904035968368E-2</v>
      </c>
      <c r="BJ68" s="2">
        <f t="shared" ca="1" si="139"/>
        <v>-0.23945427200110694</v>
      </c>
      <c r="BK68" s="2">
        <f t="shared" ca="1" si="140"/>
        <v>-2.0111954338682007E-2</v>
      </c>
      <c r="BL68" s="56">
        <f t="shared" ca="1" si="141"/>
        <v>-9.9791435205333449E-3</v>
      </c>
      <c r="BN68" s="6">
        <f t="shared" ca="1" si="142"/>
        <v>-78.999999999999773</v>
      </c>
      <c r="BO68" s="6">
        <f t="shared" ca="1" si="143"/>
        <v>-98.999999999999773</v>
      </c>
      <c r="BP68" s="6">
        <f t="shared" ca="1" si="144"/>
        <v>1201</v>
      </c>
      <c r="BQ68" s="12">
        <f t="shared" ca="1" si="145"/>
        <v>1261</v>
      </c>
      <c r="BR68" s="2">
        <f t="shared" ca="1" si="146"/>
        <v>-2.305889358174663E-2</v>
      </c>
      <c r="BS68" s="2">
        <f t="shared" ca="1" si="147"/>
        <v>-2.8728877745566542E-2</v>
      </c>
      <c r="BT68" s="2">
        <f t="shared" ca="1" si="148"/>
        <v>0.55963802929129602</v>
      </c>
      <c r="BU68" s="13">
        <f t="shared" ca="1" si="149"/>
        <v>0.58760210809828461</v>
      </c>
      <c r="BV68" s="2">
        <f t="shared" ca="1" si="150"/>
        <v>-0.101403568160693</v>
      </c>
      <c r="BW68" s="2">
        <f t="shared" ca="1" si="151"/>
        <v>-0.1263378358690577</v>
      </c>
      <c r="BX68" s="2">
        <f t="shared" ca="1" si="152"/>
        <v>2.4610588035099163</v>
      </c>
      <c r="BY68" s="13">
        <f t="shared" ca="1" si="153"/>
        <v>2.5840333669382396</v>
      </c>
      <c r="CB68" s="17" t="s">
        <v>431</v>
      </c>
      <c r="CC68" s="123" t="b">
        <f t="shared" si="78"/>
        <v>1</v>
      </c>
      <c r="CD68" s="17" t="s">
        <v>203</v>
      </c>
      <c r="CE68" s="138" t="str">
        <f>IF([1]!w_info_callput(CD68)="认购","C","P")</f>
        <v>C</v>
      </c>
      <c r="CF68" s="139">
        <f>[1]!w_info_strikeprice(CD68,"")</f>
        <v>4.5999999999999996</v>
      </c>
      <c r="CG68" s="140" t="str">
        <f>[1]!w_info_lasttradingdate(CD68)</f>
        <v>2020-06-24</v>
      </c>
      <c r="CH68" s="55" t="str">
        <f t="shared" si="79"/>
        <v>IO2006-C-4600.CFE</v>
      </c>
      <c r="CI68" s="55" t="str">
        <f t="shared" si="80"/>
        <v>IO2006-C-4600.CFE</v>
      </c>
      <c r="CK68" s="17" t="s">
        <v>307</v>
      </c>
      <c r="CL68" s="17"/>
    </row>
    <row r="69" spans="2:90">
      <c r="B69" t="s">
        <v>356</v>
      </c>
      <c r="C69" s="29" t="str">
        <f t="shared" si="116"/>
        <v>P</v>
      </c>
      <c r="D69" s="125">
        <f>[1]!w_info_strikeprice(B69,"")</f>
        <v>3200</v>
      </c>
      <c r="E69" s="18" t="str">
        <f>[1]!w_info_lasttradingdate(B69)</f>
        <v>2020-06-19</v>
      </c>
      <c r="F69" s="4">
        <f>IF(G69&gt;0,RTD("wdf.rtq",,$B69,F$5),0)</f>
        <v>45.4</v>
      </c>
      <c r="G69" s="73">
        <f>RTD("wdf.rtq",,$B69,G$5)</f>
        <v>32</v>
      </c>
      <c r="H69" s="4">
        <f>RTD("wdf.rtq",,$B69,H$5)</f>
        <v>39.800000000000004</v>
      </c>
      <c r="I69" s="73">
        <f>RTD("wdf.rtq",,$B69,I$5)</f>
        <v>10</v>
      </c>
      <c r="J69" s="4">
        <f>RTD("wdf.rtq",,$B69,J$5)</f>
        <v>300</v>
      </c>
      <c r="K69" s="73">
        <f>RTD("wdf.rtq",,$B69,K$5)</f>
        <v>9</v>
      </c>
      <c r="L69" s="4">
        <f>[1]!s_dq_presettle(B69,"")</f>
        <v>44.8</v>
      </c>
      <c r="M69" s="6">
        <f t="shared" si="117"/>
        <v>524.32000000000016</v>
      </c>
      <c r="N69" s="3">
        <f t="shared" si="118"/>
        <v>4540</v>
      </c>
      <c r="O69" s="6">
        <f t="shared" si="119"/>
        <v>-15188.800000000014</v>
      </c>
      <c r="P69" s="3">
        <f t="shared" si="120"/>
        <v>16000</v>
      </c>
      <c r="Q69" s="6">
        <f t="shared" si="121"/>
        <v>20540.009999999998</v>
      </c>
      <c r="R69" s="75">
        <f ca="1">IF(NOW()-TODAY()&gt;15/24, G69, [1]!s_dq_volume(B69,R$2,1))/$I$2</f>
        <v>64</v>
      </c>
      <c r="S69" s="78">
        <f t="shared" si="122"/>
        <v>0</v>
      </c>
      <c r="T69" s="78">
        <f t="shared" si="72"/>
        <v>45.4</v>
      </c>
      <c r="AB69" s="17" t="s">
        <v>403</v>
      </c>
      <c r="AC69" s="29" t="str">
        <f>IF([1]!w_info_callput(AB69)="认购","C","P")</f>
        <v>P</v>
      </c>
      <c r="AD69" s="31">
        <f>[1]!w_info_strikeprice(AB69,"")</f>
        <v>3.2</v>
      </c>
      <c r="AE69" s="18" t="str">
        <f>[1]!w_info_lasttradingdate(AB69)</f>
        <v>2020-06-24</v>
      </c>
      <c r="AF69" s="15">
        <f>RTD("wdf.rtq",,$AB69,F$5)</f>
        <v>4.2000000000000003E-2</v>
      </c>
      <c r="AG69" s="73">
        <f>RTD("wdf.rtq",,$AB69,G$5)</f>
        <v>840</v>
      </c>
      <c r="AH69" s="15">
        <f>RTD("wdf.rtq",,$AB69,H$5)</f>
        <v>4.1000000000000002E-2</v>
      </c>
      <c r="AI69" s="73">
        <f>RTD("wdf.rtq",,$AB69,I$5)</f>
        <v>5</v>
      </c>
      <c r="AJ69" s="15">
        <f>RTD("wdf.rtq",,$AB69,J$5)</f>
        <v>4.2500000000000003E-2</v>
      </c>
      <c r="AK69" s="77">
        <f>RTD("wdf.rtq",,$AB69,K$5)</f>
        <v>1</v>
      </c>
      <c r="AL69" s="15">
        <f>[1]!s_dq_presettle(AB69,"")</f>
        <v>3.9899999999999998E-2</v>
      </c>
      <c r="AM69" s="15">
        <f t="shared" si="123"/>
        <v>0.51100000000000012</v>
      </c>
      <c r="AN69" s="3">
        <f t="shared" si="124"/>
        <v>4200</v>
      </c>
      <c r="AO69" s="15">
        <f t="shared" si="125"/>
        <v>-6.5680000000000127E-2</v>
      </c>
      <c r="AP69" s="14">
        <f t="shared" si="126"/>
        <v>0.22400000000000003</v>
      </c>
      <c r="AQ69" s="8">
        <f t="shared" si="127"/>
        <v>31920.01</v>
      </c>
      <c r="AR69" s="78">
        <f ca="1">IF(NOW()-TODAY()&gt;15/24, AG69, [1]!s_dq_volume(AB69,AR$2,1))/AI$2</f>
        <v>139.19999999999999</v>
      </c>
      <c r="AS69" s="122">
        <f t="shared" si="128"/>
        <v>0</v>
      </c>
      <c r="AT69" s="122">
        <f t="shared" si="129"/>
        <v>4.2000000000000003E-2</v>
      </c>
      <c r="AV69" s="49">
        <f t="shared" ca="1" si="81"/>
        <v>0</v>
      </c>
      <c r="AY69" s="10"/>
      <c r="AZ69" s="10"/>
      <c r="BA69" s="6">
        <f t="shared" ca="1" si="130"/>
        <v>261</v>
      </c>
      <c r="BB69" s="6">
        <f t="shared" ca="1" si="131"/>
        <v>-348.99999999999955</v>
      </c>
      <c r="BC69" s="6">
        <f t="shared" ca="1" si="132"/>
        <v>25761</v>
      </c>
      <c r="BD69" s="12">
        <f t="shared" ca="1" si="133"/>
        <v>25821</v>
      </c>
      <c r="BE69" s="2">
        <f t="shared" ca="1" si="134"/>
        <v>1.0549712793163787E-2</v>
      </c>
      <c r="BF69" s="2">
        <f t="shared" ca="1" si="135"/>
        <v>-1.4078251682835125E-2</v>
      </c>
      <c r="BG69" s="2">
        <f t="shared" ca="1" si="136"/>
        <v>1.0446467783265296</v>
      </c>
      <c r="BH69" s="13">
        <f t="shared" ca="1" si="137"/>
        <v>1.0479297695090222</v>
      </c>
      <c r="BI69" s="2">
        <f t="shared" ca="1" si="138"/>
        <v>4.6393315295238338E-2</v>
      </c>
      <c r="BJ69" s="2">
        <f t="shared" ca="1" si="139"/>
        <v>-6.1910383906443621E-2</v>
      </c>
      <c r="BK69" s="2">
        <f t="shared" ca="1" si="140"/>
        <v>4.5939286034841365</v>
      </c>
      <c r="BL69" s="56">
        <f t="shared" ca="1" si="141"/>
        <v>4.608365853864977</v>
      </c>
      <c r="BN69" s="6">
        <f t="shared" ca="1" si="142"/>
        <v>-419</v>
      </c>
      <c r="BO69" s="6">
        <f t="shared" ca="1" si="143"/>
        <v>-25979</v>
      </c>
      <c r="BP69" s="6">
        <f t="shared" ca="1" si="144"/>
        <v>130.99999999999955</v>
      </c>
      <c r="BQ69" s="12">
        <f t="shared" ca="1" si="145"/>
        <v>190.99999999999955</v>
      </c>
      <c r="BR69" s="2">
        <f t="shared" ca="1" si="146"/>
        <v>-1.1492042925934471E-2</v>
      </c>
      <c r="BS69" s="2">
        <f t="shared" ca="1" si="147"/>
        <v>-0.4195574257820695</v>
      </c>
      <c r="BT69" s="2">
        <f t="shared" ca="1" si="148"/>
        <v>3.649022020315848E-3</v>
      </c>
      <c r="BU69" s="13">
        <f t="shared" ca="1" si="149"/>
        <v>5.3203327798515805E-3</v>
      </c>
      <c r="BV69" s="2">
        <f t="shared" ca="1" si="150"/>
        <v>-5.0537297204410629E-2</v>
      </c>
      <c r="BW69" s="2">
        <f t="shared" ca="1" si="151"/>
        <v>-1.8450416916922334</v>
      </c>
      <c r="BX69" s="2">
        <f t="shared" ca="1" si="152"/>
        <v>1.604690406524439E-2</v>
      </c>
      <c r="BY69" s="13">
        <f t="shared" ca="1" si="153"/>
        <v>2.3396644152359359E-2</v>
      </c>
      <c r="CB69" s="17" t="s">
        <v>332</v>
      </c>
      <c r="CC69" s="123" t="b">
        <f t="shared" si="78"/>
        <v>1</v>
      </c>
      <c r="CD69" s="17" t="s">
        <v>403</v>
      </c>
      <c r="CE69" s="138" t="str">
        <f>IF([1]!w_info_callput(CD69)="认购","C","P")</f>
        <v>P</v>
      </c>
      <c r="CF69" s="139">
        <f>[1]!w_info_strikeprice(CD69,"")</f>
        <v>3.2</v>
      </c>
      <c r="CG69" s="140" t="str">
        <f>[1]!w_info_lasttradingdate(CD69)</f>
        <v>2020-06-24</v>
      </c>
      <c r="CH69" s="55" t="str">
        <f t="shared" si="79"/>
        <v>IO2006-P-3200.CFE</v>
      </c>
      <c r="CI69" s="55" t="str">
        <f t="shared" si="80"/>
        <v>IO2006-P-3200.CFE</v>
      </c>
      <c r="CK69" s="17" t="s">
        <v>308</v>
      </c>
      <c r="CL69" s="17"/>
    </row>
    <row r="70" spans="2:90">
      <c r="B70" t="s">
        <v>108</v>
      </c>
      <c r="C70" s="29" t="str">
        <f t="shared" si="116"/>
        <v>P</v>
      </c>
      <c r="D70" s="125">
        <f>[1]!w_info_strikeprice(B70,"")</f>
        <v>3300</v>
      </c>
      <c r="E70" s="18" t="str">
        <f>[1]!w_info_lasttradingdate(B70)</f>
        <v>2020-06-19</v>
      </c>
      <c r="F70" s="4">
        <f>IF(G70&gt;0,RTD("wdf.rtq",,$B70,F$5),0)</f>
        <v>63.4</v>
      </c>
      <c r="G70" s="73">
        <f>RTD("wdf.rtq",,$B70,G$5)</f>
        <v>6</v>
      </c>
      <c r="H70" s="4">
        <f>RTD("wdf.rtq",,$B70,H$5)</f>
        <v>60.6</v>
      </c>
      <c r="I70" s="73">
        <f>RTD("wdf.rtq",,$B70,I$5)</f>
        <v>1</v>
      </c>
      <c r="J70" s="4">
        <f>RTD("wdf.rtq",,$B70,J$5)</f>
        <v>0</v>
      </c>
      <c r="K70" s="73">
        <f>RTD("wdf.rtq",,$B70,K$5)</f>
        <v>0</v>
      </c>
      <c r="L70" s="4">
        <f>[1]!s_dq_presettle(B70,"")</f>
        <v>62.4</v>
      </c>
      <c r="M70" s="6">
        <f t="shared" si="117"/>
        <v>424.32000000000016</v>
      </c>
      <c r="N70" s="3">
        <f t="shared" si="118"/>
        <v>6340</v>
      </c>
      <c r="O70" s="6">
        <f t="shared" si="119"/>
        <v>-5188.8000000000147</v>
      </c>
      <c r="P70" s="3">
        <f t="shared" si="120"/>
        <v>16500</v>
      </c>
      <c r="Q70" s="6">
        <f t="shared" si="121"/>
        <v>22840.01</v>
      </c>
      <c r="R70" s="75">
        <f ca="1">IF(NOW()-TODAY()&gt;15/24, G70, [1]!s_dq_volume(B70,R$2,1))/$I$2</f>
        <v>45</v>
      </c>
      <c r="S70" s="78">
        <f t="shared" si="122"/>
        <v>0</v>
      </c>
      <c r="T70" s="78">
        <f t="shared" si="72"/>
        <v>63.4</v>
      </c>
      <c r="AB70" s="17" t="s">
        <v>234</v>
      </c>
      <c r="AC70" s="29" t="str">
        <f>IF([1]!w_info_callput(AB70)="认购","C","P")</f>
        <v>P</v>
      </c>
      <c r="AD70" s="31">
        <f>[1]!w_info_strikeprice(AB70,"")</f>
        <v>3.3</v>
      </c>
      <c r="AE70" s="18" t="str">
        <f>[1]!w_info_lasttradingdate(AB70)</f>
        <v>2020-06-24</v>
      </c>
      <c r="AF70" s="15">
        <f>RTD("wdf.rtq",,$AB70,F$5)</f>
        <v>5.8600000000000006E-2</v>
      </c>
      <c r="AG70" s="73">
        <f>RTD("wdf.rtq",,$AB70,G$5)</f>
        <v>863</v>
      </c>
      <c r="AH70" s="15">
        <f>RTD("wdf.rtq",,$AB70,H$5)</f>
        <v>5.6800000000000003E-2</v>
      </c>
      <c r="AI70" s="73">
        <f>RTD("wdf.rtq",,$AB70,I$5)</f>
        <v>1</v>
      </c>
      <c r="AJ70" s="15">
        <f>RTD("wdf.rtq",,$AB70,J$5)</f>
        <v>6.0000000000000005E-2</v>
      </c>
      <c r="AK70" s="77">
        <f>RTD("wdf.rtq",,$AB70,K$5)</f>
        <v>11</v>
      </c>
      <c r="AL70" s="15">
        <f>[1]!s_dq_presettle(AB70,"")</f>
        <v>5.5599999999999997E-2</v>
      </c>
      <c r="AM70" s="15">
        <f t="shared" si="123"/>
        <v>0.41100000000000048</v>
      </c>
      <c r="AN70" s="3">
        <f t="shared" si="124"/>
        <v>5860.0000000000009</v>
      </c>
      <c r="AO70" s="15">
        <f t="shared" si="125"/>
        <v>3.4319999999999518E-2</v>
      </c>
      <c r="AP70" s="14">
        <f t="shared" si="126"/>
        <v>0.23100000000000001</v>
      </c>
      <c r="AQ70" s="8">
        <f t="shared" si="127"/>
        <v>34752.01</v>
      </c>
      <c r="AR70" s="78">
        <f ca="1">IF(NOW()-TODAY()&gt;15/24, AG70, [1]!s_dq_volume(AB70,AR$2,1))/AI$2</f>
        <v>289</v>
      </c>
      <c r="AS70" s="122">
        <f t="shared" si="128"/>
        <v>0</v>
      </c>
      <c r="AT70" s="122">
        <f t="shared" si="129"/>
        <v>5.8600000000000006E-2</v>
      </c>
      <c r="AV70" s="49">
        <f t="shared" ca="1" si="81"/>
        <v>0</v>
      </c>
      <c r="AY70" s="10"/>
      <c r="AZ70" s="10"/>
      <c r="BA70" s="6">
        <f t="shared" ca="1" si="130"/>
        <v>400.99999999999909</v>
      </c>
      <c r="BB70" s="6">
        <f t="shared" ca="1" si="131"/>
        <v>-19.000000000000909</v>
      </c>
      <c r="BC70" s="6">
        <f t="shared" si="132"/>
        <v>0</v>
      </c>
      <c r="BD70" s="12">
        <f t="shared" si="133"/>
        <v>0</v>
      </c>
      <c r="BE70" s="2">
        <f t="shared" ca="1" si="134"/>
        <v>1.3972120567205346E-2</v>
      </c>
      <c r="BF70" s="2">
        <f t="shared" ca="1" si="135"/>
        <v>-6.588069837701482E-4</v>
      </c>
      <c r="BG70" s="2">
        <f t="shared" si="136"/>
        <v>0</v>
      </c>
      <c r="BH70" s="13">
        <f t="shared" si="137"/>
        <v>0</v>
      </c>
      <c r="BI70" s="2">
        <f t="shared" ca="1" si="138"/>
        <v>6.1443662735300622E-2</v>
      </c>
      <c r="BJ70" s="2">
        <f t="shared" ca="1" si="139"/>
        <v>-2.8971632418807723E-3</v>
      </c>
      <c r="BK70" s="2">
        <f t="shared" ca="1" si="140"/>
        <v>0</v>
      </c>
      <c r="BL70" s="56">
        <f t="shared" ca="1" si="141"/>
        <v>0</v>
      </c>
      <c r="BN70" s="6">
        <f t="shared" ca="1" si="142"/>
        <v>-558.99999999999909</v>
      </c>
      <c r="BO70" s="6">
        <f t="shared" si="143"/>
        <v>0</v>
      </c>
      <c r="BP70" s="6">
        <f t="shared" ca="1" si="144"/>
        <v>-198.99999999999909</v>
      </c>
      <c r="BQ70" s="12">
        <f t="shared" ca="1" si="145"/>
        <v>-138.99999999999909</v>
      </c>
      <c r="BR70" s="2">
        <f t="shared" ca="1" si="146"/>
        <v>-1.3603617832274427E-2</v>
      </c>
      <c r="BS70" s="2">
        <f t="shared" si="147"/>
        <v>0</v>
      </c>
      <c r="BT70" s="2">
        <f t="shared" ca="1" si="148"/>
        <v>-4.8760132735372165E-3</v>
      </c>
      <c r="BU70" s="13">
        <f t="shared" ca="1" si="149"/>
        <v>-3.4058601867440266E-3</v>
      </c>
      <c r="BV70" s="2">
        <f t="shared" ca="1" si="150"/>
        <v>-5.9823138660001995E-2</v>
      </c>
      <c r="BW70" s="2">
        <f t="shared" ca="1" si="151"/>
        <v>0</v>
      </c>
      <c r="BX70" s="2">
        <f t="shared" ca="1" si="152"/>
        <v>-2.1442708973988964E-2</v>
      </c>
      <c r="BY70" s="13">
        <f t="shared" ca="1" si="153"/>
        <v>-1.4977577929657466E-2</v>
      </c>
      <c r="CB70" s="17" t="s">
        <v>333</v>
      </c>
      <c r="CC70" s="123" t="b">
        <f t="shared" si="78"/>
        <v>1</v>
      </c>
      <c r="CD70" s="17" t="s">
        <v>234</v>
      </c>
      <c r="CE70" s="138" t="str">
        <f>IF([1]!w_info_callput(CD70)="认购","C","P")</f>
        <v>P</v>
      </c>
      <c r="CF70" s="139">
        <f>[1]!w_info_strikeprice(CD70,"")</f>
        <v>3.3</v>
      </c>
      <c r="CG70" s="140" t="str">
        <f>[1]!w_info_lasttradingdate(CD70)</f>
        <v>2020-06-24</v>
      </c>
      <c r="CH70" s="55" t="str">
        <f t="shared" ref="CH70:CH101" si="154">"IO20"&amp;MID(CG70,6,2)&amp;"-"&amp;CE70&amp;"-"&amp;CF70*1000&amp;".CFE"</f>
        <v>IO2006-P-3300.CFE</v>
      </c>
      <c r="CI70" s="55" t="str">
        <f t="shared" ref="CI70:CI101" si="155">VLOOKUP(CH70,CB:CB,1,0)</f>
        <v>IO2006-P-3300.CFE</v>
      </c>
      <c r="CK70" s="17" t="s">
        <v>309</v>
      </c>
      <c r="CL70" s="17"/>
    </row>
    <row r="71" spans="2:90">
      <c r="B71" t="s">
        <v>109</v>
      </c>
      <c r="C71" s="29" t="str">
        <f t="shared" si="116"/>
        <v>P</v>
      </c>
      <c r="D71" s="125">
        <f>[1]!w_info_strikeprice(B71,"")</f>
        <v>3400</v>
      </c>
      <c r="E71" s="18" t="str">
        <f>[1]!w_info_lasttradingdate(B71)</f>
        <v>2020-06-19</v>
      </c>
      <c r="F71" s="4">
        <f>IF(G71&gt;0,RTD("wdf.rtq",,$B71,F$5),0)</f>
        <v>87.600000000000009</v>
      </c>
      <c r="G71" s="73">
        <f>RTD("wdf.rtq",,$B71,G$5)</f>
        <v>31</v>
      </c>
      <c r="H71" s="4">
        <f>RTD("wdf.rtq",,$B71,H$5)</f>
        <v>7</v>
      </c>
      <c r="I71" s="73">
        <f>RTD("wdf.rtq",,$B71,I$5)</f>
        <v>2</v>
      </c>
      <c r="J71" s="4">
        <f>RTD("wdf.rtq",,$B71,J$5)</f>
        <v>0</v>
      </c>
      <c r="K71" s="73">
        <f>RTD("wdf.rtq",,$B71,K$5)</f>
        <v>0</v>
      </c>
      <c r="L71" s="4">
        <f>[1]!s_dq_presettle(B71,"")</f>
        <v>85.8</v>
      </c>
      <c r="M71" s="6">
        <f t="shared" si="117"/>
        <v>324.32000000000016</v>
      </c>
      <c r="N71" s="3">
        <f t="shared" si="118"/>
        <v>8760</v>
      </c>
      <c r="O71" s="6">
        <f t="shared" si="119"/>
        <v>4811.1999999999853</v>
      </c>
      <c r="P71" s="3">
        <f t="shared" si="120"/>
        <v>17000</v>
      </c>
      <c r="Q71" s="6">
        <f t="shared" si="121"/>
        <v>25760.01</v>
      </c>
      <c r="R71" s="75">
        <f ca="1">IF(NOW()-TODAY()&gt;15/24, G71, [1]!s_dq_volume(B71,R$2,1))/$I$2</f>
        <v>44</v>
      </c>
      <c r="S71" s="78">
        <f t="shared" si="122"/>
        <v>0</v>
      </c>
      <c r="T71" s="78">
        <f t="shared" si="72"/>
        <v>87.600000000000009</v>
      </c>
      <c r="AB71" s="17" t="s">
        <v>235</v>
      </c>
      <c r="AC71" s="29" t="str">
        <f>IF([1]!w_info_callput(AB71)="认购","C","P")</f>
        <v>P</v>
      </c>
      <c r="AD71" s="31">
        <f>[1]!w_info_strikeprice(AB71,"")</f>
        <v>3.4</v>
      </c>
      <c r="AE71" s="18" t="str">
        <f>[1]!w_info_lasttradingdate(AB71)</f>
        <v>2020-06-24</v>
      </c>
      <c r="AF71" s="15">
        <f>RTD("wdf.rtq",,$AB71,F$5)</f>
        <v>8.1100000000000005E-2</v>
      </c>
      <c r="AG71" s="73">
        <f>RTD("wdf.rtq",,$AB71,G$5)</f>
        <v>759</v>
      </c>
      <c r="AH71" s="15">
        <f>RTD("wdf.rtq",,$AB71,H$5)</f>
        <v>0.08</v>
      </c>
      <c r="AI71" s="73">
        <f>RTD("wdf.rtq",,$AB71,I$5)</f>
        <v>6</v>
      </c>
      <c r="AJ71" s="15">
        <f>RTD("wdf.rtq",,$AB71,J$5)</f>
        <v>8.4400000000000003E-2</v>
      </c>
      <c r="AK71" s="77">
        <f>RTD("wdf.rtq",,$AB71,K$5)</f>
        <v>5</v>
      </c>
      <c r="AL71" s="15">
        <f>[1]!s_dq_presettle(AB71,"")</f>
        <v>7.7499999999999999E-2</v>
      </c>
      <c r="AM71" s="15">
        <f t="shared" si="123"/>
        <v>0.31100000000000039</v>
      </c>
      <c r="AN71" s="3">
        <f t="shared" si="124"/>
        <v>8110.0000000000009</v>
      </c>
      <c r="AO71" s="15">
        <f t="shared" si="125"/>
        <v>0.13431999999999961</v>
      </c>
      <c r="AP71" s="14">
        <f t="shared" si="126"/>
        <v>0.23800000000000002</v>
      </c>
      <c r="AQ71" s="8">
        <f t="shared" si="127"/>
        <v>38292.01</v>
      </c>
      <c r="AR71" s="78">
        <f ca="1">IF(NOW()-TODAY()&gt;15/24, AG71, [1]!s_dq_volume(AB71,AR$2,1))/AI$2</f>
        <v>287.60000000000002</v>
      </c>
      <c r="AS71" s="122">
        <f t="shared" si="128"/>
        <v>0</v>
      </c>
      <c r="AT71" s="122">
        <f t="shared" si="129"/>
        <v>8.1100000000000005E-2</v>
      </c>
      <c r="AV71" s="49">
        <f t="shared" ca="1" si="81"/>
        <v>0</v>
      </c>
      <c r="AY71" s="10"/>
      <c r="AZ71" s="10"/>
      <c r="BA71" s="6">
        <f t="shared" ca="1" si="130"/>
        <v>570.99999999999909</v>
      </c>
      <c r="BB71" s="6">
        <f t="shared" ca="1" si="131"/>
        <v>-7819</v>
      </c>
      <c r="BC71" s="6">
        <f t="shared" si="132"/>
        <v>0</v>
      </c>
      <c r="BD71" s="12">
        <f t="shared" si="133"/>
        <v>0</v>
      </c>
      <c r="BE71" s="2">
        <f t="shared" ca="1" si="134"/>
        <v>1.685857193428638E-2</v>
      </c>
      <c r="BF71" s="2">
        <f t="shared" ca="1" si="135"/>
        <v>-0.22862566414454269</v>
      </c>
      <c r="BG71" s="2">
        <f t="shared" si="136"/>
        <v>0</v>
      </c>
      <c r="BH71" s="13">
        <f t="shared" si="137"/>
        <v>0</v>
      </c>
      <c r="BI71" s="2">
        <f t="shared" ca="1" si="138"/>
        <v>7.4137093445958174E-2</v>
      </c>
      <c r="BJ71" s="2">
        <f t="shared" ca="1" si="139"/>
        <v>-1.0054020170211817</v>
      </c>
      <c r="BK71" s="2">
        <f t="shared" ca="1" si="140"/>
        <v>0</v>
      </c>
      <c r="BL71" s="56">
        <f t="shared" ca="1" si="141"/>
        <v>0</v>
      </c>
      <c r="BN71" s="6">
        <f t="shared" ca="1" si="142"/>
        <v>-728.99999999999909</v>
      </c>
      <c r="BO71" s="6">
        <f t="shared" si="143"/>
        <v>0</v>
      </c>
      <c r="BP71" s="6">
        <f t="shared" ca="1" si="144"/>
        <v>7601</v>
      </c>
      <c r="BQ71" s="12">
        <f t="shared" ca="1" si="145"/>
        <v>7661</v>
      </c>
      <c r="BR71" s="2">
        <f t="shared" ca="1" si="146"/>
        <v>-1.5493493264155963E-2</v>
      </c>
      <c r="BS71" s="2">
        <f t="shared" si="147"/>
        <v>0</v>
      </c>
      <c r="BT71" s="2">
        <f t="shared" ca="1" si="148"/>
        <v>0.1949372730786266</v>
      </c>
      <c r="BU71" s="13">
        <f t="shared" ca="1" si="149"/>
        <v>0.19647614985736819</v>
      </c>
      <c r="BV71" s="2">
        <f t="shared" ca="1" si="150"/>
        <v>-6.8134036643577436E-2</v>
      </c>
      <c r="BW71" s="2">
        <f t="shared" ca="1" si="151"/>
        <v>0</v>
      </c>
      <c r="BX71" s="2">
        <f t="shared" ca="1" si="152"/>
        <v>0.8572542731770928</v>
      </c>
      <c r="BY71" s="13">
        <f t="shared" ca="1" si="153"/>
        <v>0.86402162286673967</v>
      </c>
      <c r="CB71" s="17" t="s">
        <v>334</v>
      </c>
      <c r="CC71" s="123" t="b">
        <f t="shared" si="78"/>
        <v>1</v>
      </c>
      <c r="CD71" s="17" t="s">
        <v>235</v>
      </c>
      <c r="CE71" s="138" t="str">
        <f>IF([1]!w_info_callput(CD71)="认购","C","P")</f>
        <v>P</v>
      </c>
      <c r="CF71" s="139">
        <f>[1]!w_info_strikeprice(CD71,"")</f>
        <v>3.4</v>
      </c>
      <c r="CG71" s="140" t="str">
        <f>[1]!w_info_lasttradingdate(CD71)</f>
        <v>2020-06-24</v>
      </c>
      <c r="CH71" s="55" t="str">
        <f t="shared" si="154"/>
        <v>IO2006-P-3400.CFE</v>
      </c>
      <c r="CI71" s="55" t="str">
        <f t="shared" si="155"/>
        <v>IO2006-P-3400.CFE</v>
      </c>
      <c r="CK71" s="17" t="s">
        <v>310</v>
      </c>
      <c r="CL71" s="17"/>
    </row>
    <row r="72" spans="2:90">
      <c r="B72" t="s">
        <v>110</v>
      </c>
      <c r="C72" s="29" t="str">
        <f t="shared" si="116"/>
        <v>P</v>
      </c>
      <c r="D72" s="125">
        <f>[1]!w_info_strikeprice(B72,"")</f>
        <v>3500</v>
      </c>
      <c r="E72" s="18" t="str">
        <f>[1]!w_info_lasttradingdate(B72)</f>
        <v>2020-06-19</v>
      </c>
      <c r="F72" s="4">
        <f>IF(G72&gt;0,RTD("wdf.rtq",,$B72,F$5),0)</f>
        <v>117</v>
      </c>
      <c r="G72" s="73">
        <f>RTD("wdf.rtq",,$B72,G$5)</f>
        <v>6</v>
      </c>
      <c r="H72" s="4">
        <f>RTD("wdf.rtq",,$B72,H$5)</f>
        <v>26</v>
      </c>
      <c r="I72" s="73">
        <f>RTD("wdf.rtq",,$B72,I$5)</f>
        <v>1</v>
      </c>
      <c r="J72" s="4">
        <f>RTD("wdf.rtq",,$B72,J$5)</f>
        <v>0</v>
      </c>
      <c r="K72" s="73">
        <f>RTD("wdf.rtq",,$B72,K$5)</f>
        <v>0</v>
      </c>
      <c r="L72" s="4">
        <f>[1]!s_dq_presettle(B72,"")</f>
        <v>117</v>
      </c>
      <c r="M72" s="6">
        <f t="shared" si="117"/>
        <v>224.32000000000016</v>
      </c>
      <c r="N72" s="3">
        <f t="shared" si="118"/>
        <v>11700</v>
      </c>
      <c r="O72" s="6">
        <f t="shared" si="119"/>
        <v>14811.199999999986</v>
      </c>
      <c r="P72" s="3">
        <f t="shared" si="120"/>
        <v>17500</v>
      </c>
      <c r="Q72" s="6">
        <f t="shared" si="121"/>
        <v>29200.01</v>
      </c>
      <c r="R72" s="75">
        <f ca="1">IF(NOW()-TODAY()&gt;15/24, G72, [1]!s_dq_volume(B72,R$2,1))/$I$2</f>
        <v>24</v>
      </c>
      <c r="S72" s="78">
        <f t="shared" si="122"/>
        <v>0</v>
      </c>
      <c r="T72" s="78">
        <f t="shared" si="72"/>
        <v>117</v>
      </c>
      <c r="AB72" s="17" t="s">
        <v>236</v>
      </c>
      <c r="AC72" s="29" t="str">
        <f>IF([1]!w_info_callput(AB72)="认购","C","P")</f>
        <v>P</v>
      </c>
      <c r="AD72" s="31">
        <f>[1]!w_info_strikeprice(AB72,"")</f>
        <v>3.5</v>
      </c>
      <c r="AE72" s="18" t="str">
        <f>[1]!w_info_lasttradingdate(AB72)</f>
        <v>2020-06-24</v>
      </c>
      <c r="AF72" s="15">
        <f>RTD("wdf.rtq",,$AB72,F$5)</f>
        <v>0.1106</v>
      </c>
      <c r="AG72" s="73">
        <f>RTD("wdf.rtq",,$AB72,G$5)</f>
        <v>889</v>
      </c>
      <c r="AH72" s="15">
        <f>RTD("wdf.rtq",,$AB72,H$5)</f>
        <v>0.109</v>
      </c>
      <c r="AI72" s="73">
        <f>RTD("wdf.rtq",,$AB72,I$5)</f>
        <v>5</v>
      </c>
      <c r="AJ72" s="15">
        <f>RTD("wdf.rtq",,$AB72,J$5)</f>
        <v>0.11410000000000001</v>
      </c>
      <c r="AK72" s="77">
        <f>RTD("wdf.rtq",,$AB72,K$5)</f>
        <v>1</v>
      </c>
      <c r="AL72" s="15">
        <f>[1]!s_dq_presettle(AB72,"")</f>
        <v>0.105</v>
      </c>
      <c r="AM72" s="15">
        <f t="shared" si="123"/>
        <v>0.2110000000000003</v>
      </c>
      <c r="AN72" s="3">
        <f t="shared" si="124"/>
        <v>11060</v>
      </c>
      <c r="AO72" s="15">
        <f t="shared" si="125"/>
        <v>0.2343199999999997</v>
      </c>
      <c r="AP72" s="14">
        <f t="shared" si="126"/>
        <v>0.24500000000000002</v>
      </c>
      <c r="AQ72" s="8">
        <f t="shared" si="127"/>
        <v>42672.01</v>
      </c>
      <c r="AR72" s="78">
        <f ca="1">IF(NOW()-TODAY()&gt;15/24, AG72, [1]!s_dq_volume(AB72,AR$2,1))/AI$2</f>
        <v>280</v>
      </c>
      <c r="AS72" s="122">
        <f t="shared" si="128"/>
        <v>0</v>
      </c>
      <c r="AT72" s="122">
        <f t="shared" si="129"/>
        <v>0.1106</v>
      </c>
      <c r="AV72" s="49">
        <f t="shared" ca="1" si="81"/>
        <v>0</v>
      </c>
      <c r="AY72" s="10"/>
      <c r="AZ72" s="10"/>
      <c r="BA72" s="6">
        <f t="shared" ca="1" si="130"/>
        <v>561</v>
      </c>
      <c r="BB72" s="6">
        <f t="shared" ca="1" si="131"/>
        <v>-8889</v>
      </c>
      <c r="BC72" s="6">
        <f t="shared" si="132"/>
        <v>0</v>
      </c>
      <c r="BD72" s="12">
        <f t="shared" si="133"/>
        <v>0</v>
      </c>
      <c r="BE72" s="2">
        <f t="shared" ca="1" si="134"/>
        <v>1.3934422768399712E-2</v>
      </c>
      <c r="BF72" s="2">
        <f t="shared" ca="1" si="135"/>
        <v>-0.2188869197520513</v>
      </c>
      <c r="BG72" s="2">
        <f t="shared" si="136"/>
        <v>0</v>
      </c>
      <c r="BH72" s="13">
        <f t="shared" si="137"/>
        <v>0</v>
      </c>
      <c r="BI72" s="2">
        <f t="shared" ca="1" si="138"/>
        <v>6.1277883258625244E-2</v>
      </c>
      <c r="BJ72" s="2">
        <f t="shared" ca="1" si="139"/>
        <v>-0.96257500854817746</v>
      </c>
      <c r="BK72" s="2">
        <f t="shared" ca="1" si="140"/>
        <v>0</v>
      </c>
      <c r="BL72" s="56">
        <f t="shared" ca="1" si="141"/>
        <v>0</v>
      </c>
      <c r="BN72" s="6">
        <f t="shared" ca="1" si="142"/>
        <v>-719</v>
      </c>
      <c r="BO72" s="6">
        <f t="shared" si="143"/>
        <v>0</v>
      </c>
      <c r="BP72" s="6">
        <f t="shared" ca="1" si="144"/>
        <v>8671</v>
      </c>
      <c r="BQ72" s="12">
        <f t="shared" ca="1" si="145"/>
        <v>8731</v>
      </c>
      <c r="BR72" s="2">
        <f t="shared" ca="1" si="146"/>
        <v>-1.322371565811159E-2</v>
      </c>
      <c r="BS72" s="2">
        <f t="shared" si="147"/>
        <v>0</v>
      </c>
      <c r="BT72" s="2">
        <f t="shared" ca="1" si="148"/>
        <v>0.19153106233583961</v>
      </c>
      <c r="BU72" s="13">
        <f t="shared" ca="1" si="149"/>
        <v>0.19285646915168997</v>
      </c>
      <c r="BV72" s="2">
        <f t="shared" ca="1" si="150"/>
        <v>-5.8152484520611204E-2</v>
      </c>
      <c r="BW72" s="2">
        <f t="shared" ca="1" si="151"/>
        <v>0</v>
      </c>
      <c r="BX72" s="2">
        <f t="shared" ca="1" si="152"/>
        <v>0.84227515364555983</v>
      </c>
      <c r="BY72" s="13">
        <f t="shared" ca="1" si="153"/>
        <v>0.84810374988393777</v>
      </c>
      <c r="CB72" s="17" t="s">
        <v>335</v>
      </c>
      <c r="CC72" s="123" t="b">
        <f t="shared" si="78"/>
        <v>1</v>
      </c>
      <c r="CD72" s="17" t="s">
        <v>236</v>
      </c>
      <c r="CE72" s="138" t="str">
        <f>IF([1]!w_info_callput(CD72)="认购","C","P")</f>
        <v>P</v>
      </c>
      <c r="CF72" s="139">
        <f>[1]!w_info_strikeprice(CD72,"")</f>
        <v>3.5</v>
      </c>
      <c r="CG72" s="140" t="str">
        <f>[1]!w_info_lasttradingdate(CD72)</f>
        <v>2020-06-24</v>
      </c>
      <c r="CH72" s="55" t="str">
        <f t="shared" si="154"/>
        <v>IO2006-P-3500.CFE</v>
      </c>
      <c r="CI72" s="55" t="str">
        <f t="shared" si="155"/>
        <v>IO2006-P-3500.CFE</v>
      </c>
      <c r="CK72" s="17" t="s">
        <v>311</v>
      </c>
      <c r="CL72" s="17"/>
    </row>
    <row r="73" spans="2:90">
      <c r="B73" t="s">
        <v>111</v>
      </c>
      <c r="C73" s="29" t="str">
        <f t="shared" si="116"/>
        <v>P</v>
      </c>
      <c r="D73" s="125">
        <f>[1]!w_info_strikeprice(B73,"")</f>
        <v>3600</v>
      </c>
      <c r="E73" s="18" t="str">
        <f>[1]!w_info_lasttradingdate(B73)</f>
        <v>2020-06-19</v>
      </c>
      <c r="F73" s="4">
        <f>IF(G73&gt;0,RTD("wdf.rtq",,$B73,F$5),0)</f>
        <v>154.20000000000002</v>
      </c>
      <c r="G73" s="73">
        <f>RTD("wdf.rtq",,$B73,G$5)</f>
        <v>82</v>
      </c>
      <c r="H73" s="4">
        <f>RTD("wdf.rtq",,$B73,H$5)</f>
        <v>2.2000000000000002</v>
      </c>
      <c r="I73" s="73">
        <f>RTD("wdf.rtq",,$B73,I$5)</f>
        <v>1</v>
      </c>
      <c r="J73" s="4">
        <f>RTD("wdf.rtq",,$B73,J$5)</f>
        <v>0</v>
      </c>
      <c r="K73" s="73">
        <f>RTD("wdf.rtq",,$B73,K$5)</f>
        <v>0</v>
      </c>
      <c r="L73" s="4">
        <f>[1]!s_dq_presettle(B73,"")</f>
        <v>155.4</v>
      </c>
      <c r="M73" s="6">
        <f t="shared" si="117"/>
        <v>124.32000000000016</v>
      </c>
      <c r="N73" s="3">
        <f t="shared" si="118"/>
        <v>15420.000000000002</v>
      </c>
      <c r="O73" s="6">
        <f t="shared" si="119"/>
        <v>24811.199999999986</v>
      </c>
      <c r="P73" s="3">
        <f t="shared" si="120"/>
        <v>18000</v>
      </c>
      <c r="Q73" s="6">
        <f t="shared" si="121"/>
        <v>40231.209999999992</v>
      </c>
      <c r="R73" s="75">
        <f ca="1">IF(NOW()-TODAY()&gt;15/24, G73, [1]!s_dq_volume(B73,R$2,1))/$I$2</f>
        <v>18</v>
      </c>
      <c r="S73" s="78">
        <f t="shared" si="122"/>
        <v>0</v>
      </c>
      <c r="T73" s="78">
        <f t="shared" si="72"/>
        <v>154.20000000000002</v>
      </c>
      <c r="AB73" s="17" t="s">
        <v>192</v>
      </c>
      <c r="AC73" s="29" t="str">
        <f>IF([1]!w_info_callput(AB73)="认购","C","P")</f>
        <v>P</v>
      </c>
      <c r="AD73" s="31">
        <f>[1]!w_info_strikeprice(AB73,"")</f>
        <v>3.6</v>
      </c>
      <c r="AE73" s="18" t="str">
        <f>[1]!w_info_lasttradingdate(AB73)</f>
        <v>2020-06-24</v>
      </c>
      <c r="AF73" s="15">
        <f>RTD("wdf.rtq",,$AB73,F$5)</f>
        <v>0.1487</v>
      </c>
      <c r="AG73" s="73">
        <f>RTD("wdf.rtq",,$AB73,G$5)</f>
        <v>2310</v>
      </c>
      <c r="AH73" s="15">
        <f>RTD("wdf.rtq",,$AB73,H$5)</f>
        <v>0.14800000000000002</v>
      </c>
      <c r="AI73" s="73">
        <f>RTD("wdf.rtq",,$AB73,I$5)</f>
        <v>2</v>
      </c>
      <c r="AJ73" s="15">
        <f>RTD("wdf.rtq",,$AB73,J$5)</f>
        <v>0.1517</v>
      </c>
      <c r="AK73" s="77">
        <f>RTD("wdf.rtq",,$AB73,K$5)</f>
        <v>1</v>
      </c>
      <c r="AL73" s="15">
        <f>[1]!s_dq_presettle(AB73,"")</f>
        <v>0.14149999999999999</v>
      </c>
      <c r="AM73" s="15">
        <f t="shared" si="123"/>
        <v>0.11100000000000021</v>
      </c>
      <c r="AN73" s="3">
        <f t="shared" si="124"/>
        <v>14870</v>
      </c>
      <c r="AO73" s="15">
        <f t="shared" si="125"/>
        <v>0.33431999999999978</v>
      </c>
      <c r="AP73" s="14">
        <f t="shared" si="126"/>
        <v>0.25200000000000006</v>
      </c>
      <c r="AQ73" s="8">
        <f t="shared" si="127"/>
        <v>57962.409999999974</v>
      </c>
      <c r="AR73" s="78">
        <f ca="1">IF(NOW()-TODAY()&gt;15/24, AG73, [1]!s_dq_volume(AB73,AR$2,1))/AI$2</f>
        <v>454.4</v>
      </c>
      <c r="AS73" s="122">
        <f t="shared" si="128"/>
        <v>0</v>
      </c>
      <c r="AT73" s="122">
        <f t="shared" si="129"/>
        <v>0.1487</v>
      </c>
      <c r="AV73" s="49">
        <f t="shared" ca="1" si="81"/>
        <v>0</v>
      </c>
      <c r="AY73" s="10"/>
      <c r="AZ73" s="10"/>
      <c r="BA73" s="6">
        <f t="shared" ca="1" si="130"/>
        <v>471.00000000000182</v>
      </c>
      <c r="BB73" s="6">
        <f t="shared" ca="1" si="131"/>
        <v>-15029</v>
      </c>
      <c r="BC73" s="6">
        <f t="shared" si="132"/>
        <v>0</v>
      </c>
      <c r="BD73" s="12">
        <f t="shared" si="133"/>
        <v>0</v>
      </c>
      <c r="BE73" s="2">
        <f t="shared" ca="1" si="134"/>
        <v>8.5479066612149154E-3</v>
      </c>
      <c r="BF73" s="2">
        <f t="shared" ca="1" si="135"/>
        <v>-0.27127566347377613</v>
      </c>
      <c r="BG73" s="2">
        <f t="shared" si="136"/>
        <v>0</v>
      </c>
      <c r="BH73" s="13">
        <f t="shared" si="137"/>
        <v>0</v>
      </c>
      <c r="BI73" s="2">
        <f t="shared" ca="1" si="138"/>
        <v>3.7590191943896914E-2</v>
      </c>
      <c r="BJ73" s="2">
        <f t="shared" ca="1" si="139"/>
        <v>-1.1929592429870877</v>
      </c>
      <c r="BK73" s="2">
        <f t="shared" ca="1" si="140"/>
        <v>0</v>
      </c>
      <c r="BL73" s="56">
        <f t="shared" ca="1" si="141"/>
        <v>0</v>
      </c>
      <c r="BN73" s="6">
        <f t="shared" ca="1" si="142"/>
        <v>-629.00000000000182</v>
      </c>
      <c r="BO73" s="6">
        <f t="shared" si="143"/>
        <v>0</v>
      </c>
      <c r="BP73" s="6">
        <f t="shared" ca="1" si="144"/>
        <v>14811</v>
      </c>
      <c r="BQ73" s="12">
        <f t="shared" ca="1" si="145"/>
        <v>14871</v>
      </c>
      <c r="BR73" s="2">
        <f t="shared" ca="1" si="146"/>
        <v>-8.5715364213304248E-3</v>
      </c>
      <c r="BS73" s="2">
        <f t="shared" si="147"/>
        <v>0</v>
      </c>
      <c r="BT73" s="2">
        <f t="shared" ca="1" si="148"/>
        <v>0.2545613856279294</v>
      </c>
      <c r="BU73" s="13">
        <f t="shared" ca="1" si="149"/>
        <v>0.2555927126428762</v>
      </c>
      <c r="BV73" s="2">
        <f t="shared" ca="1" si="150"/>
        <v>-3.7694105949224156E-2</v>
      </c>
      <c r="BW73" s="2">
        <f t="shared" ca="1" si="151"/>
        <v>0</v>
      </c>
      <c r="BX73" s="2">
        <f t="shared" ca="1" si="152"/>
        <v>1.1194566958336656</v>
      </c>
      <c r="BY73" s="13">
        <f t="shared" ca="1" si="153"/>
        <v>1.123992049574094</v>
      </c>
      <c r="CB73" s="17" t="s">
        <v>336</v>
      </c>
      <c r="CC73" s="123" t="b">
        <f t="shared" si="78"/>
        <v>1</v>
      </c>
      <c r="CD73" s="17" t="s">
        <v>192</v>
      </c>
      <c r="CE73" s="138" t="str">
        <f>IF([1]!w_info_callput(CD73)="认购","C","P")</f>
        <v>P</v>
      </c>
      <c r="CF73" s="139">
        <f>[1]!w_info_strikeprice(CD73,"")</f>
        <v>3.6</v>
      </c>
      <c r="CG73" s="140" t="str">
        <f>[1]!w_info_lasttradingdate(CD73)</f>
        <v>2020-06-24</v>
      </c>
      <c r="CH73" s="55" t="str">
        <f t="shared" si="154"/>
        <v>IO2006-P-3600.CFE</v>
      </c>
      <c r="CI73" s="55" t="str">
        <f t="shared" si="155"/>
        <v>IO2006-P-3600.CFE</v>
      </c>
      <c r="CK73" s="17" t="s">
        <v>312</v>
      </c>
      <c r="CL73" s="17"/>
    </row>
    <row r="74" spans="2:90">
      <c r="B74" t="s">
        <v>112</v>
      </c>
      <c r="C74" s="29" t="str">
        <f t="shared" si="116"/>
        <v>P</v>
      </c>
      <c r="D74" s="125">
        <f>[1]!w_info_strikeprice(B74,"")</f>
        <v>3700</v>
      </c>
      <c r="E74" s="18" t="str">
        <f>[1]!w_info_lasttradingdate(B74)</f>
        <v>2020-06-19</v>
      </c>
      <c r="F74" s="4">
        <f>IF(G74&gt;0,RTD("wdf.rtq",,$B74,F$5),0)</f>
        <v>202.4</v>
      </c>
      <c r="G74" s="73">
        <f>RTD("wdf.rtq",,$B74,G$5)</f>
        <v>49</v>
      </c>
      <c r="H74" s="4">
        <f>RTD("wdf.rtq",,$B74,H$5)</f>
        <v>2.2000000000000002</v>
      </c>
      <c r="I74" s="73">
        <f>RTD("wdf.rtq",,$B74,I$5)</f>
        <v>1</v>
      </c>
      <c r="J74" s="4">
        <f>RTD("wdf.rtq",,$B74,J$5)</f>
        <v>0</v>
      </c>
      <c r="K74" s="73">
        <f>RTD("wdf.rtq",,$B74,K$5)</f>
        <v>0</v>
      </c>
      <c r="L74" s="4">
        <f>[1]!s_dq_presettle(B74,"")</f>
        <v>206.2</v>
      </c>
      <c r="M74" s="6">
        <f t="shared" si="117"/>
        <v>24.320000000000164</v>
      </c>
      <c r="N74" s="3">
        <f t="shared" si="118"/>
        <v>20240</v>
      </c>
      <c r="O74" s="6">
        <f t="shared" si="119"/>
        <v>34811.199999999983</v>
      </c>
      <c r="P74" s="3">
        <f t="shared" si="120"/>
        <v>18500</v>
      </c>
      <c r="Q74" s="6">
        <f t="shared" si="121"/>
        <v>55051.209999999985</v>
      </c>
      <c r="R74" s="75">
        <f ca="1">IF(NOW()-TODAY()&gt;15/24, G74, [1]!s_dq_volume(B74,R$2,1))/$I$2</f>
        <v>29</v>
      </c>
      <c r="S74" s="78">
        <f t="shared" si="122"/>
        <v>0</v>
      </c>
      <c r="T74" s="78">
        <f t="shared" si="72"/>
        <v>202.4</v>
      </c>
      <c r="AB74" s="17" t="s">
        <v>193</v>
      </c>
      <c r="AC74" s="29" t="str">
        <f>IF([1]!w_info_callput(AB74)="认购","C","P")</f>
        <v>P</v>
      </c>
      <c r="AD74" s="31">
        <f>[1]!w_info_strikeprice(AB74,"")</f>
        <v>3.7</v>
      </c>
      <c r="AE74" s="18" t="str">
        <f>[1]!w_info_lasttradingdate(AB74)</f>
        <v>2020-06-24</v>
      </c>
      <c r="AF74" s="15">
        <f>RTD("wdf.rtq",,$AB74,F$5)</f>
        <v>0.1963</v>
      </c>
      <c r="AG74" s="73">
        <f>RTD("wdf.rtq",,$AB74,G$5)</f>
        <v>1250</v>
      </c>
      <c r="AH74" s="15">
        <f>RTD("wdf.rtq",,$AB74,H$5)</f>
        <v>0.1925</v>
      </c>
      <c r="AI74" s="73">
        <f>RTD("wdf.rtq",,$AB74,I$5)</f>
        <v>10</v>
      </c>
      <c r="AJ74" s="15">
        <f>RTD("wdf.rtq",,$AB74,J$5)</f>
        <v>0.19990000000000002</v>
      </c>
      <c r="AK74" s="77">
        <f>RTD("wdf.rtq",,$AB74,K$5)</f>
        <v>17</v>
      </c>
      <c r="AL74" s="15">
        <f>[1]!s_dq_presettle(AB74,"")</f>
        <v>0.18490000000000001</v>
      </c>
      <c r="AM74" s="15">
        <f t="shared" si="123"/>
        <v>1.1000000000000121E-2</v>
      </c>
      <c r="AN74" s="3">
        <f t="shared" si="124"/>
        <v>19630</v>
      </c>
      <c r="AO74" s="15">
        <f t="shared" si="125"/>
        <v>0.43431999999999987</v>
      </c>
      <c r="AP74" s="14">
        <f t="shared" si="126"/>
        <v>0.25900000000000006</v>
      </c>
      <c r="AQ74" s="8">
        <f t="shared" si="127"/>
        <v>75674.409999999974</v>
      </c>
      <c r="AR74" s="78">
        <f ca="1">IF(NOW()-TODAY()&gt;15/24, AG74, [1]!s_dq_volume(AB74,AR$2,1))/AI$2</f>
        <v>444.7</v>
      </c>
      <c r="AS74" s="122">
        <f t="shared" si="128"/>
        <v>0</v>
      </c>
      <c r="AT74" s="122">
        <f t="shared" si="129"/>
        <v>0.1963</v>
      </c>
      <c r="AV74" s="49">
        <f t="shared" ca="1" si="81"/>
        <v>0</v>
      </c>
      <c r="AY74" s="10"/>
      <c r="AZ74" s="10"/>
      <c r="BA74" s="6">
        <f t="shared" ca="1" si="130"/>
        <v>531</v>
      </c>
      <c r="BB74" s="6">
        <f t="shared" ca="1" si="131"/>
        <v>-19849.000000000004</v>
      </c>
      <c r="BC74" s="6">
        <f t="shared" si="132"/>
        <v>0</v>
      </c>
      <c r="BD74" s="12">
        <f t="shared" si="133"/>
        <v>0</v>
      </c>
      <c r="BE74" s="2">
        <f t="shared" ca="1" si="134"/>
        <v>7.1102222366241797E-3</v>
      </c>
      <c r="BF74" s="2">
        <f t="shared" ca="1" si="135"/>
        <v>-0.26450799500701022</v>
      </c>
      <c r="BG74" s="2">
        <f t="shared" si="136"/>
        <v>0</v>
      </c>
      <c r="BH74" s="13">
        <f t="shared" si="137"/>
        <v>0</v>
      </c>
      <c r="BI74" s="2">
        <f t="shared" ca="1" si="138"/>
        <v>3.1267844775515974E-2</v>
      </c>
      <c r="BJ74" s="2">
        <f t="shared" ca="1" si="139"/>
        <v>-1.1631978093681774</v>
      </c>
      <c r="BK74" s="2">
        <f t="shared" ca="1" si="140"/>
        <v>0</v>
      </c>
      <c r="BL74" s="56">
        <f t="shared" ca="1" si="141"/>
        <v>0</v>
      </c>
      <c r="BN74" s="6">
        <f t="shared" ca="1" si="142"/>
        <v>-689</v>
      </c>
      <c r="BO74" s="6">
        <f t="shared" si="143"/>
        <v>0</v>
      </c>
      <c r="BP74" s="6">
        <f t="shared" ca="1" si="144"/>
        <v>19631.000000000004</v>
      </c>
      <c r="BQ74" s="12">
        <f t="shared" ca="1" si="145"/>
        <v>19691.000000000004</v>
      </c>
      <c r="BR74" s="2">
        <f t="shared" ca="1" si="146"/>
        <v>-7.1834878617300585E-3</v>
      </c>
      <c r="BS74" s="2">
        <f t="shared" si="147"/>
        <v>0</v>
      </c>
      <c r="BT74" s="2">
        <f t="shared" ca="1" si="148"/>
        <v>0.25866193342515398</v>
      </c>
      <c r="BU74" s="13">
        <f t="shared" ca="1" si="149"/>
        <v>0.25945257364804614</v>
      </c>
      <c r="BV74" s="2">
        <f t="shared" ca="1" si="150"/>
        <v>-3.1590036982306884E-2</v>
      </c>
      <c r="BW74" s="2">
        <f t="shared" ca="1" si="151"/>
        <v>0</v>
      </c>
      <c r="BX74" s="2">
        <f t="shared" ca="1" si="152"/>
        <v>1.1374892253033879</v>
      </c>
      <c r="BY74" s="13">
        <f t="shared" ca="1" si="153"/>
        <v>1.1409661371269499</v>
      </c>
      <c r="CB74" s="17" t="s">
        <v>337</v>
      </c>
      <c r="CC74" s="123" t="b">
        <f t="shared" si="78"/>
        <v>1</v>
      </c>
      <c r="CD74" s="17" t="s">
        <v>193</v>
      </c>
      <c r="CE74" s="138" t="str">
        <f>IF([1]!w_info_callput(CD74)="认购","C","P")</f>
        <v>P</v>
      </c>
      <c r="CF74" s="139">
        <f>[1]!w_info_strikeprice(CD74,"")</f>
        <v>3.7</v>
      </c>
      <c r="CG74" s="140" t="str">
        <f>[1]!w_info_lasttradingdate(CD74)</f>
        <v>2020-06-24</v>
      </c>
      <c r="CH74" s="55" t="str">
        <f t="shared" si="154"/>
        <v>IO2006-P-3700.CFE</v>
      </c>
      <c r="CI74" s="55" t="str">
        <f t="shared" si="155"/>
        <v>IO2006-P-3700.CFE</v>
      </c>
      <c r="CK74" s="17" t="s">
        <v>313</v>
      </c>
      <c r="CL74" s="17"/>
    </row>
    <row r="75" spans="2:90">
      <c r="B75" t="s">
        <v>113</v>
      </c>
      <c r="C75" s="29" t="str">
        <f t="shared" si="116"/>
        <v>P</v>
      </c>
      <c r="D75" s="125">
        <f>[1]!w_info_strikeprice(B75,"")</f>
        <v>3800</v>
      </c>
      <c r="E75" s="18" t="str">
        <f>[1]!w_info_lasttradingdate(B75)</f>
        <v>2020-06-19</v>
      </c>
      <c r="F75" s="4">
        <f>IF(G75&gt;0,RTD("wdf.rtq",,$B75,F$5),0)</f>
        <v>268.39999999999998</v>
      </c>
      <c r="G75" s="73">
        <f>RTD("wdf.rtq",,$B75,G$5)</f>
        <v>14</v>
      </c>
      <c r="H75" s="4">
        <f>RTD("wdf.rtq",,$B75,H$5)</f>
        <v>2.2000000000000002</v>
      </c>
      <c r="I75" s="73">
        <f>RTD("wdf.rtq",,$B75,I$5)</f>
        <v>1</v>
      </c>
      <c r="J75" s="4">
        <f>RTD("wdf.rtq",,$B75,J$5)</f>
        <v>268.39999999999998</v>
      </c>
      <c r="K75" s="73">
        <f>RTD("wdf.rtq",,$B75,K$5)</f>
        <v>3</v>
      </c>
      <c r="L75" s="4">
        <f>[1]!s_dq_presettle(B75,"")</f>
        <v>260.8</v>
      </c>
      <c r="M75" s="6">
        <f t="shared" si="117"/>
        <v>0</v>
      </c>
      <c r="N75" s="3">
        <f t="shared" si="118"/>
        <v>26839.999999999996</v>
      </c>
      <c r="O75" s="6">
        <f t="shared" si="119"/>
        <v>37243.200000000004</v>
      </c>
      <c r="P75" s="3">
        <f t="shared" si="120"/>
        <v>19000</v>
      </c>
      <c r="Q75" s="6">
        <f t="shared" si="121"/>
        <v>64083.21</v>
      </c>
      <c r="R75" s="75">
        <f ca="1">IF(NOW()-TODAY()&gt;15/24, G75, [1]!s_dq_volume(B75,R$2,1))/$I$2</f>
        <v>1</v>
      </c>
      <c r="S75" s="78">
        <f t="shared" si="122"/>
        <v>75.679999999999836</v>
      </c>
      <c r="T75" s="78">
        <f t="shared" si="72"/>
        <v>192.72000000000014</v>
      </c>
      <c r="AB75" s="17" t="s">
        <v>194</v>
      </c>
      <c r="AC75" s="29" t="str">
        <f>IF([1]!w_info_callput(AB75)="认购","C","P")</f>
        <v>P</v>
      </c>
      <c r="AD75" s="31">
        <f>[1]!w_info_strikeprice(AB75,"")</f>
        <v>3.8</v>
      </c>
      <c r="AE75" s="18" t="str">
        <f>[1]!w_info_lasttradingdate(AB75)</f>
        <v>2020-06-24</v>
      </c>
      <c r="AF75" s="15">
        <f>RTD("wdf.rtq",,$AB75,F$5)</f>
        <v>0.25090000000000001</v>
      </c>
      <c r="AG75" s="73">
        <f>RTD("wdf.rtq",,$AB75,G$5)</f>
        <v>762</v>
      </c>
      <c r="AH75" s="15">
        <f>RTD("wdf.rtq",,$AB75,H$5)</f>
        <v>0.24700000000000003</v>
      </c>
      <c r="AI75" s="73">
        <f>RTD("wdf.rtq",,$AB75,I$5)</f>
        <v>2</v>
      </c>
      <c r="AJ75" s="15">
        <f>RTD("wdf.rtq",,$AB75,J$5)</f>
        <v>0.25480000000000003</v>
      </c>
      <c r="AK75" s="77">
        <f>RTD("wdf.rtq",,$AB75,K$5)</f>
        <v>1</v>
      </c>
      <c r="AL75" s="15">
        <f>[1]!s_dq_presettle(AB75,"")</f>
        <v>0.24</v>
      </c>
      <c r="AM75" s="15">
        <f t="shared" si="123"/>
        <v>0</v>
      </c>
      <c r="AN75" s="3">
        <f t="shared" si="124"/>
        <v>25090</v>
      </c>
      <c r="AO75" s="15">
        <f t="shared" si="125"/>
        <v>0.44531999999999999</v>
      </c>
      <c r="AP75" s="14">
        <f t="shared" si="126"/>
        <v>0.26600000000000001</v>
      </c>
      <c r="AQ75" s="8">
        <f t="shared" si="127"/>
        <v>83546.409999999989</v>
      </c>
      <c r="AR75" s="78">
        <f ca="1">IF(NOW()-TODAY()&gt;15/24, AG75, [1]!s_dq_volume(AB75,AR$2,1))/AI$2</f>
        <v>339.2</v>
      </c>
      <c r="AS75" s="122">
        <f t="shared" si="128"/>
        <v>8.8999999999999524E-2</v>
      </c>
      <c r="AT75" s="122">
        <f t="shared" si="129"/>
        <v>0.16190000000000049</v>
      </c>
      <c r="AV75" s="49">
        <f t="shared" ca="1" si="81"/>
        <v>-1349.300972277626</v>
      </c>
      <c r="AY75" s="10"/>
      <c r="AZ75" s="10"/>
      <c r="BA75" s="6">
        <f t="shared" ca="1" si="130"/>
        <v>3020.3009722776223</v>
      </c>
      <c r="BB75" s="6">
        <f t="shared" ca="1" si="131"/>
        <v>-23989.699027722378</v>
      </c>
      <c r="BC75" s="6">
        <f t="shared" ca="1" si="132"/>
        <v>3350.3009722776187</v>
      </c>
      <c r="BD75" s="12">
        <f t="shared" ca="1" si="133"/>
        <v>3410.3009722776187</v>
      </c>
      <c r="BE75" s="2">
        <f t="shared" ca="1" si="134"/>
        <v>3.3870048776730395E-2</v>
      </c>
      <c r="BF75" s="2">
        <f t="shared" ca="1" si="135"/>
        <v>-0.26785215746200225</v>
      </c>
      <c r="BG75" s="2">
        <f t="shared" ca="1" si="136"/>
        <v>3.7727250763543552E-2</v>
      </c>
      <c r="BH75" s="13">
        <f t="shared" ca="1" si="137"/>
        <v>3.8411552953284959E-2</v>
      </c>
      <c r="BI75" s="2">
        <f t="shared" ca="1" si="138"/>
        <v>0.14894660004224813</v>
      </c>
      <c r="BJ75" s="2">
        <f t="shared" ca="1" si="139"/>
        <v>-1.1779040659473592</v>
      </c>
      <c r="BK75" s="2">
        <f t="shared" ca="1" si="140"/>
        <v>0.16590899432160719</v>
      </c>
      <c r="BL75" s="56">
        <f t="shared" ca="1" si="141"/>
        <v>0.16891827503553025</v>
      </c>
      <c r="BN75" s="6">
        <f t="shared" ca="1" si="142"/>
        <v>-3178.3009722776223</v>
      </c>
      <c r="BO75" s="6">
        <f t="shared" ca="1" si="143"/>
        <v>-3568.3009722776187</v>
      </c>
      <c r="BP75" s="6">
        <f t="shared" ca="1" si="144"/>
        <v>23771.699027722378</v>
      </c>
      <c r="BQ75" s="12">
        <f t="shared" ca="1" si="145"/>
        <v>23831.699027722378</v>
      </c>
      <c r="BR75" s="2">
        <f t="shared" ca="1" si="146"/>
        <v>-2.8792502376675015E-2</v>
      </c>
      <c r="BS75" s="2">
        <f t="shared" ca="1" si="147"/>
        <v>-3.2325545982314484E-2</v>
      </c>
      <c r="BT75" s="2">
        <f t="shared" ca="1" si="148"/>
        <v>0.28378550963342214</v>
      </c>
      <c r="BU75" s="13">
        <f t="shared" ca="1" si="149"/>
        <v>0.28450185495262814</v>
      </c>
      <c r="BV75" s="2">
        <f t="shared" ca="1" si="150"/>
        <v>-0.12661763093357084</v>
      </c>
      <c r="BW75" s="2">
        <f t="shared" ca="1" si="151"/>
        <v>-0.14215450944029864</v>
      </c>
      <c r="BX75" s="2">
        <f t="shared" ca="1" si="152"/>
        <v>1.2479724218819166</v>
      </c>
      <c r="BY75" s="13">
        <f t="shared" ca="1" si="153"/>
        <v>1.2511226151531236</v>
      </c>
      <c r="CB75" s="17" t="s">
        <v>317</v>
      </c>
      <c r="CC75" s="123" t="b">
        <f t="shared" si="78"/>
        <v>1</v>
      </c>
      <c r="CD75" s="17" t="s">
        <v>194</v>
      </c>
      <c r="CE75" s="138" t="str">
        <f>IF([1]!w_info_callput(CD75)="认购","C","P")</f>
        <v>P</v>
      </c>
      <c r="CF75" s="139">
        <f>[1]!w_info_strikeprice(CD75,"")</f>
        <v>3.8</v>
      </c>
      <c r="CG75" s="140" t="str">
        <f>[1]!w_info_lasttradingdate(CD75)</f>
        <v>2020-06-24</v>
      </c>
      <c r="CH75" s="55" t="str">
        <f t="shared" si="154"/>
        <v>IO2006-P-3800.CFE</v>
      </c>
      <c r="CI75" s="55" t="str">
        <f t="shared" si="155"/>
        <v>IO2006-P-3800.CFE</v>
      </c>
      <c r="CK75" s="17" t="s">
        <v>314</v>
      </c>
      <c r="CL75" s="17"/>
    </row>
    <row r="76" spans="2:90">
      <c r="B76" t="s">
        <v>114</v>
      </c>
      <c r="C76" s="29" t="str">
        <f t="shared" si="116"/>
        <v>P</v>
      </c>
      <c r="D76" s="125">
        <f>[1]!w_info_strikeprice(B76,"")</f>
        <v>3900</v>
      </c>
      <c r="E76" s="18" t="str">
        <f>[1]!w_info_lasttradingdate(B76)</f>
        <v>2020-06-19</v>
      </c>
      <c r="F76" s="4">
        <f>IF(G76&gt;0,RTD("wdf.rtq",,$B76,F$5),0)</f>
        <v>327.60000000000002</v>
      </c>
      <c r="G76" s="73">
        <f>RTD("wdf.rtq",,$B76,G$5)</f>
        <v>1</v>
      </c>
      <c r="H76" s="4">
        <f>RTD("wdf.rtq",,$B76,H$5)</f>
        <v>53</v>
      </c>
      <c r="I76" s="73">
        <f>RTD("wdf.rtq",,$B76,I$5)</f>
        <v>1</v>
      </c>
      <c r="J76" s="4">
        <f>RTD("wdf.rtq",,$B76,J$5)</f>
        <v>0</v>
      </c>
      <c r="K76" s="73">
        <f>RTD("wdf.rtq",,$B76,K$5)</f>
        <v>0</v>
      </c>
      <c r="L76" s="4">
        <f>[1]!s_dq_presettle(B76,"")</f>
        <v>326</v>
      </c>
      <c r="M76" s="6">
        <f t="shared" si="117"/>
        <v>0</v>
      </c>
      <c r="N76" s="3">
        <f t="shared" si="118"/>
        <v>32760.000000000004</v>
      </c>
      <c r="O76" s="6">
        <f t="shared" si="119"/>
        <v>37243.200000000004</v>
      </c>
      <c r="P76" s="3">
        <f t="shared" si="120"/>
        <v>19500</v>
      </c>
      <c r="Q76" s="6">
        <f t="shared" si="121"/>
        <v>70003.210000000006</v>
      </c>
      <c r="R76" s="75">
        <f ca="1">IF(NOW()-TODAY()&gt;15/24, G76, [1]!s_dq_volume(B76,R$2,1))/$I$2</f>
        <v>0</v>
      </c>
      <c r="S76" s="78">
        <f t="shared" si="122"/>
        <v>175.67999999999984</v>
      </c>
      <c r="T76" s="78">
        <f t="shared" si="72"/>
        <v>151.92000000000019</v>
      </c>
      <c r="AB76" s="17" t="s">
        <v>195</v>
      </c>
      <c r="AC76" s="29" t="str">
        <f>IF([1]!w_info_callput(AB76)="认购","C","P")</f>
        <v>P</v>
      </c>
      <c r="AD76" s="31">
        <f>[1]!w_info_strikeprice(AB76,"")</f>
        <v>3.9</v>
      </c>
      <c r="AE76" s="18" t="str">
        <f>[1]!w_info_lasttradingdate(AB76)</f>
        <v>2020-06-24</v>
      </c>
      <c r="AF76" s="15">
        <f>RTD("wdf.rtq",,$AB76,F$5)</f>
        <v>0.31290000000000001</v>
      </c>
      <c r="AG76" s="73">
        <f>RTD("wdf.rtq",,$AB76,G$5)</f>
        <v>505</v>
      </c>
      <c r="AH76" s="15">
        <f>RTD("wdf.rtq",,$AB76,H$5)</f>
        <v>0.3004</v>
      </c>
      <c r="AI76" s="73">
        <f>RTD("wdf.rtq",,$AB76,I$5)</f>
        <v>11</v>
      </c>
      <c r="AJ76" s="15">
        <f>RTD("wdf.rtq",,$AB76,J$5)</f>
        <v>0.317</v>
      </c>
      <c r="AK76" s="77">
        <f>RTD("wdf.rtq",,$AB76,K$5)</f>
        <v>1</v>
      </c>
      <c r="AL76" s="15">
        <f>[1]!s_dq_presettle(AB76,"")</f>
        <v>0.30199999999999999</v>
      </c>
      <c r="AM76" s="15">
        <f t="shared" si="123"/>
        <v>0</v>
      </c>
      <c r="AN76" s="3">
        <f t="shared" si="124"/>
        <v>31290</v>
      </c>
      <c r="AO76" s="15">
        <f t="shared" si="125"/>
        <v>0.44531999999999999</v>
      </c>
      <c r="AP76" s="14">
        <f t="shared" si="126"/>
        <v>0.27300000000000002</v>
      </c>
      <c r="AQ76" s="8">
        <f t="shared" si="127"/>
        <v>90986.409999999989</v>
      </c>
      <c r="AR76" s="78">
        <f ca="1">IF(NOW()-TODAY()&gt;15/24, AG76, [1]!s_dq_volume(AB76,AR$2,1))/AI$2</f>
        <v>126.8</v>
      </c>
      <c r="AS76" s="122">
        <f t="shared" si="128"/>
        <v>0.18899999999999961</v>
      </c>
      <c r="AT76" s="122">
        <f t="shared" si="129"/>
        <v>0.1239000000000004</v>
      </c>
      <c r="AV76" s="49">
        <f t="shared" ca="1" si="81"/>
        <v>-1349.3009722776333</v>
      </c>
      <c r="AY76" s="10"/>
      <c r="AZ76" s="10"/>
      <c r="BA76" s="6">
        <f t="shared" ca="1" si="130"/>
        <v>2740.3009722776369</v>
      </c>
      <c r="BB76" s="6">
        <f t="shared" ca="1" si="131"/>
        <v>-25129.699027722367</v>
      </c>
      <c r="BC76" s="6">
        <f t="shared" si="132"/>
        <v>0</v>
      </c>
      <c r="BD76" s="12">
        <f t="shared" si="133"/>
        <v>0</v>
      </c>
      <c r="BE76" s="2">
        <f t="shared" ca="1" si="134"/>
        <v>2.7053155609123618E-2</v>
      </c>
      <c r="BF76" s="2">
        <f t="shared" ca="1" si="135"/>
        <v>-0.24708855332808438</v>
      </c>
      <c r="BG76" s="2">
        <f t="shared" si="136"/>
        <v>0</v>
      </c>
      <c r="BH76" s="13">
        <f t="shared" si="137"/>
        <v>0</v>
      </c>
      <c r="BI76" s="2">
        <f t="shared" ca="1" si="138"/>
        <v>0.11896869635337495</v>
      </c>
      <c r="BJ76" s="2">
        <f t="shared" ca="1" si="139"/>
        <v>-1.0865942405391662</v>
      </c>
      <c r="BK76" s="2">
        <f t="shared" ca="1" si="140"/>
        <v>0</v>
      </c>
      <c r="BL76" s="56">
        <f t="shared" ca="1" si="141"/>
        <v>0</v>
      </c>
      <c r="BN76" s="6">
        <f t="shared" ca="1" si="142"/>
        <v>-2898.3009722776369</v>
      </c>
      <c r="BO76" s="6">
        <f t="shared" si="143"/>
        <v>0</v>
      </c>
      <c r="BP76" s="6">
        <f t="shared" ca="1" si="144"/>
        <v>24911.699027722367</v>
      </c>
      <c r="BQ76" s="12">
        <f t="shared" ca="1" si="145"/>
        <v>24971.699027722367</v>
      </c>
      <c r="BR76" s="2">
        <f t="shared" ca="1" si="146"/>
        <v>-2.3421293371481543E-2</v>
      </c>
      <c r="BS76" s="2">
        <f t="shared" si="147"/>
        <v>0</v>
      </c>
      <c r="BT76" s="2">
        <f t="shared" ca="1" si="148"/>
        <v>0.25872492133857666</v>
      </c>
      <c r="BU76" s="13">
        <f t="shared" ca="1" si="149"/>
        <v>0.25934811597734686</v>
      </c>
      <c r="BV76" s="2">
        <f t="shared" ca="1" si="150"/>
        <v>-0.10299725398302124</v>
      </c>
      <c r="BW76" s="2">
        <f t="shared" ca="1" si="151"/>
        <v>0</v>
      </c>
      <c r="BX76" s="2">
        <f t="shared" ca="1" si="152"/>
        <v>1.137766220344343</v>
      </c>
      <c r="BY76" s="13">
        <f t="shared" ca="1" si="153"/>
        <v>1.1405067750811038</v>
      </c>
      <c r="CB76" s="17" t="s">
        <v>318</v>
      </c>
      <c r="CC76" s="123" t="b">
        <f t="shared" si="78"/>
        <v>1</v>
      </c>
      <c r="CD76" s="17" t="s">
        <v>195</v>
      </c>
      <c r="CE76" s="138" t="str">
        <f>IF([1]!w_info_callput(CD76)="认购","C","P")</f>
        <v>P</v>
      </c>
      <c r="CF76" s="139">
        <f>[1]!w_info_strikeprice(CD76,"")</f>
        <v>3.9</v>
      </c>
      <c r="CG76" s="140" t="str">
        <f>[1]!w_info_lasttradingdate(CD76)</f>
        <v>2020-06-24</v>
      </c>
      <c r="CH76" s="55" t="str">
        <f t="shared" si="154"/>
        <v>IO2006-P-3900.CFE</v>
      </c>
      <c r="CI76" s="55" t="str">
        <f t="shared" si="155"/>
        <v>IO2006-P-3900.CFE</v>
      </c>
      <c r="CK76" s="17" t="s">
        <v>315</v>
      </c>
      <c r="CL76" s="17"/>
    </row>
    <row r="77" spans="2:90">
      <c r="B77" t="s">
        <v>115</v>
      </c>
      <c r="C77" s="29" t="str">
        <f t="shared" si="116"/>
        <v>P</v>
      </c>
      <c r="D77" s="125">
        <f>[1]!w_info_strikeprice(B77,"")</f>
        <v>4000</v>
      </c>
      <c r="E77" s="18" t="str">
        <f>[1]!w_info_lasttradingdate(B77)</f>
        <v>2020-06-19</v>
      </c>
      <c r="F77" s="4">
        <f>IF(G77&gt;0,RTD("wdf.rtq",,$B77,F$5),0)</f>
        <v>399.8</v>
      </c>
      <c r="G77" s="73">
        <f>RTD("wdf.rtq",,$B77,G$5)</f>
        <v>3</v>
      </c>
      <c r="H77" s="4">
        <f>RTD("wdf.rtq",,$B77,H$5)</f>
        <v>382</v>
      </c>
      <c r="I77" s="73">
        <f>RTD("wdf.rtq",,$B77,I$5)</f>
        <v>2</v>
      </c>
      <c r="J77" s="4">
        <f>RTD("wdf.rtq",,$B77,J$5)</f>
        <v>0</v>
      </c>
      <c r="K77" s="73">
        <f>RTD("wdf.rtq",,$B77,K$5)</f>
        <v>0</v>
      </c>
      <c r="L77" s="4">
        <f>[1]!s_dq_presettle(B77,"")</f>
        <v>396.2</v>
      </c>
      <c r="M77" s="6">
        <f t="shared" si="117"/>
        <v>0</v>
      </c>
      <c r="N77" s="3">
        <f t="shared" si="118"/>
        <v>39980</v>
      </c>
      <c r="O77" s="6">
        <f t="shared" si="119"/>
        <v>37243.200000000004</v>
      </c>
      <c r="P77" s="3">
        <f t="shared" si="120"/>
        <v>20000</v>
      </c>
      <c r="Q77" s="6">
        <f t="shared" si="121"/>
        <v>77223.210000000006</v>
      </c>
      <c r="R77" s="75">
        <f ca="1">IF(NOW()-TODAY()&gt;15/24, G77, [1]!s_dq_volume(B77,R$2,1))/$I$2</f>
        <v>3</v>
      </c>
      <c r="S77" s="78">
        <f t="shared" si="122"/>
        <v>275.67999999999984</v>
      </c>
      <c r="T77" s="78">
        <f t="shared" si="72"/>
        <v>124.12000000000018</v>
      </c>
      <c r="AB77" s="17" t="s">
        <v>196</v>
      </c>
      <c r="AC77" s="29" t="str">
        <f>IF([1]!w_info_callput(AB77)="认购","C","P")</f>
        <v>P</v>
      </c>
      <c r="AD77" s="31">
        <f>[1]!w_info_strikeprice(AB77,"")</f>
        <v>4</v>
      </c>
      <c r="AE77" s="18" t="str">
        <f>[1]!w_info_lasttradingdate(AB77)</f>
        <v>2020-06-24</v>
      </c>
      <c r="AF77" s="15">
        <f>RTD("wdf.rtq",,$AB77,F$5)</f>
        <v>0.38580000000000003</v>
      </c>
      <c r="AG77" s="73">
        <f>RTD("wdf.rtq",,$AB77,G$5)</f>
        <v>81</v>
      </c>
      <c r="AH77" s="15">
        <f>RTD("wdf.rtq",,$AB77,H$5)</f>
        <v>0.36810000000000004</v>
      </c>
      <c r="AI77" s="73">
        <f>RTD("wdf.rtq",,$AB77,I$5)</f>
        <v>26</v>
      </c>
      <c r="AJ77" s="15">
        <f>RTD("wdf.rtq",,$AB77,J$5)</f>
        <v>0.38990000000000002</v>
      </c>
      <c r="AK77" s="77">
        <f>RTD("wdf.rtq",,$AB77,K$5)</f>
        <v>10</v>
      </c>
      <c r="AL77" s="15">
        <f>[1]!s_dq_presettle(AB77,"")</f>
        <v>0.3715</v>
      </c>
      <c r="AM77" s="15">
        <f t="shared" si="123"/>
        <v>0</v>
      </c>
      <c r="AN77" s="3">
        <f t="shared" si="124"/>
        <v>38580</v>
      </c>
      <c r="AO77" s="15">
        <f t="shared" si="125"/>
        <v>0.44531999999999999</v>
      </c>
      <c r="AP77" s="14">
        <f t="shared" si="126"/>
        <v>0.28000000000000003</v>
      </c>
      <c r="AQ77" s="8">
        <f t="shared" si="127"/>
        <v>99734.41</v>
      </c>
      <c r="AR77" s="78">
        <f ca="1">IF(NOW()-TODAY()&gt;15/24, AG77, [1]!s_dq_volume(AB77,AR$2,1))/AI$2</f>
        <v>42.9</v>
      </c>
      <c r="AS77" s="122">
        <f t="shared" si="128"/>
        <v>0.2889999999999997</v>
      </c>
      <c r="AT77" s="122">
        <f t="shared" si="129"/>
        <v>9.680000000000033E-2</v>
      </c>
      <c r="AV77" s="49">
        <f t="shared" ca="1" si="81"/>
        <v>-1349.3009722776405</v>
      </c>
      <c r="AY77" s="10"/>
      <c r="AZ77" s="10"/>
      <c r="BA77" s="6">
        <f t="shared" ca="1" si="130"/>
        <v>2670.3009722776405</v>
      </c>
      <c r="BB77" s="6">
        <f t="shared" ca="1" si="131"/>
        <v>480.30097227764054</v>
      </c>
      <c r="BC77" s="6">
        <f t="shared" si="132"/>
        <v>0</v>
      </c>
      <c r="BD77" s="12">
        <f t="shared" si="133"/>
        <v>0</v>
      </c>
      <c r="BE77" s="2">
        <f t="shared" ca="1" si="134"/>
        <v>2.3058954689404901E-2</v>
      </c>
      <c r="BF77" s="2">
        <f t="shared" ca="1" si="135"/>
        <v>4.1329292279048187E-3</v>
      </c>
      <c r="BG77" s="2">
        <f t="shared" si="136"/>
        <v>0</v>
      </c>
      <c r="BH77" s="13">
        <f t="shared" si="137"/>
        <v>0</v>
      </c>
      <c r="BI77" s="2">
        <f t="shared" ca="1" si="138"/>
        <v>0.10140383688714204</v>
      </c>
      <c r="BJ77" s="2">
        <f t="shared" ca="1" si="139"/>
        <v>1.8174929737171792E-2</v>
      </c>
      <c r="BK77" s="2">
        <f t="shared" ca="1" si="140"/>
        <v>0</v>
      </c>
      <c r="BL77" s="56">
        <f t="shared" ca="1" si="141"/>
        <v>0</v>
      </c>
      <c r="BN77" s="6">
        <f t="shared" ca="1" si="142"/>
        <v>-2828.3009722776405</v>
      </c>
      <c r="BO77" s="6">
        <f t="shared" si="143"/>
        <v>0</v>
      </c>
      <c r="BP77" s="6">
        <f t="shared" ca="1" si="144"/>
        <v>-698.30097227764054</v>
      </c>
      <c r="BQ77" s="12">
        <f t="shared" ca="1" si="145"/>
        <v>-638.30097227764054</v>
      </c>
      <c r="BR77" s="2">
        <f t="shared" ca="1" si="146"/>
        <v>-2.0243444983789723E-2</v>
      </c>
      <c r="BS77" s="2">
        <f t="shared" si="147"/>
        <v>0</v>
      </c>
      <c r="BT77" s="2">
        <f t="shared" ca="1" si="148"/>
        <v>-5.0625574215055705E-3</v>
      </c>
      <c r="BU77" s="13">
        <f t="shared" ca="1" si="149"/>
        <v>-4.6275688008354156E-3</v>
      </c>
      <c r="BV77" s="2">
        <f t="shared" ca="1" si="150"/>
        <v>-8.9022378543171674E-2</v>
      </c>
      <c r="BW77" s="2">
        <f t="shared" ca="1" si="151"/>
        <v>0</v>
      </c>
      <c r="BX77" s="2">
        <f t="shared" ca="1" si="152"/>
        <v>-2.2263053721078715E-2</v>
      </c>
      <c r="BY77" s="13">
        <f t="shared" ca="1" si="153"/>
        <v>-2.0350151955481042E-2</v>
      </c>
      <c r="CB77" s="17" t="s">
        <v>319</v>
      </c>
      <c r="CC77" s="123" t="b">
        <f t="shared" si="78"/>
        <v>1</v>
      </c>
      <c r="CD77" s="17" t="s">
        <v>196</v>
      </c>
      <c r="CE77" s="138" t="str">
        <f>IF([1]!w_info_callput(CD77)="认购","C","P")</f>
        <v>P</v>
      </c>
      <c r="CF77" s="139">
        <f>[1]!w_info_strikeprice(CD77,"")</f>
        <v>4</v>
      </c>
      <c r="CG77" s="140" t="str">
        <f>[1]!w_info_lasttradingdate(CD77)</f>
        <v>2020-06-24</v>
      </c>
      <c r="CH77" s="55" t="str">
        <f t="shared" si="154"/>
        <v>IO2006-P-4000.CFE</v>
      </c>
      <c r="CI77" s="55" t="str">
        <f t="shared" si="155"/>
        <v>IO2006-P-4000.CFE</v>
      </c>
      <c r="CK77" s="17" t="s">
        <v>316</v>
      </c>
      <c r="CL77" s="17"/>
    </row>
    <row r="78" spans="2:90">
      <c r="B78" t="s">
        <v>116</v>
      </c>
      <c r="C78" s="29" t="str">
        <f>IF(MID(B78,8,1)="C","C","P")</f>
        <v>P</v>
      </c>
      <c r="D78" s="125">
        <f>[1]!w_info_strikeprice(B78,"")</f>
        <v>4100</v>
      </c>
      <c r="E78" s="18" t="str">
        <f>[1]!w_info_lasttradingdate(B78)</f>
        <v>2020-06-19</v>
      </c>
      <c r="F78" s="4">
        <f>IF(G78&gt;0,RTD("wdf.rtq",,$B78,F$5),0)</f>
        <v>479.2</v>
      </c>
      <c r="G78" s="73">
        <f>RTD("wdf.rtq",,$B78,G$5)</f>
        <v>6</v>
      </c>
      <c r="H78" s="4">
        <f>RTD("wdf.rtq",,$B78,H$5)</f>
        <v>0</v>
      </c>
      <c r="I78" s="73">
        <f>RTD("wdf.rtq",,$B78,I$5)</f>
        <v>0</v>
      </c>
      <c r="J78" s="4">
        <f>RTD("wdf.rtq",,$B78,J$5)</f>
        <v>0</v>
      </c>
      <c r="K78" s="73">
        <f>RTD("wdf.rtq",,$B78,K$5)</f>
        <v>0</v>
      </c>
      <c r="L78" s="4">
        <f>[1]!s_dq_presettle(B78,"")</f>
        <v>475.2</v>
      </c>
      <c r="M78" s="6">
        <f>IF(C78="P",MAX($F$2-D78,0),MAX(0,D78-$F$2))</f>
        <v>0</v>
      </c>
      <c r="N78" s="3">
        <f>H$2*I$2*F78</f>
        <v>47920</v>
      </c>
      <c r="O78" s="6">
        <f>($F$2*$O$2-M78)*H$2</f>
        <v>37243.200000000004</v>
      </c>
      <c r="P78" s="3">
        <f>$O$2*$P$2*D78*H$2</f>
        <v>20500</v>
      </c>
      <c r="Q78" s="6">
        <f>I$2*(N78+MAX(O78,P78))*$Q$2+0.01</f>
        <v>85163.21</v>
      </c>
      <c r="R78" s="75">
        <f ca="1">IF(NOW()-TODAY()&gt;15/24, G78, [1]!s_dq_volume(B78,R$2,1))/$I$2</f>
        <v>12</v>
      </c>
      <c r="S78" s="78">
        <f>IF(C78="C",MAX($F$2-D78,0),MAX(D78-$F$2,0))</f>
        <v>375.67999999999984</v>
      </c>
      <c r="T78" s="78">
        <f>F78-S78</f>
        <v>103.52000000000015</v>
      </c>
      <c r="AB78" s="17" t="s">
        <v>197</v>
      </c>
      <c r="AC78" s="29" t="str">
        <f>IF([1]!w_info_callput(AB78)="认购","C","P")</f>
        <v>P</v>
      </c>
      <c r="AD78" s="31">
        <f>[1]!w_info_strikeprice(AB78,"")</f>
        <v>4.0999999999999996</v>
      </c>
      <c r="AE78" s="18" t="str">
        <f>[1]!w_info_lasttradingdate(AB78)</f>
        <v>2020-06-24</v>
      </c>
      <c r="AF78" s="15">
        <f>RTD("wdf.rtq",,$AB78,F$5)</f>
        <v>0.45980000000000004</v>
      </c>
      <c r="AG78" s="73">
        <f>RTD("wdf.rtq",,$AB78,G$5)</f>
        <v>156</v>
      </c>
      <c r="AH78" s="15">
        <f>RTD("wdf.rtq",,$AB78,H$5)</f>
        <v>0.44450000000000001</v>
      </c>
      <c r="AI78" s="73">
        <f>RTD("wdf.rtq",,$AB78,I$5)</f>
        <v>19</v>
      </c>
      <c r="AJ78" s="15">
        <f>RTD("wdf.rtq",,$AB78,J$5)</f>
        <v>0.48000000000000004</v>
      </c>
      <c r="AK78" s="77">
        <f>RTD("wdf.rtq",,$AB78,K$5)</f>
        <v>15</v>
      </c>
      <c r="AL78" s="15">
        <f>[1]!s_dq_presettle(AB78,"")</f>
        <v>0.44750000000000001</v>
      </c>
      <c r="AM78" s="15">
        <f>IF(AC78="P",MAX($AF$2-AD78,0),MAX(0,AD78-$AF$2))</f>
        <v>0</v>
      </c>
      <c r="AN78" s="3">
        <f>AH$2*AI$2*AF78</f>
        <v>45980.000000000007</v>
      </c>
      <c r="AO78" s="15">
        <f>$AO$2*$AF$2-AM78</f>
        <v>0.44531999999999999</v>
      </c>
      <c r="AP78" s="14">
        <f>IF(AC78="C",$AP$2*AF78,$AP$2*AD78)</f>
        <v>0.28699999999999998</v>
      </c>
      <c r="AQ78" s="8">
        <f>AH$2*AI$2*IF(AC78="C", MAX(AO78,AP78)+AF78, MIN(AF78+MAX(AO78,AP78),AD78) )*$AQ$2+0.01</f>
        <v>108614.40999999999</v>
      </c>
      <c r="AR78" s="78">
        <f ca="1">IF(NOW()-TODAY()&gt;15/24, AG78, [1]!s_dq_volume(AB78,AR$2,1))/AI$2</f>
        <v>15.1</v>
      </c>
      <c r="AS78" s="122">
        <f>IF(AC78="C",MAX($AF$2-AD78,0),MAX(AD78-$AF$2,0))</f>
        <v>0.38899999999999935</v>
      </c>
      <c r="AT78" s="122">
        <f>AF78-AS78</f>
        <v>7.0800000000000696E-2</v>
      </c>
      <c r="AV78" s="49">
        <f t="shared" ca="1" si="81"/>
        <v>-1349.3009722776042</v>
      </c>
      <c r="AY78" s="10"/>
      <c r="AZ78" s="10"/>
      <c r="BA78" s="6">
        <f ca="1">IF(AND(F78&gt;0,AF78&gt;0),(H$2*I$2*F78-AH$2*AI$2*AF78)-2*$I$2*$J$2-2*$AI$2*$AJ$2-AV78,0)</f>
        <v>3210.3009722775969</v>
      </c>
      <c r="BB78" s="6">
        <f>IF(AND(H78&gt;0,AJ78&gt;0),H$2*I$2*H78-AH$2*AI$2*AJ78-2*$I$2*$J$2-2*$AI$2*$AJ$2-AV78,0)</f>
        <v>0</v>
      </c>
      <c r="BC78" s="6">
        <f>IF(AND(J78&gt;0,AH78&gt;0),H$2*I$2*J78-AH$2*AI$2*AH78-2*$I$2*$J$2-2*$AI$2*$AJ$2-H$2*I$2*$BC$2-AH$2*AI$2*$BC$3-AV78,0)</f>
        <v>0</v>
      </c>
      <c r="BD78" s="12">
        <f>IF(AND(J78&gt;0,AH78&gt;0),H$2*I$2*J78-AH$2*AI$2*AH78-2*$I$2*$J$2-2*$AI$2*$AJ$2-AV78,0)</f>
        <v>0</v>
      </c>
      <c r="BE78" s="2">
        <f ca="1">BA78/(Q78+AH$2*AI$2*AF78)</f>
        <v>2.4479353313660666E-2</v>
      </c>
      <c r="BF78" s="2">
        <f>BB78/(Q78+AH$2*AI$2*AJ78)</f>
        <v>0</v>
      </c>
      <c r="BG78" s="2">
        <f>BC78/(Q78+AH$2*AI$2*(AH78+$BC$3))</f>
        <v>0</v>
      </c>
      <c r="BH78" s="13">
        <f>BD78/(Q78+AH$2*AI$2*AH78)</f>
        <v>0</v>
      </c>
      <c r="BI78" s="2">
        <f ca="1">BE78*365/(AE78+1-TODAY())</f>
        <v>0.10765016818658005</v>
      </c>
      <c r="BJ78" s="2">
        <f ca="1">BF78*365/(AE78+1-TODAY())</f>
        <v>0</v>
      </c>
      <c r="BK78" s="2">
        <f ca="1">BG78*365/(AE78+1-TODAY())</f>
        <v>0</v>
      </c>
      <c r="BL78" s="56">
        <f ca="1">BH78*365/(AE78+1-TODAY())</f>
        <v>0</v>
      </c>
      <c r="BN78" s="6">
        <f ca="1">IF(AND(F78&gt;0,AF78&gt;0),-H$2*I$2*F78+AH$2*AI$2*AF78-2*$I$2*$J$2-2*$AI$2*$AJ$2+AV78,0)</f>
        <v>-3368.3009722775969</v>
      </c>
      <c r="BO78" s="6">
        <f>IF(AND(J78&gt;0,AH78&gt;0),-H$2*I$2*J78+AH$2*AI$2*AH78-2*$I$2*$J$2-2*$AI$2*$AJ$2+AV78,0)</f>
        <v>0</v>
      </c>
      <c r="BP78" s="6">
        <f>IF(AND(H78&gt;0,AJ78&gt;0),-H$2*I$2*H78+AH$2*AI$2*AJ78-2*$I$2*$J$2-2*$AI$2*$AJ$2-H$2*I$2*$BC$2-AH$2*AI$2*$BC$3+AV78,0)</f>
        <v>0</v>
      </c>
      <c r="BQ78" s="12">
        <f>IF(AND(H78&gt;0,AJ78&gt;0),-H$2*I$2*H78+AH$2*AI$2*AJ78-2*$I$2*$J$2-2*$AI$2*$AJ$2+AV78,0)</f>
        <v>0</v>
      </c>
      <c r="BR78" s="2">
        <f ca="1">BN78/(AQ78+H$2*I$2*F78)</f>
        <v>-2.151795871768768E-2</v>
      </c>
      <c r="BS78" s="2">
        <f>BO78/(AQ78+H$2*I$2*J78)</f>
        <v>0</v>
      </c>
      <c r="BT78" s="2">
        <f>BP78/(AQ78+H$2*I$2*(H78+$BP$3))</f>
        <v>0</v>
      </c>
      <c r="BU78" s="13">
        <f>BQ78/(AQ78+H$2*I$2*H78)</f>
        <v>0</v>
      </c>
      <c r="BV78" s="2">
        <f ca="1">BR78*365/(AE78+1-TODAY())</f>
        <v>-9.4627167854891614E-2</v>
      </c>
      <c r="BW78" s="2">
        <f ca="1">BS78*365/(AE78+1-TODAY())</f>
        <v>0</v>
      </c>
      <c r="BX78" s="2">
        <f ca="1">BT78*365/(AE78+1-TODAY())</f>
        <v>0</v>
      </c>
      <c r="BY78" s="13">
        <f ca="1">BU78*365/(AE78+1-TODAY())</f>
        <v>0</v>
      </c>
      <c r="CB78" s="17" t="s">
        <v>297</v>
      </c>
      <c r="CC78" s="123" t="b">
        <f t="shared" si="78"/>
        <v>1</v>
      </c>
      <c r="CD78" s="17" t="s">
        <v>197</v>
      </c>
      <c r="CE78" s="138" t="str">
        <f>IF([1]!w_info_callput(CD78)="认购","C","P")</f>
        <v>P</v>
      </c>
      <c r="CF78" s="139">
        <f>[1]!w_info_strikeprice(CD78,"")</f>
        <v>4.0999999999999996</v>
      </c>
      <c r="CG78" s="140" t="str">
        <f>[1]!w_info_lasttradingdate(CD78)</f>
        <v>2020-06-24</v>
      </c>
      <c r="CH78" s="55" t="str">
        <f t="shared" si="154"/>
        <v>IO2006-P-4100.CFE</v>
      </c>
      <c r="CI78" s="55" t="str">
        <f t="shared" si="155"/>
        <v>IO2006-P-4100.CFE</v>
      </c>
      <c r="CK78" s="17" t="s">
        <v>323</v>
      </c>
      <c r="CL78" s="17"/>
    </row>
    <row r="79" spans="2:90">
      <c r="B79" t="s">
        <v>117</v>
      </c>
      <c r="C79" s="29" t="str">
        <f>IF(MID(B79,8,1)="C","C","P")</f>
        <v>P</v>
      </c>
      <c r="D79" s="125">
        <f>[1]!w_info_strikeprice(B79,"")</f>
        <v>4200</v>
      </c>
      <c r="E79" s="18" t="str">
        <f>[1]!w_info_lasttradingdate(B79)</f>
        <v>2020-06-19</v>
      </c>
      <c r="F79" s="4">
        <f>IF(G79&gt;0,RTD("wdf.rtq",,$B79,F$5),0)</f>
        <v>0</v>
      </c>
      <c r="G79" s="73">
        <f>RTD("wdf.rtq",,$B79,G$5)</f>
        <v>0</v>
      </c>
      <c r="H79" s="4">
        <f>RTD("wdf.rtq",,$B79,H$5)</f>
        <v>0</v>
      </c>
      <c r="I79" s="73">
        <f>RTD("wdf.rtq",,$B79,I$5)</f>
        <v>0</v>
      </c>
      <c r="J79" s="4">
        <f>RTD("wdf.rtq",,$B79,J$5)</f>
        <v>0</v>
      </c>
      <c r="K79" s="73">
        <f>RTD("wdf.rtq",,$B79,K$5)</f>
        <v>0</v>
      </c>
      <c r="L79" s="4">
        <f>[1]!s_dq_presettle(B79,"")</f>
        <v>562.4</v>
      </c>
      <c r="M79" s="6">
        <f>IF(C79="P",MAX($F$2-D79,0),MAX(0,D79-$F$2))</f>
        <v>0</v>
      </c>
      <c r="N79" s="3">
        <f>H$2*I$2*F79</f>
        <v>0</v>
      </c>
      <c r="O79" s="6">
        <f>($F$2*$O$2-M79)*H$2</f>
        <v>37243.200000000004</v>
      </c>
      <c r="P79" s="3">
        <f>$O$2*$P$2*D79*H$2</f>
        <v>21000</v>
      </c>
      <c r="Q79" s="6">
        <f>I$2*(N79+MAX(O79,P79))*$Q$2+0.01</f>
        <v>37243.210000000006</v>
      </c>
      <c r="R79" s="75">
        <f ca="1">IF(NOW()-TODAY()&gt;15/24, G79, [1]!s_dq_volume(B79,R$2,1))/$I$2</f>
        <v>1</v>
      </c>
      <c r="S79" s="78">
        <f>IF(C79="C",MAX($F$2-D79,0),MAX(D79-$F$2,0))</f>
        <v>475.67999999999984</v>
      </c>
      <c r="T79" s="78">
        <f>F79-S79</f>
        <v>-475.67999999999984</v>
      </c>
      <c r="AB79" s="17" t="s">
        <v>198</v>
      </c>
      <c r="AC79" s="29" t="str">
        <f>IF([1]!w_info_callput(AB79)="认购","C","P")</f>
        <v>P</v>
      </c>
      <c r="AD79" s="31">
        <f>[1]!w_info_strikeprice(AB79,"")</f>
        <v>4.2</v>
      </c>
      <c r="AE79" s="18" t="str">
        <f>[1]!w_info_lasttradingdate(AB79)</f>
        <v>2020-06-24</v>
      </c>
      <c r="AF79" s="15">
        <f>RTD("wdf.rtq",,$AB79,F$5)</f>
        <v>0.53770000000000007</v>
      </c>
      <c r="AG79" s="73">
        <f>RTD("wdf.rtq",,$AB79,G$5)</f>
        <v>7</v>
      </c>
      <c r="AH79" s="15">
        <f>RTD("wdf.rtq",,$AB79,H$5)</f>
        <v>0.52460000000000007</v>
      </c>
      <c r="AI79" s="73">
        <f>RTD("wdf.rtq",,$AB79,I$5)</f>
        <v>17</v>
      </c>
      <c r="AJ79" s="15">
        <f>RTD("wdf.rtq",,$AB79,J$5)</f>
        <v>0.5665</v>
      </c>
      <c r="AK79" s="77">
        <f>RTD("wdf.rtq",,$AB79,K$5)</f>
        <v>10</v>
      </c>
      <c r="AL79" s="15">
        <f>[1]!s_dq_presettle(AB79,"")</f>
        <v>0.5292</v>
      </c>
      <c r="AM79" s="15">
        <f>IF(AC79="P",MAX($AF$2-AD79,0),MAX(0,AD79-$AF$2))</f>
        <v>0</v>
      </c>
      <c r="AN79" s="3">
        <f>AH$2*AI$2*AF79</f>
        <v>53770.000000000007</v>
      </c>
      <c r="AO79" s="15">
        <f>$AO$2*$AF$2-AM79</f>
        <v>0.44531999999999999</v>
      </c>
      <c r="AP79" s="14">
        <f>IF(AC79="C",$AP$2*AF79,$AP$2*AD79)</f>
        <v>0.29400000000000004</v>
      </c>
      <c r="AQ79" s="8">
        <f>AH$2*AI$2*IF(AC79="C", MAX(AO79,AP79)+AF79, MIN(AF79+MAX(AO79,AP79),AD79) )*$AQ$2+0.01</f>
        <v>117962.40999999999</v>
      </c>
      <c r="AR79" s="78">
        <f ca="1">IF(NOW()-TODAY()&gt;15/24, AG79, [1]!s_dq_volume(AB79,AR$2,1))/AI$2</f>
        <v>6.1</v>
      </c>
      <c r="AS79" s="122">
        <f>IF(AC79="C",MAX($AF$2-AD79,0),MAX(AD79-$AF$2,0))</f>
        <v>0.48899999999999988</v>
      </c>
      <c r="AT79" s="122">
        <f>AF79-AS79</f>
        <v>4.8700000000000188E-2</v>
      </c>
      <c r="AV79" s="49">
        <f t="shared" ca="1" si="81"/>
        <v>-1349.3009722776624</v>
      </c>
      <c r="AY79" s="10"/>
      <c r="AZ79" s="10"/>
      <c r="BA79" s="6">
        <f>IF(AND(F79&gt;0,AF79&gt;0),(H$2*I$2*F79-AH$2*AI$2*AF79)-2*$I$2*$J$2-2*$AI$2*$AJ$2-AV79,0)</f>
        <v>0</v>
      </c>
      <c r="BB79" s="6">
        <f>IF(AND(H79&gt;0,AJ79&gt;0),H$2*I$2*H79-AH$2*AI$2*AJ79-2*$I$2*$J$2-2*$AI$2*$AJ$2-AV79,0)</f>
        <v>0</v>
      </c>
      <c r="BC79" s="6">
        <f>IF(AND(J79&gt;0,AH79&gt;0),H$2*I$2*J79-AH$2*AI$2*AH79-2*$I$2*$J$2-2*$AI$2*$AJ$2-H$2*I$2*$BC$2-AH$2*AI$2*$BC$3-AV79,0)</f>
        <v>0</v>
      </c>
      <c r="BD79" s="12">
        <f>IF(AND(J79&gt;0,AH79&gt;0),H$2*I$2*J79-AH$2*AI$2*AH79-2*$I$2*$J$2-2*$AI$2*$AJ$2-AV79,0)</f>
        <v>0</v>
      </c>
      <c r="BE79" s="2">
        <f>BA79/(Q79+AH$2*AI$2*AF79)</f>
        <v>0</v>
      </c>
      <c r="BF79" s="2">
        <f>BB79/(Q79+AH$2*AI$2*AJ79)</f>
        <v>0</v>
      </c>
      <c r="BG79" s="2">
        <f>BC79/(Q79+AH$2*AI$2*(AH79+$BC$3))</f>
        <v>0</v>
      </c>
      <c r="BH79" s="13">
        <f>BD79/(Q79+AH$2*AI$2*AH79)</f>
        <v>0</v>
      </c>
      <c r="BI79" s="2">
        <f ca="1">BE79*365/(AE79+1-TODAY())</f>
        <v>0</v>
      </c>
      <c r="BJ79" s="2">
        <f ca="1">BF79*365/(AE79+1-TODAY())</f>
        <v>0</v>
      </c>
      <c r="BK79" s="2">
        <f ca="1">BG79*365/(AE79+1-TODAY())</f>
        <v>0</v>
      </c>
      <c r="BL79" s="56">
        <f ca="1">BH79*365/(AE79+1-TODAY())</f>
        <v>0</v>
      </c>
      <c r="BN79" s="6">
        <f>IF(AND(F79&gt;0,AF79&gt;0),-H$2*I$2*F79+AH$2*AI$2*AF79-2*$I$2*$J$2-2*$AI$2*$AJ$2+AV79,0)</f>
        <v>0</v>
      </c>
      <c r="BO79" s="6">
        <f>IF(AND(J79&gt;0,AH79&gt;0),-H$2*I$2*J79+AH$2*AI$2*AH79-2*$I$2*$J$2-2*$AI$2*$AJ$2+AV79,0)</f>
        <v>0</v>
      </c>
      <c r="BP79" s="6">
        <f>IF(AND(H79&gt;0,AJ79&gt;0),-H$2*I$2*H79+AH$2*AI$2*AJ79-2*$I$2*$J$2-2*$AI$2*$AJ$2-H$2*I$2*$BC$2-AH$2*AI$2*$BC$3+AV79,0)</f>
        <v>0</v>
      </c>
      <c r="BQ79" s="12">
        <f>IF(AND(H79&gt;0,AJ79&gt;0),-H$2*I$2*H79+AH$2*AI$2*AJ79-2*$I$2*$J$2-2*$AI$2*$AJ$2+AV79,0)</f>
        <v>0</v>
      </c>
      <c r="BR79" s="2">
        <f>BN79/(AQ79+H$2*I$2*F79)</f>
        <v>0</v>
      </c>
      <c r="BS79" s="2">
        <f>BO79/(AQ79+H$2*I$2*J79)</f>
        <v>0</v>
      </c>
      <c r="BT79" s="2">
        <f>BP79/(AQ79+H$2*I$2*(H79+$BP$3))</f>
        <v>0</v>
      </c>
      <c r="BU79" s="13">
        <f>BQ79/(AQ79+H$2*I$2*H79)</f>
        <v>0</v>
      </c>
      <c r="BV79" s="2">
        <f ca="1">BR79*365/(AE79+1-TODAY())</f>
        <v>0</v>
      </c>
      <c r="BW79" s="2">
        <f ca="1">BS79*365/(AE79+1-TODAY())</f>
        <v>0</v>
      </c>
      <c r="BX79" s="2">
        <f ca="1">BT79*365/(AE79+1-TODAY())</f>
        <v>0</v>
      </c>
      <c r="BY79" s="13">
        <f ca="1">BU79*365/(AE79+1-TODAY())</f>
        <v>0</v>
      </c>
      <c r="CB79" s="17" t="s">
        <v>278</v>
      </c>
      <c r="CC79" s="123" t="b">
        <f t="shared" si="78"/>
        <v>1</v>
      </c>
      <c r="CD79" s="17" t="s">
        <v>198</v>
      </c>
      <c r="CE79" s="138" t="str">
        <f>IF([1]!w_info_callput(CD79)="认购","C","P")</f>
        <v>P</v>
      </c>
      <c r="CF79" s="139">
        <f>[1]!w_info_strikeprice(CD79,"")</f>
        <v>4.2</v>
      </c>
      <c r="CG79" s="140" t="str">
        <f>[1]!w_info_lasttradingdate(CD79)</f>
        <v>2020-06-24</v>
      </c>
      <c r="CH79" s="55" t="str">
        <f t="shared" si="154"/>
        <v>IO2006-P-4200.CFE</v>
      </c>
      <c r="CI79" s="55" t="str">
        <f t="shared" si="155"/>
        <v>IO2006-P-4200.CFE</v>
      </c>
      <c r="CK79" s="17" t="s">
        <v>324</v>
      </c>
      <c r="CL79" s="17"/>
    </row>
    <row r="80" spans="2:90">
      <c r="B80" t="s">
        <v>118</v>
      </c>
      <c r="C80" s="29" t="str">
        <f>IF(MID(B80,8,1)="C","C","P")</f>
        <v>P</v>
      </c>
      <c r="D80" s="125">
        <f>[1]!w_info_strikeprice(B80,"")</f>
        <v>4300</v>
      </c>
      <c r="E80" s="18" t="str">
        <f>[1]!w_info_lasttradingdate(B80)</f>
        <v>2020-06-19</v>
      </c>
      <c r="F80" s="4">
        <f>IF(G80&gt;0,RTD("wdf.rtq",,$B80,F$5),0)</f>
        <v>0</v>
      </c>
      <c r="G80" s="73">
        <f>RTD("wdf.rtq",,$B80,G$5)</f>
        <v>0</v>
      </c>
      <c r="H80" s="4">
        <f>RTD("wdf.rtq",,$B80,H$5)</f>
        <v>0</v>
      </c>
      <c r="I80" s="73">
        <f>RTD("wdf.rtq",,$B80,I$5)</f>
        <v>0</v>
      </c>
      <c r="J80" s="4">
        <f>RTD("wdf.rtq",,$B80,J$5)</f>
        <v>0</v>
      </c>
      <c r="K80" s="73">
        <f>RTD("wdf.rtq",,$B80,K$5)</f>
        <v>0</v>
      </c>
      <c r="L80" s="4">
        <f>[1]!s_dq_presettle(B80,"")</f>
        <v>649.4</v>
      </c>
      <c r="M80" s="6">
        <f>IF(C80="P",MAX($F$2-D80,0),MAX(0,D80-$F$2))</f>
        <v>0</v>
      </c>
      <c r="N80" s="3">
        <f>H$2*I$2*F80</f>
        <v>0</v>
      </c>
      <c r="O80" s="6">
        <f>($F$2*$O$2-M80)*H$2</f>
        <v>37243.200000000004</v>
      </c>
      <c r="P80" s="3">
        <f>$O$2*$P$2*D80*H$2</f>
        <v>21500</v>
      </c>
      <c r="Q80" s="6">
        <f>I$2*(N80+MAX(O80,P80))*$Q$2+0.01</f>
        <v>37243.210000000006</v>
      </c>
      <c r="R80" s="75">
        <f ca="1">IF(NOW()-TODAY()&gt;15/24, G80, [1]!s_dq_volume(B80,R$2,1))/$I$2</f>
        <v>0</v>
      </c>
      <c r="S80" s="78">
        <f>IF(C80="C",MAX($F$2-D80,0),MAX(D80-$F$2,0))</f>
        <v>575.67999999999984</v>
      </c>
      <c r="T80" s="78">
        <f>F80-S80</f>
        <v>-575.67999999999984</v>
      </c>
      <c r="AB80" s="17" t="s">
        <v>199</v>
      </c>
      <c r="AC80" s="29" t="str">
        <f>IF([1]!w_info_callput(AB80)="认购","C","P")</f>
        <v>P</v>
      </c>
      <c r="AD80" s="31">
        <f>[1]!w_info_strikeprice(AB80,"")</f>
        <v>4.3</v>
      </c>
      <c r="AE80" s="18" t="str">
        <f>[1]!w_info_lasttradingdate(AB80)</f>
        <v>2020-06-24</v>
      </c>
      <c r="AF80" s="15">
        <f>RTD("wdf.rtq",,$AB80,F$5)</f>
        <v>0.62080000000000002</v>
      </c>
      <c r="AG80" s="73">
        <f>RTD("wdf.rtq",,$AB80,G$5)</f>
        <v>2</v>
      </c>
      <c r="AH80" s="15">
        <f>RTD("wdf.rtq",,$AB80,H$5)</f>
        <v>0.61030000000000006</v>
      </c>
      <c r="AI80" s="73">
        <f>RTD("wdf.rtq",,$AB80,I$5)</f>
        <v>17</v>
      </c>
      <c r="AJ80" s="15">
        <f>RTD("wdf.rtq",,$AB80,J$5)</f>
        <v>0.65910000000000002</v>
      </c>
      <c r="AK80" s="77">
        <f>RTD("wdf.rtq",,$AB80,K$5)</f>
        <v>10</v>
      </c>
      <c r="AL80" s="15">
        <f>[1]!s_dq_presettle(AB80,"")</f>
        <v>0.61529999999999996</v>
      </c>
      <c r="AM80" s="15">
        <f>IF(AC80="P",MAX($AF$2-AD80,0),MAX(0,AD80-$AF$2))</f>
        <v>0</v>
      </c>
      <c r="AN80" s="3">
        <f>AH$2*AI$2*AF80</f>
        <v>62080</v>
      </c>
      <c r="AO80" s="15">
        <f>$AO$2*$AF$2-AM80</f>
        <v>0.44531999999999999</v>
      </c>
      <c r="AP80" s="14">
        <f>IF(AC80="C",$AP$2*AF80,$AP$2*AD80)</f>
        <v>0.30099999999999999</v>
      </c>
      <c r="AQ80" s="8">
        <f>AH$2*AI$2*IF(AC80="C", MAX(AO80,AP80)+AF80, MIN(AF80+MAX(AO80,AP80),AD80) )*$AQ$2+0.01</f>
        <v>127934.40999999999</v>
      </c>
      <c r="AR80" s="78">
        <f ca="1">IF(NOW()-TODAY()&gt;15/24, AG80, [1]!s_dq_volume(AB80,AR$2,1))/AI$2</f>
        <v>6.6</v>
      </c>
      <c r="AS80" s="122">
        <f>IF(AC80="C",MAX($AF$2-AD80,0),MAX(AD80-$AF$2,0))</f>
        <v>0.58899999999999952</v>
      </c>
      <c r="AT80" s="122">
        <f>AF80-AS80</f>
        <v>3.1800000000000495E-2</v>
      </c>
      <c r="AV80" s="49">
        <f t="shared" ca="1" si="81"/>
        <v>-1349.3009722776187</v>
      </c>
      <c r="AY80" s="10"/>
      <c r="AZ80" s="10"/>
      <c r="BA80" s="6">
        <f>IF(AND(F80&gt;0,AF80&gt;0),(H$2*I$2*F80-AH$2*AI$2*AF80)-2*$I$2*$J$2-2*$AI$2*$AJ$2-AV80,0)</f>
        <v>0</v>
      </c>
      <c r="BB80" s="6">
        <f>IF(AND(H80&gt;0,AJ80&gt;0),H$2*I$2*H80-AH$2*AI$2*AJ80-2*$I$2*$J$2-2*$AI$2*$AJ$2-AV80,0)</f>
        <v>0</v>
      </c>
      <c r="BC80" s="6">
        <f>IF(AND(J80&gt;0,AH80&gt;0),H$2*I$2*J80-AH$2*AI$2*AH80-2*$I$2*$J$2-2*$AI$2*$AJ$2-H$2*I$2*$BC$2-AH$2*AI$2*$BC$3-AV80,0)</f>
        <v>0</v>
      </c>
      <c r="BD80" s="12">
        <f>IF(AND(J80&gt;0,AH80&gt;0),H$2*I$2*J80-AH$2*AI$2*AH80-2*$I$2*$J$2-2*$AI$2*$AJ$2-AV80,0)</f>
        <v>0</v>
      </c>
      <c r="BE80" s="2">
        <f>BA80/(Q80+AH$2*AI$2*AF80)</f>
        <v>0</v>
      </c>
      <c r="BF80" s="2">
        <f>BB80/(Q80+AH$2*AI$2*AJ80)</f>
        <v>0</v>
      </c>
      <c r="BG80" s="2">
        <f>BC80/(Q80+AH$2*AI$2*(AH80+$BC$3))</f>
        <v>0</v>
      </c>
      <c r="BH80" s="13">
        <f>BD80/(Q80+AH$2*AI$2*AH80)</f>
        <v>0</v>
      </c>
      <c r="BI80" s="2">
        <f ca="1">BE80*365/(AE80+1-TODAY())</f>
        <v>0</v>
      </c>
      <c r="BJ80" s="2">
        <f ca="1">BF80*365/(AE80+1-TODAY())</f>
        <v>0</v>
      </c>
      <c r="BK80" s="2">
        <f ca="1">BG80*365/(AE80+1-TODAY())</f>
        <v>0</v>
      </c>
      <c r="BL80" s="56">
        <f ca="1">BH80*365/(AE80+1-TODAY())</f>
        <v>0</v>
      </c>
      <c r="BN80" s="6">
        <f>IF(AND(F80&gt;0,AF80&gt;0),-H$2*I$2*F80+AH$2*AI$2*AF80-2*$I$2*$J$2-2*$AI$2*$AJ$2+AV80,0)</f>
        <v>0</v>
      </c>
      <c r="BO80" s="6">
        <f>IF(AND(J80&gt;0,AH80&gt;0),-H$2*I$2*J80+AH$2*AI$2*AH80-2*$I$2*$J$2-2*$AI$2*$AJ$2+AV80,0)</f>
        <v>0</v>
      </c>
      <c r="BP80" s="6">
        <f>IF(AND(H80&gt;0,AJ80&gt;0),-H$2*I$2*H80+AH$2*AI$2*AJ80-2*$I$2*$J$2-2*$AI$2*$AJ$2-H$2*I$2*$BC$2-AH$2*AI$2*$BC$3+AV80,0)</f>
        <v>0</v>
      </c>
      <c r="BQ80" s="12">
        <f>IF(AND(H80&gt;0,AJ80&gt;0),-H$2*I$2*H80+AH$2*AI$2*AJ80-2*$I$2*$J$2-2*$AI$2*$AJ$2+AV80,0)</f>
        <v>0</v>
      </c>
      <c r="BR80" s="2">
        <f>BN80/(AQ80+H$2*I$2*F80)</f>
        <v>0</v>
      </c>
      <c r="BS80" s="2">
        <f>BO80/(AQ80+H$2*I$2*J80)</f>
        <v>0</v>
      </c>
      <c r="BT80" s="2">
        <f>BP80/(AQ80+H$2*I$2*(H80+$BP$3))</f>
        <v>0</v>
      </c>
      <c r="BU80" s="13">
        <f>BQ80/(AQ80+H$2*I$2*H80)</f>
        <v>0</v>
      </c>
      <c r="BV80" s="2">
        <f ca="1">BR80*365/(AE80+1-TODAY())</f>
        <v>0</v>
      </c>
      <c r="BW80" s="2">
        <f ca="1">BS80*365/(AE80+1-TODAY())</f>
        <v>0</v>
      </c>
      <c r="BX80" s="2">
        <f ca="1">BT80*365/(AE80+1-TODAY())</f>
        <v>0</v>
      </c>
      <c r="BY80" s="13">
        <f ca="1">BU80*365/(AE80+1-TODAY())</f>
        <v>0</v>
      </c>
      <c r="CB80" s="17" t="s">
        <v>279</v>
      </c>
      <c r="CC80" s="123" t="b">
        <f t="shared" si="78"/>
        <v>1</v>
      </c>
      <c r="CD80" s="17" t="s">
        <v>199</v>
      </c>
      <c r="CE80" s="138" t="str">
        <f>IF([1]!w_info_callput(CD80)="认购","C","P")</f>
        <v>P</v>
      </c>
      <c r="CF80" s="139">
        <f>[1]!w_info_strikeprice(CD80,"")</f>
        <v>4.3</v>
      </c>
      <c r="CG80" s="140" t="str">
        <f>[1]!w_info_lasttradingdate(CD80)</f>
        <v>2020-06-24</v>
      </c>
      <c r="CH80" s="55" t="str">
        <f t="shared" si="154"/>
        <v>IO2006-P-4300.CFE</v>
      </c>
      <c r="CI80" s="55" t="str">
        <f t="shared" si="155"/>
        <v>IO2006-P-4300.CFE</v>
      </c>
      <c r="CK80" s="17" t="s">
        <v>325</v>
      </c>
      <c r="CL80" s="17"/>
    </row>
    <row r="81" spans="1:90">
      <c r="B81" t="s">
        <v>119</v>
      </c>
      <c r="C81" s="29" t="str">
        <f>IF(MID(B81,8,1)="C","C","P")</f>
        <v>P</v>
      </c>
      <c r="D81" s="125">
        <f>[1]!w_info_strikeprice(B81,"")</f>
        <v>4400</v>
      </c>
      <c r="E81" s="18" t="str">
        <f>[1]!w_info_lasttradingdate(B81)</f>
        <v>2020-06-19</v>
      </c>
      <c r="F81" s="4">
        <f>IF(G81&gt;0,RTD("wdf.rtq",,$B81,F$5),0)</f>
        <v>0</v>
      </c>
      <c r="G81" s="73">
        <f>RTD("wdf.rtq",,$B81,G$5)</f>
        <v>0</v>
      </c>
      <c r="H81" s="4">
        <f>RTD("wdf.rtq",,$B81,H$5)</f>
        <v>411</v>
      </c>
      <c r="I81" s="73">
        <f>RTD("wdf.rtq",,$B81,I$5)</f>
        <v>1</v>
      </c>
      <c r="J81" s="4">
        <f>RTD("wdf.rtq",,$B81,J$5)</f>
        <v>0</v>
      </c>
      <c r="K81" s="73">
        <f>RTD("wdf.rtq",,$B81,K$5)</f>
        <v>0</v>
      </c>
      <c r="L81" s="4">
        <f>[1]!s_dq_presettle(B81,"")</f>
        <v>743.6</v>
      </c>
      <c r="M81" s="6">
        <f>IF(C81="P",MAX($F$2-D81,0),MAX(0,D81-$F$2))</f>
        <v>0</v>
      </c>
      <c r="N81" s="3">
        <f>H$2*I$2*F81</f>
        <v>0</v>
      </c>
      <c r="O81" s="6">
        <f>($F$2*$O$2-M81)*H$2</f>
        <v>37243.200000000004</v>
      </c>
      <c r="P81" s="3">
        <f>$O$2*$P$2*D81*H$2</f>
        <v>22000</v>
      </c>
      <c r="Q81" s="6">
        <f>I$2*(N81+MAX(O81,P81))*$Q$2+0.01</f>
        <v>37243.210000000006</v>
      </c>
      <c r="R81" s="75">
        <f ca="1">IF(NOW()-TODAY()&gt;15/24, G81, [1]!s_dq_volume(B81,R$2,1))/$I$2</f>
        <v>0</v>
      </c>
      <c r="S81" s="78">
        <f>IF(C81="C",MAX($F$2-D81,0),MAX(D81-$F$2,0))</f>
        <v>675.67999999999984</v>
      </c>
      <c r="T81" s="78">
        <f>F81-S81</f>
        <v>-675.67999999999984</v>
      </c>
      <c r="AB81" s="17" t="s">
        <v>200</v>
      </c>
      <c r="AC81" s="29" t="str">
        <f>IF([1]!w_info_callput(AB81)="认购","C","P")</f>
        <v>P</v>
      </c>
      <c r="AD81" s="31">
        <f>[1]!w_info_strikeprice(AB81,"")</f>
        <v>4.4000000000000004</v>
      </c>
      <c r="AE81" s="18" t="str">
        <f>[1]!w_info_lasttradingdate(AB81)</f>
        <v>2020-06-24</v>
      </c>
      <c r="AF81" s="15">
        <f>RTD("wdf.rtq",,$AB81,F$5)</f>
        <v>0.71660000000000001</v>
      </c>
      <c r="AG81" s="73">
        <f>RTD("wdf.rtq",,$AB81,G$5)</f>
        <v>0</v>
      </c>
      <c r="AH81" s="15">
        <f>RTD("wdf.rtq",,$AB81,H$5)</f>
        <v>0.69130000000000003</v>
      </c>
      <c r="AI81" s="73">
        <f>RTD("wdf.rtq",,$AB81,I$5)</f>
        <v>15</v>
      </c>
      <c r="AJ81" s="15">
        <f>RTD("wdf.rtq",,$AB81,J$5)</f>
        <v>0.74660000000000004</v>
      </c>
      <c r="AK81" s="77">
        <f>RTD("wdf.rtq",,$AB81,K$5)</f>
        <v>10</v>
      </c>
      <c r="AL81" s="15">
        <f>[1]!s_dq_presettle(AB81,"")</f>
        <v>0.70269999999999999</v>
      </c>
      <c r="AM81" s="15">
        <f>IF(AC81="P",MAX($AF$2-AD81,0),MAX(0,AD81-$AF$2))</f>
        <v>0</v>
      </c>
      <c r="AN81" s="3">
        <f>AH$2*AI$2*AF81</f>
        <v>71660</v>
      </c>
      <c r="AO81" s="15">
        <f>$AO$2*$AF$2-AM81</f>
        <v>0.44531999999999999</v>
      </c>
      <c r="AP81" s="14">
        <f>IF(AC81="C",$AP$2*AF81,$AP$2*AD81)</f>
        <v>0.30800000000000005</v>
      </c>
      <c r="AQ81" s="8">
        <f>AH$2*AI$2*IF(AC81="C", MAX(AO81,AP81)+AF81, MIN(AF81+MAX(AO81,AP81),AD81) )*$AQ$2+0.01</f>
        <v>139430.41</v>
      </c>
      <c r="AR81" s="78">
        <f ca="1">IF(NOW()-TODAY()&gt;15/24, AG81, [1]!s_dq_volume(AB81,AR$2,1))/AI$2</f>
        <v>7.1</v>
      </c>
      <c r="AS81" s="122">
        <f>IF(AC81="C",MAX($AF$2-AD81,0),MAX(AD81-$AF$2,0))</f>
        <v>0.68900000000000006</v>
      </c>
      <c r="AT81" s="122">
        <f>AF81-AS81</f>
        <v>2.7599999999999958E-2</v>
      </c>
      <c r="AV81" s="49">
        <f t="shared" ca="1" si="81"/>
        <v>-1349.3009722776769</v>
      </c>
      <c r="AY81" s="10"/>
      <c r="AZ81" s="10"/>
      <c r="BA81" s="6">
        <f>IF(AND(F81&gt;0,AF81&gt;0),(H$2*I$2*F81-AH$2*AI$2*AF81)-2*$I$2*$J$2-2*$AI$2*$AJ$2-AV81,0)</f>
        <v>0</v>
      </c>
      <c r="BB81" s="6">
        <f ca="1">IF(AND(H81&gt;0,AJ81&gt;0),H$2*I$2*H81-AH$2*AI$2*AJ81-2*$I$2*$J$2-2*$AI$2*$AJ$2-AV81,0)</f>
        <v>-32289.699027722323</v>
      </c>
      <c r="BC81" s="6">
        <f>IF(AND(J81&gt;0,AH81&gt;0),H$2*I$2*J81-AH$2*AI$2*AH81-2*$I$2*$J$2-2*$AI$2*$AJ$2-H$2*I$2*$BC$2-AH$2*AI$2*$BC$3-AV81,0)</f>
        <v>0</v>
      </c>
      <c r="BD81" s="12">
        <f>IF(AND(J81&gt;0,AH81&gt;0),H$2*I$2*J81-AH$2*AI$2*AH81-2*$I$2*$J$2-2*$AI$2*$AJ$2-AV81,0)</f>
        <v>0</v>
      </c>
      <c r="BE81" s="2">
        <f>BA81/(Q81+AH$2*AI$2*AF81)</f>
        <v>0</v>
      </c>
      <c r="BF81" s="2">
        <f ca="1">BB81/(Q81+AH$2*AI$2*AJ81)</f>
        <v>-0.28855024827011061</v>
      </c>
      <c r="BG81" s="2">
        <f>BC81/(Q81+AH$2*AI$2*(AH81+$BC$3))</f>
        <v>0</v>
      </c>
      <c r="BH81" s="13">
        <f>BD81/(Q81+AH$2*AI$2*AH81)</f>
        <v>0</v>
      </c>
      <c r="BI81" s="2">
        <f ca="1">BE81*365/(AE81+1-TODAY())</f>
        <v>0</v>
      </c>
      <c r="BJ81" s="2">
        <f ca="1">BF81*365/(AE81+1-TODAY())</f>
        <v>-1.2689257905854261</v>
      </c>
      <c r="BK81" s="2">
        <f ca="1">BG81*365/(AE81+1-TODAY())</f>
        <v>0</v>
      </c>
      <c r="BL81" s="56">
        <f ca="1">BH81*365/(AE81+1-TODAY())</f>
        <v>0</v>
      </c>
      <c r="BN81" s="6">
        <f>IF(AND(F81&gt;0,AF81&gt;0),-H$2*I$2*F81+AH$2*AI$2*AF81-2*$I$2*$J$2-2*$AI$2*$AJ$2+AV81,0)</f>
        <v>0</v>
      </c>
      <c r="BO81" s="6">
        <f>IF(AND(J81&gt;0,AH81&gt;0),-H$2*I$2*J81+AH$2*AI$2*AH81-2*$I$2*$J$2-2*$AI$2*$AJ$2+AV81,0)</f>
        <v>0</v>
      </c>
      <c r="BP81" s="6">
        <f ca="1">IF(AND(H81&gt;0,AJ81&gt;0),-H$2*I$2*H81+AH$2*AI$2*AJ81-2*$I$2*$J$2-2*$AI$2*$AJ$2-H$2*I$2*$BC$2-AH$2*AI$2*$BC$3+AV81,0)</f>
        <v>32071.699027722323</v>
      </c>
      <c r="BQ81" s="12">
        <f ca="1">IF(AND(H81&gt;0,AJ81&gt;0),-H$2*I$2*H81+AH$2*AI$2*AJ81-2*$I$2*$J$2-2*$AI$2*$AJ$2+AV81,0)</f>
        <v>32131.699027722323</v>
      </c>
      <c r="BR81" s="2">
        <f>BN81/(AQ81+H$2*I$2*F81)</f>
        <v>0</v>
      </c>
      <c r="BS81" s="2">
        <f>BO81/(AQ81+H$2*I$2*J81)</f>
        <v>0</v>
      </c>
      <c r="BT81" s="2">
        <f ca="1">BP81/(AQ81+H$2*I$2*(H81+$BP$3))</f>
        <v>0.17765259312639051</v>
      </c>
      <c r="BU81" s="13">
        <f ca="1">BQ81/(AQ81+H$2*I$2*H81)</f>
        <v>0.17798496678605186</v>
      </c>
      <c r="BV81" s="2">
        <f ca="1">BR81*365/(AE81+1-TODAY())</f>
        <v>0</v>
      </c>
      <c r="BW81" s="2">
        <f ca="1">BS81*365/(AE81+1-TODAY())</f>
        <v>0</v>
      </c>
      <c r="BX81" s="2">
        <f ca="1">BT81*365/(AE81+1-TODAY())</f>
        <v>0.78124333121846423</v>
      </c>
      <c r="BY81" s="13">
        <f ca="1">BU81*365/(AE81+1-TODAY())</f>
        <v>0.78270497442058951</v>
      </c>
      <c r="CB81" s="17" t="s">
        <v>280</v>
      </c>
      <c r="CC81" s="123" t="b">
        <f t="shared" si="78"/>
        <v>1</v>
      </c>
      <c r="CD81" s="17" t="s">
        <v>200</v>
      </c>
      <c r="CE81" s="138" t="str">
        <f>IF([1]!w_info_callput(CD81)="认购","C","P")</f>
        <v>P</v>
      </c>
      <c r="CF81" s="139">
        <f>[1]!w_info_strikeprice(CD81,"")</f>
        <v>4.4000000000000004</v>
      </c>
      <c r="CG81" s="140" t="str">
        <f>[1]!w_info_lasttradingdate(CD81)</f>
        <v>2020-06-24</v>
      </c>
      <c r="CH81" s="55" t="str">
        <f t="shared" si="154"/>
        <v>IO2006-P-4400.CFE</v>
      </c>
      <c r="CI81" s="55" t="str">
        <f t="shared" si="155"/>
        <v>IO2006-P-4400.CFE</v>
      </c>
      <c r="CK81" s="17" t="s">
        <v>326</v>
      </c>
      <c r="CL81" s="17"/>
    </row>
    <row r="82" spans="1:90">
      <c r="B82" t="s">
        <v>120</v>
      </c>
      <c r="C82" s="29" t="str">
        <f t="shared" ref="C82:C95" si="156">IF(MID(B82,8,1)="C","C","P")</f>
        <v>P</v>
      </c>
      <c r="D82" s="125">
        <f>[1]!w_info_strikeprice(B82,"")</f>
        <v>4500</v>
      </c>
      <c r="E82" s="18" t="str">
        <f>[1]!w_info_lasttradingdate(B82)</f>
        <v>2020-06-19</v>
      </c>
      <c r="F82" s="4">
        <f>IF(G82&gt;0,RTD("wdf.rtq",,$B82,F$5),0)</f>
        <v>0</v>
      </c>
      <c r="G82" s="73">
        <f>RTD("wdf.rtq",,$B82,G$5)</f>
        <v>0</v>
      </c>
      <c r="H82" s="4">
        <f>RTD("wdf.rtq",,$B82,H$5)</f>
        <v>0</v>
      </c>
      <c r="I82" s="73">
        <f>RTD("wdf.rtq",,$B82,I$5)</f>
        <v>0</v>
      </c>
      <c r="J82" s="4">
        <f>RTD("wdf.rtq",,$B82,J$5)</f>
        <v>0</v>
      </c>
      <c r="K82" s="73">
        <f>RTD("wdf.rtq",,$B82,K$5)</f>
        <v>0</v>
      </c>
      <c r="L82" s="4">
        <f>[1]!s_dq_presettle(B82,"")</f>
        <v>859.6</v>
      </c>
      <c r="M82" s="6">
        <f t="shared" ref="M82:M95" si="157">IF(C82="P",MAX($F$2-D82,0),MAX(0,D82-$F$2))</f>
        <v>0</v>
      </c>
      <c r="N82" s="3">
        <f t="shared" ref="N82:N95" si="158">H$2*I$2*F82</f>
        <v>0</v>
      </c>
      <c r="O82" s="6">
        <f t="shared" ref="O82:O95" si="159">($F$2*$O$2-M82)*H$2</f>
        <v>37243.200000000004</v>
      </c>
      <c r="P82" s="3">
        <f t="shared" ref="P82:P95" si="160">$O$2*$P$2*D82*H$2</f>
        <v>22500</v>
      </c>
      <c r="Q82" s="6">
        <f t="shared" ref="Q82:Q95" si="161">I$2*(N82+MAX(O82,P82))*$Q$2+0.01</f>
        <v>37243.210000000006</v>
      </c>
      <c r="R82" s="75">
        <f ca="1">IF(NOW()-TODAY()&gt;15/24, G82, [1]!s_dq_volume(B82,R$2,1))/$I$2</f>
        <v>0</v>
      </c>
      <c r="S82" s="78">
        <f t="shared" ref="S82:S95" si="162">IF(C82="C",MAX($F$2-D82,0),MAX(D82-$F$2,0))</f>
        <v>775.67999999999984</v>
      </c>
      <c r="T82" s="78">
        <f t="shared" ref="T82:T95" si="163">F82-S82</f>
        <v>-775.67999999999984</v>
      </c>
      <c r="AB82" s="17" t="s">
        <v>202</v>
      </c>
      <c r="AC82" s="29" t="str">
        <f>IF([1]!w_info_callput(AB82)="认购","C","P")</f>
        <v>P</v>
      </c>
      <c r="AD82" s="31">
        <f>[1]!w_info_strikeprice(AB82,"")</f>
        <v>4.5</v>
      </c>
      <c r="AE82" s="18" t="str">
        <f>[1]!w_info_lasttradingdate(AB82)</f>
        <v>2020-06-24</v>
      </c>
      <c r="AF82" s="15">
        <f>RTD("wdf.rtq",,$AB82,F$5)</f>
        <v>0.80730000000000002</v>
      </c>
      <c r="AG82" s="73">
        <f>RTD("wdf.rtq",,$AB82,G$5)</f>
        <v>10</v>
      </c>
      <c r="AH82" s="15">
        <f>RTD("wdf.rtq",,$AB82,H$5)</f>
        <v>0.77970000000000006</v>
      </c>
      <c r="AI82" s="73">
        <f>RTD("wdf.rtq",,$AB82,I$5)</f>
        <v>22</v>
      </c>
      <c r="AJ82" s="15">
        <f>RTD("wdf.rtq",,$AB82,J$5)</f>
        <v>0.84200000000000008</v>
      </c>
      <c r="AK82" s="77">
        <f>RTD("wdf.rtq",,$AB82,K$5)</f>
        <v>10</v>
      </c>
      <c r="AL82" s="15">
        <f>[1]!s_dq_presettle(AB82,"")</f>
        <v>0.79700000000000004</v>
      </c>
      <c r="AM82" s="15">
        <f t="shared" ref="AM82:AM95" si="164">IF(AC82="P",MAX($AF$2-AD82,0),MAX(0,AD82-$AF$2))</f>
        <v>0</v>
      </c>
      <c r="AN82" s="3">
        <f t="shared" ref="AN82:AN95" si="165">AH$2*AI$2*AF82</f>
        <v>80730</v>
      </c>
      <c r="AO82" s="15">
        <f t="shared" ref="AO82:AO95" si="166">$AO$2*$AF$2-AM82</f>
        <v>0.44531999999999999</v>
      </c>
      <c r="AP82" s="14">
        <f t="shared" ref="AP82:AP95" si="167">IF(AC82="C",$AP$2*AF82,$AP$2*AD82)</f>
        <v>0.31500000000000006</v>
      </c>
      <c r="AQ82" s="8">
        <f t="shared" ref="AQ82:AQ95" si="168">AH$2*AI$2*IF(AC82="C", MAX(AO82,AP82)+AF82, MIN(AF82+MAX(AO82,AP82),AD82) )*$AQ$2+0.01</f>
        <v>150314.41</v>
      </c>
      <c r="AR82" s="78">
        <f ca="1">IF(NOW()-TODAY()&gt;15/24, AG82, [1]!s_dq_volume(AB82,AR$2,1))/AI$2</f>
        <v>5.2</v>
      </c>
      <c r="AS82" s="122">
        <f t="shared" ref="AS82:AS95" si="169">IF(AC82="C",MAX($AF$2-AD82,0),MAX(AD82-$AF$2,0))</f>
        <v>0.7889999999999997</v>
      </c>
      <c r="AT82" s="122">
        <f t="shared" ref="AT82:AT95" si="170">AF82-AS82</f>
        <v>1.8300000000000316E-2</v>
      </c>
      <c r="AV82" s="49">
        <f t="shared" ref="AV82:AV95" ca="1" si="171">IF(AV$3=1,S82*$H$2*$I$2 - IF(AC82="C",MAX($AF$3-AD82,0),MAX(AD82-$AF$3,0))*$AH$2*$AI$2, AV$3*SIGN(S82*$H$2*$I$2 - IF(AC82="C",MAX($AF$3-AD82,0),MAX(AD82-$AF$3,0))*$AH$2*$AI$2))</f>
        <v>-1349.3009722776333</v>
      </c>
      <c r="AY82" s="10"/>
      <c r="AZ82" s="10"/>
      <c r="BA82" s="6">
        <f t="shared" ref="BA82:BA95" si="172">IF(AND(F82&gt;0,AF82&gt;0),(H$2*I$2*F82-AH$2*AI$2*AF82)-2*$I$2*$J$2-2*$AI$2*$AJ$2-AV82,0)</f>
        <v>0</v>
      </c>
      <c r="BB82" s="6">
        <f t="shared" ref="BB82:BB95" si="173">IF(AND(H82&gt;0,AJ82&gt;0),H$2*I$2*H82-AH$2*AI$2*AJ82-2*$I$2*$J$2-2*$AI$2*$AJ$2-AV82,0)</f>
        <v>0</v>
      </c>
      <c r="BC82" s="6">
        <f t="shared" ref="BC82:BC95" si="174">IF(AND(J82&gt;0,AH82&gt;0),H$2*I$2*J82-AH$2*AI$2*AH82-2*$I$2*$J$2-2*$AI$2*$AJ$2-H$2*I$2*$BC$2-AH$2*AI$2*$BC$3-AV82,0)</f>
        <v>0</v>
      </c>
      <c r="BD82" s="12">
        <f t="shared" ref="BD82:BD95" si="175">IF(AND(J82&gt;0,AH82&gt;0),H$2*I$2*J82-AH$2*AI$2*AH82-2*$I$2*$J$2-2*$AI$2*$AJ$2-AV82,0)</f>
        <v>0</v>
      </c>
      <c r="BE82" s="2">
        <f t="shared" ref="BE82:BE95" si="176">BA82/(Q82+AH$2*AI$2*AF82)</f>
        <v>0</v>
      </c>
      <c r="BF82" s="2">
        <f t="shared" ref="BF82:BF95" si="177">BB82/(Q82+AH$2*AI$2*AJ82)</f>
        <v>0</v>
      </c>
      <c r="BG82" s="2">
        <f t="shared" ref="BG82:BG95" si="178">BC82/(Q82+AH$2*AI$2*(AH82+$BC$3))</f>
        <v>0</v>
      </c>
      <c r="BH82" s="13">
        <f t="shared" ref="BH82:BH95" si="179">BD82/(Q82+AH$2*AI$2*AH82)</f>
        <v>0</v>
      </c>
      <c r="BI82" s="2">
        <f t="shared" ref="BI82:BI95" ca="1" si="180">BE82*365/(AE82+1-TODAY())</f>
        <v>0</v>
      </c>
      <c r="BJ82" s="2">
        <f t="shared" ref="BJ82:BJ95" ca="1" si="181">BF82*365/(AE82+1-TODAY())</f>
        <v>0</v>
      </c>
      <c r="BK82" s="2">
        <f t="shared" ref="BK82:BK95" ca="1" si="182">BG82*365/(AE82+1-TODAY())</f>
        <v>0</v>
      </c>
      <c r="BL82" s="56">
        <f t="shared" ref="BL82:BL95" ca="1" si="183">BH82*365/(AE82+1-TODAY())</f>
        <v>0</v>
      </c>
      <c r="BN82" s="6">
        <f t="shared" ref="BN82:BN95" si="184">IF(AND(F82&gt;0,AF82&gt;0),-H$2*I$2*F82+AH$2*AI$2*AF82-2*$I$2*$J$2-2*$AI$2*$AJ$2+AV82,0)</f>
        <v>0</v>
      </c>
      <c r="BO82" s="6">
        <f t="shared" ref="BO82:BO95" si="185">IF(AND(J82&gt;0,AH82&gt;0),-H$2*I$2*J82+AH$2*AI$2*AH82-2*$I$2*$J$2-2*$AI$2*$AJ$2+AV82,0)</f>
        <v>0</v>
      </c>
      <c r="BP82" s="6">
        <f t="shared" ref="BP82:BP95" si="186">IF(AND(H82&gt;0,AJ82&gt;0),-H$2*I$2*H82+AH$2*AI$2*AJ82-2*$I$2*$J$2-2*$AI$2*$AJ$2-H$2*I$2*$BC$2-AH$2*AI$2*$BC$3+AV82,0)</f>
        <v>0</v>
      </c>
      <c r="BQ82" s="12">
        <f t="shared" ref="BQ82:BQ95" si="187">IF(AND(H82&gt;0,AJ82&gt;0),-H$2*I$2*H82+AH$2*AI$2*AJ82-2*$I$2*$J$2-2*$AI$2*$AJ$2+AV82,0)</f>
        <v>0</v>
      </c>
      <c r="BR82" s="2">
        <f t="shared" ref="BR82:BR95" si="188">BN82/(AQ82+H$2*I$2*F82)</f>
        <v>0</v>
      </c>
      <c r="BS82" s="2">
        <f t="shared" ref="BS82:BS95" si="189">BO82/(AQ82+H$2*I$2*J82)</f>
        <v>0</v>
      </c>
      <c r="BT82" s="2">
        <f t="shared" ref="BT82:BT95" si="190">BP82/(AQ82+H$2*I$2*(H82+$BP$3))</f>
        <v>0</v>
      </c>
      <c r="BU82" s="13">
        <f t="shared" ref="BU82:BU95" si="191">BQ82/(AQ82+H$2*I$2*H82)</f>
        <v>0</v>
      </c>
      <c r="BV82" s="2">
        <f t="shared" ref="BV82:BV95" ca="1" si="192">BR82*365/(AE82+1-TODAY())</f>
        <v>0</v>
      </c>
      <c r="BW82" s="2">
        <f t="shared" ref="BW82:BW95" ca="1" si="193">BS82*365/(AE82+1-TODAY())</f>
        <v>0</v>
      </c>
      <c r="BX82" s="2">
        <f t="shared" ref="BX82:BX95" ca="1" si="194">BT82*365/(AE82+1-TODAY())</f>
        <v>0</v>
      </c>
      <c r="BY82" s="13">
        <f t="shared" ref="BY82:BY95" ca="1" si="195">BU82*365/(AE82+1-TODAY())</f>
        <v>0</v>
      </c>
      <c r="CB82" s="17" t="s">
        <v>281</v>
      </c>
      <c r="CC82" s="123" t="b">
        <f t="shared" si="78"/>
        <v>1</v>
      </c>
      <c r="CD82" s="17" t="s">
        <v>202</v>
      </c>
      <c r="CE82" s="138" t="str">
        <f>IF([1]!w_info_callput(CD82)="认购","C","P")</f>
        <v>P</v>
      </c>
      <c r="CF82" s="139">
        <f>[1]!w_info_strikeprice(CD82,"")</f>
        <v>4.5</v>
      </c>
      <c r="CG82" s="140" t="str">
        <f>[1]!w_info_lasttradingdate(CD82)</f>
        <v>2020-06-24</v>
      </c>
      <c r="CH82" s="55" t="str">
        <f t="shared" si="154"/>
        <v>IO2006-P-4500.CFE</v>
      </c>
      <c r="CI82" s="55" t="str">
        <f t="shared" si="155"/>
        <v>IO2006-P-4500.CFE</v>
      </c>
      <c r="CK82" s="17" t="s">
        <v>390</v>
      </c>
      <c r="CL82" s="17"/>
    </row>
    <row r="83" spans="1:90" s="34" customFormat="1">
      <c r="A83" s="137"/>
      <c r="B83" s="34" t="s">
        <v>121</v>
      </c>
      <c r="C83" s="35" t="str">
        <f t="shared" si="156"/>
        <v>P</v>
      </c>
      <c r="D83" s="126">
        <f>[1]!w_info_strikeprice(B83,"")</f>
        <v>4600</v>
      </c>
      <c r="E83" s="36" t="str">
        <f>[1]!w_info_lasttradingdate(B83)</f>
        <v>2020-06-19</v>
      </c>
      <c r="F83" s="37">
        <f>IF(G83&gt;0,RTD("wdf.rtq",,$B83,F$5),0)</f>
        <v>0</v>
      </c>
      <c r="G83" s="74">
        <f>RTD("wdf.rtq",,$B83,G$5)</f>
        <v>0</v>
      </c>
      <c r="H83" s="37">
        <f>RTD("wdf.rtq",,$B83,H$5)</f>
        <v>0</v>
      </c>
      <c r="I83" s="74">
        <f>RTD("wdf.rtq",,$B83,I$5)</f>
        <v>0</v>
      </c>
      <c r="J83" s="37">
        <f>RTD("wdf.rtq",,$B83,J$5)</f>
        <v>0</v>
      </c>
      <c r="K83" s="74">
        <f>RTD("wdf.rtq",,$B83,K$5)</f>
        <v>0</v>
      </c>
      <c r="L83" s="37">
        <f>[1]!s_dq_presettle(B83,"")</f>
        <v>954.6</v>
      </c>
      <c r="M83" s="39">
        <f t="shared" si="157"/>
        <v>0</v>
      </c>
      <c r="N83" s="38">
        <f t="shared" si="158"/>
        <v>0</v>
      </c>
      <c r="O83" s="39">
        <f t="shared" si="159"/>
        <v>37243.200000000004</v>
      </c>
      <c r="P83" s="38">
        <f t="shared" si="160"/>
        <v>23000</v>
      </c>
      <c r="Q83" s="39">
        <f t="shared" si="161"/>
        <v>37243.210000000006</v>
      </c>
      <c r="R83" s="76">
        <f ca="1">IF(NOW()-TODAY()&gt;15/24, G83, [1]!s_dq_volume(B83,R$2,1))/$I$2</f>
        <v>0</v>
      </c>
      <c r="S83" s="79">
        <f t="shared" si="162"/>
        <v>875.67999999999984</v>
      </c>
      <c r="T83" s="79">
        <f t="shared" si="163"/>
        <v>-875.67999999999984</v>
      </c>
      <c r="AB83" s="40" t="s">
        <v>204</v>
      </c>
      <c r="AC83" s="35" t="str">
        <f>IF([1]!w_info_callput(AB83)="认购","C","P")</f>
        <v>P</v>
      </c>
      <c r="AD83" s="41">
        <f>[1]!w_info_strikeprice(AB83,"")</f>
        <v>4.5999999999999996</v>
      </c>
      <c r="AE83" s="36" t="str">
        <f>[1]!w_info_lasttradingdate(AB83)</f>
        <v>2020-06-24</v>
      </c>
      <c r="AF83" s="42">
        <f>RTD("wdf.rtq",,$AB83,F$5)</f>
        <v>0.91080000000000005</v>
      </c>
      <c r="AG83" s="74">
        <f>RTD("wdf.rtq",,$AB83,G$5)</f>
        <v>38</v>
      </c>
      <c r="AH83" s="42">
        <f>RTD("wdf.rtq",,$AB83,H$5)</f>
        <v>0.87780000000000002</v>
      </c>
      <c r="AI83" s="74">
        <f>RTD("wdf.rtq",,$AB83,I$5)</f>
        <v>11</v>
      </c>
      <c r="AJ83" s="42">
        <f>RTD("wdf.rtq",,$AB83,J$5)</f>
        <v>0.93780000000000008</v>
      </c>
      <c r="AK83" s="74">
        <f>RTD("wdf.rtq",,$AB83,K$5)</f>
        <v>1</v>
      </c>
      <c r="AL83" s="42">
        <f>[1]!s_dq_presettle(AB83,"")</f>
        <v>0.88959999999999995</v>
      </c>
      <c r="AM83" s="42">
        <f t="shared" si="164"/>
        <v>0</v>
      </c>
      <c r="AN83" s="38">
        <f t="shared" si="165"/>
        <v>91080</v>
      </c>
      <c r="AO83" s="42">
        <f t="shared" si="166"/>
        <v>0.44531999999999999</v>
      </c>
      <c r="AP83" s="43">
        <f t="shared" si="167"/>
        <v>0.32200000000000001</v>
      </c>
      <c r="AQ83" s="44">
        <f t="shared" si="168"/>
        <v>162734.41</v>
      </c>
      <c r="AR83" s="79">
        <f ca="1">IF(NOW()-TODAY()&gt;15/24, AG83, [1]!s_dq_volume(AB83,AR$2,1))/AI$2</f>
        <v>21.5</v>
      </c>
      <c r="AS83" s="129">
        <f t="shared" si="169"/>
        <v>0.88899999999999935</v>
      </c>
      <c r="AT83" s="129">
        <f t="shared" si="170"/>
        <v>2.1800000000000708E-2</v>
      </c>
      <c r="AU83" s="84"/>
      <c r="AV83" s="137">
        <f t="shared" ca="1" si="171"/>
        <v>-1349.3009722776042</v>
      </c>
      <c r="AX83" s="45"/>
      <c r="AY83" s="48"/>
      <c r="AZ83" s="48"/>
      <c r="BA83" s="39">
        <f t="shared" si="172"/>
        <v>0</v>
      </c>
      <c r="BB83" s="39">
        <f t="shared" si="173"/>
        <v>0</v>
      </c>
      <c r="BC83" s="39">
        <f t="shared" si="174"/>
        <v>0</v>
      </c>
      <c r="BD83" s="130">
        <f t="shared" si="175"/>
        <v>0</v>
      </c>
      <c r="BE83" s="46">
        <f t="shared" si="176"/>
        <v>0</v>
      </c>
      <c r="BF83" s="46">
        <f t="shared" si="177"/>
        <v>0</v>
      </c>
      <c r="BG83" s="46">
        <f t="shared" si="178"/>
        <v>0</v>
      </c>
      <c r="BH83" s="47">
        <f t="shared" si="179"/>
        <v>0</v>
      </c>
      <c r="BI83" s="46">
        <f t="shared" ca="1" si="180"/>
        <v>0</v>
      </c>
      <c r="BJ83" s="46">
        <f t="shared" ca="1" si="181"/>
        <v>0</v>
      </c>
      <c r="BK83" s="46">
        <f t="shared" ca="1" si="182"/>
        <v>0</v>
      </c>
      <c r="BL83" s="46">
        <f t="shared" ca="1" si="183"/>
        <v>0</v>
      </c>
      <c r="BM83" s="84"/>
      <c r="BN83" s="39">
        <f t="shared" si="184"/>
        <v>0</v>
      </c>
      <c r="BO83" s="39">
        <f t="shared" si="185"/>
        <v>0</v>
      </c>
      <c r="BP83" s="39">
        <f t="shared" si="186"/>
        <v>0</v>
      </c>
      <c r="BQ83" s="130">
        <f t="shared" si="187"/>
        <v>0</v>
      </c>
      <c r="BR83" s="46">
        <f t="shared" si="188"/>
        <v>0</v>
      </c>
      <c r="BS83" s="46">
        <f t="shared" si="189"/>
        <v>0</v>
      </c>
      <c r="BT83" s="46">
        <f t="shared" si="190"/>
        <v>0</v>
      </c>
      <c r="BU83" s="47">
        <f t="shared" si="191"/>
        <v>0</v>
      </c>
      <c r="BV83" s="46">
        <f t="shared" ca="1" si="192"/>
        <v>0</v>
      </c>
      <c r="BW83" s="46">
        <f t="shared" ca="1" si="193"/>
        <v>0</v>
      </c>
      <c r="BX83" s="46">
        <f t="shared" ca="1" si="194"/>
        <v>0</v>
      </c>
      <c r="BY83" s="47">
        <f t="shared" ca="1" si="195"/>
        <v>0</v>
      </c>
      <c r="CB83" s="40" t="s">
        <v>282</v>
      </c>
      <c r="CC83" s="131" t="b">
        <f t="shared" si="78"/>
        <v>1</v>
      </c>
      <c r="CD83" s="40" t="s">
        <v>204</v>
      </c>
      <c r="CE83" s="35" t="str">
        <f>IF([1]!w_info_callput(CD83)="认购","C","P")</f>
        <v>P</v>
      </c>
      <c r="CF83" s="37">
        <f>[1]!w_info_strikeprice(CD83,"")</f>
        <v>4.5999999999999996</v>
      </c>
      <c r="CG83" s="141" t="str">
        <f>[1]!w_info_lasttradingdate(CD83)</f>
        <v>2020-06-24</v>
      </c>
      <c r="CH83" s="34" t="str">
        <f t="shared" si="154"/>
        <v>IO2006-P-4600.CFE</v>
      </c>
      <c r="CI83" s="34" t="str">
        <f t="shared" si="155"/>
        <v>IO2006-P-4600.CFE</v>
      </c>
      <c r="CK83" s="40" t="s">
        <v>391</v>
      </c>
      <c r="CL83" s="40"/>
    </row>
    <row r="84" spans="1:90">
      <c r="B84" t="s">
        <v>435</v>
      </c>
      <c r="C84" s="29" t="str">
        <f t="shared" si="156"/>
        <v>C</v>
      </c>
      <c r="D84" s="125">
        <f>[1]!w_info_strikeprice(B84,"")</f>
        <v>3100</v>
      </c>
      <c r="E84" s="18" t="str">
        <f>[1]!w_info_lasttradingdate(B84)</f>
        <v>2020-09-18</v>
      </c>
      <c r="F84" s="4">
        <f>IF(G84&gt;0,RTD("wdf.rtq",,$B84,F$5),0)</f>
        <v>608</v>
      </c>
      <c r="G84" s="73">
        <f>RTD("wdf.rtq",,$B84,G$5)</f>
        <v>18</v>
      </c>
      <c r="H84" s="4">
        <f>RTD("wdf.rtq",,$B84,H$5)</f>
        <v>595</v>
      </c>
      <c r="I84" s="73">
        <f>RTD("wdf.rtq",,$B84,I$5)</f>
        <v>1</v>
      </c>
      <c r="J84" s="4">
        <f>RTD("wdf.rtq",,$B84,J$5)</f>
        <v>0</v>
      </c>
      <c r="K84" s="73">
        <f>RTD("wdf.rtq",,$B84,K$5)</f>
        <v>0</v>
      </c>
      <c r="L84" s="4">
        <f>[1]!s_dq_presettle(B84,"")</f>
        <v>611.20000000000005</v>
      </c>
      <c r="M84" s="6">
        <f t="shared" si="157"/>
        <v>0</v>
      </c>
      <c r="N84" s="3">
        <f t="shared" si="158"/>
        <v>60800</v>
      </c>
      <c r="O84" s="6">
        <f t="shared" si="159"/>
        <v>37243.200000000004</v>
      </c>
      <c r="P84" s="3">
        <f t="shared" si="160"/>
        <v>15500</v>
      </c>
      <c r="Q84" s="6">
        <f t="shared" si="161"/>
        <v>98043.21</v>
      </c>
      <c r="R84" s="75">
        <f ca="1">IF(NOW()-TODAY()&gt;15/24, G84, [1]!s_dq_volume(B84,R$2,1))/$I$2</f>
        <v>9</v>
      </c>
      <c r="S84" s="78">
        <f t="shared" si="162"/>
        <v>624.32000000000016</v>
      </c>
      <c r="T84" s="78">
        <f t="shared" si="163"/>
        <v>-16.320000000000164</v>
      </c>
      <c r="AB84" s="17" t="s">
        <v>409</v>
      </c>
      <c r="AC84" s="29" t="str">
        <f>IF([1]!w_info_callput(AB84)="认购","C","P")</f>
        <v>C</v>
      </c>
      <c r="AD84" s="31">
        <f>[1]!w_info_strikeprice(AB84,"")</f>
        <v>3.1</v>
      </c>
      <c r="AE84" s="18" t="str">
        <f>[1]!w_info_lasttradingdate(AB84)</f>
        <v>2020-09-23</v>
      </c>
      <c r="AF84" s="15">
        <f>RTD("wdf.rtq",,$AB84,F$5)</f>
        <v>0.66880000000000006</v>
      </c>
      <c r="AG84" s="73">
        <f>RTD("wdf.rtq",,$AB84,G$5)</f>
        <v>34</v>
      </c>
      <c r="AH84" s="15">
        <f>RTD("wdf.rtq",,$AB84,H$5)</f>
        <v>0.66770000000000007</v>
      </c>
      <c r="AI84" s="73">
        <f>RTD("wdf.rtq",,$AB84,I$5)</f>
        <v>5</v>
      </c>
      <c r="AJ84" s="15">
        <f>RTD("wdf.rtq",,$AB84,J$5)</f>
        <v>0.68</v>
      </c>
      <c r="AK84" s="77">
        <f>RTD("wdf.rtq",,$AB84,K$5)</f>
        <v>1</v>
      </c>
      <c r="AL84" s="15">
        <f>[1]!s_dq_presettle(AB84,"")</f>
        <v>0.68049999999999999</v>
      </c>
      <c r="AM84" s="15">
        <f t="shared" si="164"/>
        <v>0</v>
      </c>
      <c r="AN84" s="3">
        <f t="shared" si="165"/>
        <v>66880</v>
      </c>
      <c r="AO84" s="15">
        <f t="shared" si="166"/>
        <v>0.44531999999999999</v>
      </c>
      <c r="AP84" s="14">
        <f t="shared" si="167"/>
        <v>4.681600000000001E-2</v>
      </c>
      <c r="AQ84" s="8">
        <f t="shared" si="168"/>
        <v>133694.41</v>
      </c>
      <c r="AR84" s="78">
        <f ca="1">IF(NOW()-TODAY()&gt;15/24, AG84, [1]!s_dq_volume(AB84,AR$2,1))/AI$2</f>
        <v>22.1</v>
      </c>
      <c r="AS84" s="122">
        <f t="shared" si="169"/>
        <v>0.61100000000000021</v>
      </c>
      <c r="AT84" s="122">
        <f t="shared" si="170"/>
        <v>5.7799999999999851E-2</v>
      </c>
      <c r="AV84" s="49">
        <f t="shared" ca="1" si="171"/>
        <v>1349.3009722776478</v>
      </c>
      <c r="AY84" s="10"/>
      <c r="AZ84" s="10"/>
      <c r="BA84" s="6">
        <f t="shared" ca="1" si="172"/>
        <v>-7508.3009722776478</v>
      </c>
      <c r="BB84" s="6">
        <f t="shared" ca="1" si="173"/>
        <v>-9928.3009722776478</v>
      </c>
      <c r="BC84" s="6">
        <f t="shared" si="174"/>
        <v>0</v>
      </c>
      <c r="BD84" s="12">
        <f t="shared" si="175"/>
        <v>0</v>
      </c>
      <c r="BE84" s="2">
        <f t="shared" ca="1" si="176"/>
        <v>-4.5526041921435112E-2</v>
      </c>
      <c r="BF84" s="2">
        <f t="shared" ca="1" si="177"/>
        <v>-5.9793477687390205E-2</v>
      </c>
      <c r="BG84" s="2">
        <f t="shared" si="178"/>
        <v>0</v>
      </c>
      <c r="BH84" s="13">
        <f t="shared" si="179"/>
        <v>0</v>
      </c>
      <c r="BI84" s="2">
        <f t="shared" ca="1" si="180"/>
        <v>-9.5500030467378247E-2</v>
      </c>
      <c r="BJ84" s="2">
        <f t="shared" ca="1" si="181"/>
        <v>-0.1254288468729737</v>
      </c>
      <c r="BK84" s="2">
        <f t="shared" ca="1" si="182"/>
        <v>0</v>
      </c>
      <c r="BL84" s="56">
        <f t="shared" ca="1" si="183"/>
        <v>0</v>
      </c>
      <c r="BN84" s="6">
        <f t="shared" ca="1" si="184"/>
        <v>7350.3009722776478</v>
      </c>
      <c r="BO84" s="6">
        <f t="shared" si="185"/>
        <v>0</v>
      </c>
      <c r="BP84" s="6">
        <f t="shared" ca="1" si="186"/>
        <v>9710.3009722776478</v>
      </c>
      <c r="BQ84" s="12">
        <f t="shared" ca="1" si="187"/>
        <v>9770.3009722776478</v>
      </c>
      <c r="BR84" s="2">
        <f t="shared" ca="1" si="188"/>
        <v>3.7791836651128674E-2</v>
      </c>
      <c r="BS84" s="2">
        <f t="shared" si="189"/>
        <v>0</v>
      </c>
      <c r="BT84" s="2">
        <f t="shared" ca="1" si="190"/>
        <v>5.0261806058682169E-2</v>
      </c>
      <c r="BU84" s="13">
        <f t="shared" ca="1" si="191"/>
        <v>5.0572379254025246E-2</v>
      </c>
      <c r="BV84" s="2">
        <f t="shared" ca="1" si="192"/>
        <v>7.9275979181965314E-2</v>
      </c>
      <c r="BW84" s="2">
        <f t="shared" ca="1" si="193"/>
        <v>0</v>
      </c>
      <c r="BX84" s="2">
        <f t="shared" ca="1" si="194"/>
        <v>0.10543424834148846</v>
      </c>
      <c r="BY84" s="13">
        <f t="shared" ca="1" si="195"/>
        <v>0.10608573809034032</v>
      </c>
      <c r="CB84" s="17" t="s">
        <v>283</v>
      </c>
      <c r="CC84" s="123" t="b">
        <f t="shared" si="78"/>
        <v>1</v>
      </c>
      <c r="CD84" s="17" t="s">
        <v>409</v>
      </c>
      <c r="CE84" s="138" t="str">
        <f>IF([1]!w_info_callput(CD84)="认购","C","P")</f>
        <v>C</v>
      </c>
      <c r="CF84" s="139">
        <f>[1]!w_info_strikeprice(CD84,"")</f>
        <v>3.1</v>
      </c>
      <c r="CG84" s="140" t="str">
        <f>[1]!w_info_lasttradingdate(CD84)</f>
        <v>2020-09-23</v>
      </c>
      <c r="CH84" s="55" t="str">
        <f t="shared" si="154"/>
        <v>IO2009-C-3100.CFE</v>
      </c>
      <c r="CI84" s="55" t="str">
        <f t="shared" si="155"/>
        <v>IO2009-C-3100.CFE</v>
      </c>
      <c r="CK84" s="17" t="s">
        <v>392</v>
      </c>
      <c r="CL84" s="17"/>
    </row>
    <row r="85" spans="1:90">
      <c r="B85" t="s">
        <v>366</v>
      </c>
      <c r="C85" s="29" t="str">
        <f t="shared" si="156"/>
        <v>C</v>
      </c>
      <c r="D85" s="125">
        <f>[1]!w_info_strikeprice(B85,"")</f>
        <v>3200</v>
      </c>
      <c r="E85" s="18" t="str">
        <f>[1]!w_info_lasttradingdate(B85)</f>
        <v>2020-09-18</v>
      </c>
      <c r="F85" s="4">
        <f>IF(G85&gt;0,RTD("wdf.rtq",,$B85,F$5),0)</f>
        <v>0</v>
      </c>
      <c r="G85" s="73">
        <f>RTD("wdf.rtq",,$B85,G$5)</f>
        <v>0</v>
      </c>
      <c r="H85" s="4">
        <f>RTD("wdf.rtq",,$B85,H$5)</f>
        <v>450</v>
      </c>
      <c r="I85" s="73">
        <f>RTD("wdf.rtq",,$B85,I$5)</f>
        <v>1</v>
      </c>
      <c r="J85" s="4">
        <f>RTD("wdf.rtq",,$B85,J$5)</f>
        <v>0</v>
      </c>
      <c r="K85" s="73">
        <f>RTD("wdf.rtq",,$B85,K$5)</f>
        <v>0</v>
      </c>
      <c r="L85" s="4">
        <f>[1]!s_dq_presettle(B85,"")</f>
        <v>535.20000000000005</v>
      </c>
      <c r="M85" s="6">
        <f t="shared" si="157"/>
        <v>0</v>
      </c>
      <c r="N85" s="3">
        <f t="shared" si="158"/>
        <v>0</v>
      </c>
      <c r="O85" s="6">
        <f t="shared" si="159"/>
        <v>37243.200000000004</v>
      </c>
      <c r="P85" s="3">
        <f t="shared" si="160"/>
        <v>16000</v>
      </c>
      <c r="Q85" s="6">
        <f t="shared" si="161"/>
        <v>37243.210000000006</v>
      </c>
      <c r="R85" s="75">
        <f ca="1">IF(NOW()-TODAY()&gt;15/24, G85, [1]!s_dq_volume(B85,R$2,1))/$I$2</f>
        <v>9</v>
      </c>
      <c r="S85" s="78">
        <f t="shared" si="162"/>
        <v>524.32000000000016</v>
      </c>
      <c r="T85" s="78">
        <f t="shared" si="163"/>
        <v>-524.32000000000016</v>
      </c>
      <c r="AB85" s="17" t="s">
        <v>404</v>
      </c>
      <c r="AC85" s="29" t="str">
        <f>IF([1]!w_info_callput(AB85)="认购","C","P")</f>
        <v>C</v>
      </c>
      <c r="AD85" s="31">
        <f>[1]!w_info_strikeprice(AB85,"")</f>
        <v>3.2</v>
      </c>
      <c r="AE85" s="18" t="str">
        <f>[1]!w_info_lasttradingdate(AB85)</f>
        <v>2020-09-23</v>
      </c>
      <c r="AF85" s="15">
        <f>RTD("wdf.rtq",,$AB85,F$5)</f>
        <v>0.59689999999999999</v>
      </c>
      <c r="AG85" s="73">
        <f>RTD("wdf.rtq",,$AB85,G$5)</f>
        <v>51</v>
      </c>
      <c r="AH85" s="15">
        <f>RTD("wdf.rtq",,$AB85,H$5)</f>
        <v>0.57979999999999998</v>
      </c>
      <c r="AI85" s="73">
        <f>RTD("wdf.rtq",,$AB85,I$5)</f>
        <v>1</v>
      </c>
      <c r="AJ85" s="15">
        <f>RTD("wdf.rtq",,$AB85,J$5)</f>
        <v>0.61660000000000004</v>
      </c>
      <c r="AK85" s="77">
        <f>RTD("wdf.rtq",,$AB85,K$5)</f>
        <v>1</v>
      </c>
      <c r="AL85" s="15">
        <f>[1]!s_dq_presettle(AB85,"")</f>
        <v>0.60299999999999998</v>
      </c>
      <c r="AM85" s="15">
        <f t="shared" si="164"/>
        <v>0</v>
      </c>
      <c r="AN85" s="3">
        <f t="shared" si="165"/>
        <v>59690</v>
      </c>
      <c r="AO85" s="15">
        <f t="shared" si="166"/>
        <v>0.44531999999999999</v>
      </c>
      <c r="AP85" s="14">
        <f t="shared" si="167"/>
        <v>4.1783000000000001E-2</v>
      </c>
      <c r="AQ85" s="8">
        <f t="shared" si="168"/>
        <v>125066.40999999997</v>
      </c>
      <c r="AR85" s="78">
        <f ca="1">IF(NOW()-TODAY()&gt;15/24, AG85, [1]!s_dq_volume(AB85,AR$2,1))/AI$2</f>
        <v>13.1</v>
      </c>
      <c r="AS85" s="122">
        <f t="shared" si="169"/>
        <v>0.51100000000000012</v>
      </c>
      <c r="AT85" s="122">
        <f t="shared" si="170"/>
        <v>8.5899999999999865E-2</v>
      </c>
      <c r="AV85" s="49">
        <f t="shared" ca="1" si="171"/>
        <v>1349.3009722776624</v>
      </c>
      <c r="AY85" s="10"/>
      <c r="AZ85" s="10"/>
      <c r="BA85" s="6">
        <f t="shared" si="172"/>
        <v>0</v>
      </c>
      <c r="BB85" s="6">
        <f t="shared" ca="1" si="173"/>
        <v>-18088.30097227767</v>
      </c>
      <c r="BC85" s="6">
        <f t="shared" si="174"/>
        <v>0</v>
      </c>
      <c r="BD85" s="12">
        <f t="shared" si="175"/>
        <v>0</v>
      </c>
      <c r="BE85" s="2">
        <f t="shared" si="176"/>
        <v>0</v>
      </c>
      <c r="BF85" s="2">
        <f t="shared" ca="1" si="177"/>
        <v>-0.18288891707637867</v>
      </c>
      <c r="BG85" s="2">
        <f t="shared" si="178"/>
        <v>0</v>
      </c>
      <c r="BH85" s="13">
        <f t="shared" si="179"/>
        <v>0</v>
      </c>
      <c r="BI85" s="2">
        <f t="shared" ca="1" si="180"/>
        <v>0</v>
      </c>
      <c r="BJ85" s="2">
        <f t="shared" ca="1" si="181"/>
        <v>-0.38364629156826563</v>
      </c>
      <c r="BK85" s="2">
        <f t="shared" ca="1" si="182"/>
        <v>0</v>
      </c>
      <c r="BL85" s="56">
        <f t="shared" ca="1" si="183"/>
        <v>0</v>
      </c>
      <c r="BN85" s="6">
        <f t="shared" si="184"/>
        <v>0</v>
      </c>
      <c r="BO85" s="6">
        <f t="shared" si="185"/>
        <v>0</v>
      </c>
      <c r="BP85" s="6">
        <f t="shared" ca="1" si="186"/>
        <v>17870.30097227767</v>
      </c>
      <c r="BQ85" s="12">
        <f t="shared" ca="1" si="187"/>
        <v>17930.30097227767</v>
      </c>
      <c r="BR85" s="2">
        <f t="shared" si="188"/>
        <v>0</v>
      </c>
      <c r="BS85" s="2">
        <f t="shared" si="189"/>
        <v>0</v>
      </c>
      <c r="BT85" s="2">
        <f t="shared" ca="1" si="190"/>
        <v>0.10507835657088627</v>
      </c>
      <c r="BU85" s="13">
        <f t="shared" ca="1" si="191"/>
        <v>0.10543117228309619</v>
      </c>
      <c r="BV85" s="2">
        <f t="shared" ca="1" si="192"/>
        <v>0</v>
      </c>
      <c r="BW85" s="2">
        <f t="shared" ca="1" si="193"/>
        <v>0</v>
      </c>
      <c r="BX85" s="2">
        <f t="shared" ca="1" si="194"/>
        <v>0.22042298935846832</v>
      </c>
      <c r="BY85" s="13">
        <f t="shared" ca="1" si="195"/>
        <v>0.22116309128350636</v>
      </c>
      <c r="CB85" s="17" t="s">
        <v>284</v>
      </c>
      <c r="CC85" s="123" t="b">
        <f t="shared" si="78"/>
        <v>1</v>
      </c>
      <c r="CD85" s="17" t="s">
        <v>404</v>
      </c>
      <c r="CE85" s="138" t="str">
        <f>IF([1]!w_info_callput(CD85)="认购","C","P")</f>
        <v>C</v>
      </c>
      <c r="CF85" s="139">
        <f>[1]!w_info_strikeprice(CD85,"")</f>
        <v>3.2</v>
      </c>
      <c r="CG85" s="140" t="str">
        <f>[1]!w_info_lasttradingdate(CD85)</f>
        <v>2020-09-23</v>
      </c>
      <c r="CH85" s="55" t="str">
        <f t="shared" si="154"/>
        <v>IO2009-C-3200.CFE</v>
      </c>
      <c r="CI85" s="55" t="str">
        <f t="shared" si="155"/>
        <v>IO2009-C-3200.CFE</v>
      </c>
      <c r="CK85" s="17" t="s">
        <v>393</v>
      </c>
      <c r="CL85" s="17"/>
    </row>
    <row r="86" spans="1:90">
      <c r="B86" t="s">
        <v>123</v>
      </c>
      <c r="C86" s="29" t="str">
        <f t="shared" si="156"/>
        <v>C</v>
      </c>
      <c r="D86" s="125">
        <f>[1]!w_info_strikeprice(B86,"")</f>
        <v>3300</v>
      </c>
      <c r="E86" s="18" t="str">
        <f>[1]!w_info_lasttradingdate(B86)</f>
        <v>2020-09-18</v>
      </c>
      <c r="F86" s="4">
        <f>IF(G86&gt;0,RTD("wdf.rtq",,$B86,F$5),0)</f>
        <v>455.8</v>
      </c>
      <c r="G86" s="73">
        <f>RTD("wdf.rtq",,$B86,G$5)</f>
        <v>13</v>
      </c>
      <c r="H86" s="4">
        <f>RTD("wdf.rtq",,$B86,H$5)</f>
        <v>400</v>
      </c>
      <c r="I86" s="73">
        <f>RTD("wdf.rtq",,$B86,I$5)</f>
        <v>1</v>
      </c>
      <c r="J86" s="4">
        <f>RTD("wdf.rtq",,$B86,J$5)</f>
        <v>482</v>
      </c>
      <c r="K86" s="73">
        <f>RTD("wdf.rtq",,$B86,K$5)</f>
        <v>1</v>
      </c>
      <c r="L86" s="4">
        <f>[1]!s_dq_presettle(B86,"")</f>
        <v>464.4</v>
      </c>
      <c r="M86" s="6">
        <f t="shared" si="157"/>
        <v>0</v>
      </c>
      <c r="N86" s="3">
        <f t="shared" si="158"/>
        <v>45580</v>
      </c>
      <c r="O86" s="6">
        <f t="shared" si="159"/>
        <v>37243.200000000004</v>
      </c>
      <c r="P86" s="3">
        <f t="shared" si="160"/>
        <v>16500</v>
      </c>
      <c r="Q86" s="6">
        <f t="shared" si="161"/>
        <v>82823.210000000006</v>
      </c>
      <c r="R86" s="75">
        <f ca="1">IF(NOW()-TODAY()&gt;15/24, G86, [1]!s_dq_volume(B86,R$2,1))/$I$2</f>
        <v>0</v>
      </c>
      <c r="S86" s="78">
        <f t="shared" si="162"/>
        <v>424.32000000000016</v>
      </c>
      <c r="T86" s="78">
        <f t="shared" si="163"/>
        <v>31.479999999999848</v>
      </c>
      <c r="AB86" s="17" t="s">
        <v>237</v>
      </c>
      <c r="AC86" s="29" t="str">
        <f>IF([1]!w_info_callput(AB86)="认购","C","P")</f>
        <v>C</v>
      </c>
      <c r="AD86" s="31">
        <f>[1]!w_info_strikeprice(AB86,"")</f>
        <v>3.3</v>
      </c>
      <c r="AE86" s="18" t="str">
        <f>[1]!w_info_lasttradingdate(AB86)</f>
        <v>2020-09-23</v>
      </c>
      <c r="AF86" s="15">
        <f>RTD("wdf.rtq",,$AB86,F$5)</f>
        <v>0.5141</v>
      </c>
      <c r="AG86" s="73">
        <f>RTD("wdf.rtq",,$AB86,G$5)</f>
        <v>51</v>
      </c>
      <c r="AH86" s="15">
        <f>RTD("wdf.rtq",,$AB86,H$5)</f>
        <v>0.50260000000000005</v>
      </c>
      <c r="AI86" s="73">
        <f>RTD("wdf.rtq",,$AB86,I$5)</f>
        <v>1</v>
      </c>
      <c r="AJ86" s="15">
        <f>RTD("wdf.rtq",,$AB86,J$5)</f>
        <v>0.5333</v>
      </c>
      <c r="AK86" s="77">
        <f>RTD("wdf.rtq",,$AB86,K$5)</f>
        <v>1</v>
      </c>
      <c r="AL86" s="15">
        <f>[1]!s_dq_presettle(AB86,"")</f>
        <v>0.52829999999999999</v>
      </c>
      <c r="AM86" s="15">
        <f t="shared" si="164"/>
        <v>0</v>
      </c>
      <c r="AN86" s="3">
        <f t="shared" si="165"/>
        <v>51410</v>
      </c>
      <c r="AO86" s="15">
        <f t="shared" si="166"/>
        <v>0.44531999999999999</v>
      </c>
      <c r="AP86" s="14">
        <f t="shared" si="167"/>
        <v>3.5987000000000005E-2</v>
      </c>
      <c r="AQ86" s="8">
        <f t="shared" si="168"/>
        <v>115130.40999999999</v>
      </c>
      <c r="AR86" s="78">
        <f ca="1">IF(NOW()-TODAY()&gt;15/24, AG86, [1]!s_dq_volume(AB86,AR$2,1))/AI$2</f>
        <v>11.4</v>
      </c>
      <c r="AS86" s="122">
        <f t="shared" si="169"/>
        <v>0.41100000000000048</v>
      </c>
      <c r="AT86" s="122">
        <f t="shared" si="170"/>
        <v>0.10309999999999953</v>
      </c>
      <c r="AV86" s="49">
        <f t="shared" ca="1" si="171"/>
        <v>1349.3009722776187</v>
      </c>
      <c r="AY86" s="10"/>
      <c r="AZ86" s="10"/>
      <c r="BA86" s="6">
        <f t="shared" ca="1" si="172"/>
        <v>-7258.3009722776187</v>
      </c>
      <c r="BB86" s="6">
        <f t="shared" ca="1" si="173"/>
        <v>-14758.300972277619</v>
      </c>
      <c r="BC86" s="6">
        <f t="shared" ca="1" si="174"/>
        <v>-3548.300972277626</v>
      </c>
      <c r="BD86" s="12">
        <f t="shared" ca="1" si="175"/>
        <v>-3488.300972277626</v>
      </c>
      <c r="BE86" s="2">
        <f t="shared" ca="1" si="176"/>
        <v>-5.4072319154683239E-2</v>
      </c>
      <c r="BF86" s="2">
        <f t="shared" ca="1" si="177"/>
        <v>-0.10839480738116726</v>
      </c>
      <c r="BG86" s="2">
        <f t="shared" ca="1" si="178"/>
        <v>-2.6658267462352152E-2</v>
      </c>
      <c r="BH86" s="13">
        <f t="shared" ca="1" si="179"/>
        <v>-2.6211427965087599E-2</v>
      </c>
      <c r="BI86" s="2">
        <f t="shared" ca="1" si="180"/>
        <v>-0.11342756604287001</v>
      </c>
      <c r="BJ86" s="2">
        <f t="shared" ca="1" si="181"/>
        <v>-0.22737991203520719</v>
      </c>
      <c r="BK86" s="2">
        <f t="shared" ca="1" si="182"/>
        <v>-5.5921078297462852E-2</v>
      </c>
      <c r="BL86" s="56">
        <f t="shared" ca="1" si="183"/>
        <v>-5.4983742570442383E-2</v>
      </c>
      <c r="BN86" s="6">
        <f t="shared" ca="1" si="184"/>
        <v>7100.3009722776187</v>
      </c>
      <c r="BO86" s="6">
        <f t="shared" ca="1" si="185"/>
        <v>3330.300972277626</v>
      </c>
      <c r="BP86" s="6">
        <f t="shared" ca="1" si="186"/>
        <v>14540.300972277619</v>
      </c>
      <c r="BQ86" s="12">
        <f t="shared" ca="1" si="187"/>
        <v>14600.300972277619</v>
      </c>
      <c r="BR86" s="2">
        <f t="shared" ca="1" si="188"/>
        <v>4.4180715936681512E-2</v>
      </c>
      <c r="BS86" s="2">
        <f t="shared" ca="1" si="189"/>
        <v>2.0389962728175521E-2</v>
      </c>
      <c r="BT86" s="2">
        <f t="shared" ca="1" si="190"/>
        <v>9.3729521488966544E-2</v>
      </c>
      <c r="BU86" s="13">
        <f t="shared" ca="1" si="191"/>
        <v>9.4116304935167913E-2</v>
      </c>
      <c r="BV86" s="2">
        <f t="shared" ca="1" si="192"/>
        <v>9.2677938602808915E-2</v>
      </c>
      <c r="BW86" s="2">
        <f t="shared" ca="1" si="193"/>
        <v>4.2772048251632555E-2</v>
      </c>
      <c r="BX86" s="2">
        <f t="shared" ca="1" si="194"/>
        <v>0.1966165249624873</v>
      </c>
      <c r="BY86" s="13">
        <f t="shared" ca="1" si="195"/>
        <v>0.19742788104216258</v>
      </c>
      <c r="CB86" s="17" t="s">
        <v>285</v>
      </c>
      <c r="CC86" s="123" t="b">
        <f t="shared" si="78"/>
        <v>1</v>
      </c>
      <c r="CD86" s="17" t="s">
        <v>237</v>
      </c>
      <c r="CE86" s="138" t="str">
        <f>IF([1]!w_info_callput(CD86)="认购","C","P")</f>
        <v>C</v>
      </c>
      <c r="CF86" s="139">
        <f>[1]!w_info_strikeprice(CD86,"")</f>
        <v>3.3</v>
      </c>
      <c r="CG86" s="140" t="str">
        <f>[1]!w_info_lasttradingdate(CD86)</f>
        <v>2020-09-23</v>
      </c>
      <c r="CH86" s="55" t="str">
        <f t="shared" si="154"/>
        <v>IO2009-C-3300.CFE</v>
      </c>
      <c r="CI86" s="55" t="str">
        <f t="shared" si="155"/>
        <v>IO2009-C-3300.CFE</v>
      </c>
      <c r="CK86" s="17" t="s">
        <v>394</v>
      </c>
      <c r="CL86" s="17"/>
    </row>
    <row r="87" spans="1:90">
      <c r="B87" t="s">
        <v>124</v>
      </c>
      <c r="C87" s="29" t="str">
        <f t="shared" si="156"/>
        <v>C</v>
      </c>
      <c r="D87" s="125">
        <f>[1]!w_info_strikeprice(B87,"")</f>
        <v>3400</v>
      </c>
      <c r="E87" s="18" t="str">
        <f>[1]!w_info_lasttradingdate(B87)</f>
        <v>2020-09-18</v>
      </c>
      <c r="F87" s="4">
        <f>IF(G87&gt;0,RTD("wdf.rtq",,$B87,F$5),0)</f>
        <v>403</v>
      </c>
      <c r="G87" s="73">
        <f>RTD("wdf.rtq",,$B87,G$5)</f>
        <v>12</v>
      </c>
      <c r="H87" s="4">
        <f>RTD("wdf.rtq",,$B87,H$5)</f>
        <v>0</v>
      </c>
      <c r="I87" s="73">
        <f>RTD("wdf.rtq",,$B87,I$5)</f>
        <v>0</v>
      </c>
      <c r="J87" s="4">
        <f>RTD("wdf.rtq",,$B87,J$5)</f>
        <v>0</v>
      </c>
      <c r="K87" s="73">
        <f>RTD("wdf.rtq",,$B87,K$5)</f>
        <v>0</v>
      </c>
      <c r="L87" s="4">
        <f>[1]!s_dq_presettle(B87,"")</f>
        <v>400.4</v>
      </c>
      <c r="M87" s="6">
        <f t="shared" si="157"/>
        <v>0</v>
      </c>
      <c r="N87" s="3">
        <f t="shared" si="158"/>
        <v>40300</v>
      </c>
      <c r="O87" s="6">
        <f t="shared" si="159"/>
        <v>37243.200000000004</v>
      </c>
      <c r="P87" s="3">
        <f t="shared" si="160"/>
        <v>17000</v>
      </c>
      <c r="Q87" s="6">
        <f t="shared" si="161"/>
        <v>77543.210000000006</v>
      </c>
      <c r="R87" s="75">
        <f ca="1">IF(NOW()-TODAY()&gt;15/24, G87, [1]!s_dq_volume(B87,R$2,1))/$I$2</f>
        <v>0</v>
      </c>
      <c r="S87" s="78">
        <f t="shared" si="162"/>
        <v>324.32000000000016</v>
      </c>
      <c r="T87" s="78">
        <f t="shared" si="163"/>
        <v>78.679999999999836</v>
      </c>
      <c r="AB87" s="124" t="s">
        <v>238</v>
      </c>
      <c r="AC87" s="29" t="str">
        <f>IF([1]!w_info_callput(AB87)="认购","C","P")</f>
        <v>C</v>
      </c>
      <c r="AD87" s="31">
        <f>[1]!w_info_strikeprice(AB87,"")</f>
        <v>3.4</v>
      </c>
      <c r="AE87" s="18" t="str">
        <f>[1]!w_info_lasttradingdate(AB87)</f>
        <v>2020-09-23</v>
      </c>
      <c r="AF87" s="15">
        <f>RTD("wdf.rtq",,$AB87,F$5)</f>
        <v>0.45700000000000002</v>
      </c>
      <c r="AG87" s="73">
        <f>RTD("wdf.rtq",,$AB87,G$5)</f>
        <v>7</v>
      </c>
      <c r="AH87" s="15">
        <f>RTD("wdf.rtq",,$AB87,H$5)</f>
        <v>0.43460000000000004</v>
      </c>
      <c r="AI87" s="73">
        <f>RTD("wdf.rtq",,$AB87,I$5)</f>
        <v>10</v>
      </c>
      <c r="AJ87" s="15">
        <f>RTD("wdf.rtq",,$AB87,J$5)</f>
        <v>0.46929999999999999</v>
      </c>
      <c r="AK87" s="77">
        <f>RTD("wdf.rtq",,$AB87,K$5)</f>
        <v>10</v>
      </c>
      <c r="AL87" s="15">
        <f>[1]!s_dq_presettle(AB87,"")</f>
        <v>0.4587</v>
      </c>
      <c r="AM87" s="15">
        <f t="shared" si="164"/>
        <v>0</v>
      </c>
      <c r="AN87" s="3">
        <f t="shared" si="165"/>
        <v>45700</v>
      </c>
      <c r="AO87" s="15">
        <f t="shared" si="166"/>
        <v>0.44531999999999999</v>
      </c>
      <c r="AP87" s="14">
        <f t="shared" si="167"/>
        <v>3.1990000000000005E-2</v>
      </c>
      <c r="AQ87" s="8">
        <f t="shared" si="168"/>
        <v>108278.40999999999</v>
      </c>
      <c r="AR87" s="78">
        <f ca="1">IF(NOW()-TODAY()&gt;15/24, AG87, [1]!s_dq_volume(AB87,AR$2,1))/AI$2</f>
        <v>10.5</v>
      </c>
      <c r="AS87" s="122">
        <f t="shared" si="169"/>
        <v>0.31100000000000039</v>
      </c>
      <c r="AT87" s="122">
        <f t="shared" si="170"/>
        <v>0.14599999999999963</v>
      </c>
      <c r="AV87" s="49">
        <f t="shared" ca="1" si="171"/>
        <v>1349.3009722776333</v>
      </c>
      <c r="AY87" s="10"/>
      <c r="AZ87" s="10"/>
      <c r="BA87" s="6">
        <f t="shared" ca="1" si="172"/>
        <v>-6828.3009722776333</v>
      </c>
      <c r="BB87" s="6">
        <f t="shared" si="173"/>
        <v>0</v>
      </c>
      <c r="BC87" s="6">
        <f t="shared" si="174"/>
        <v>0</v>
      </c>
      <c r="BD87" s="12">
        <f t="shared" si="175"/>
        <v>0</v>
      </c>
      <c r="BE87" s="2">
        <f t="shared" ca="1" si="176"/>
        <v>-5.5405088623362152E-2</v>
      </c>
      <c r="BF87" s="2">
        <f t="shared" si="177"/>
        <v>0</v>
      </c>
      <c r="BG87" s="2">
        <f t="shared" si="178"/>
        <v>0</v>
      </c>
      <c r="BH87" s="13">
        <f t="shared" si="179"/>
        <v>0</v>
      </c>
      <c r="BI87" s="2">
        <f t="shared" ca="1" si="180"/>
        <v>-0.11622331808923669</v>
      </c>
      <c r="BJ87" s="2">
        <f t="shared" ca="1" si="181"/>
        <v>0</v>
      </c>
      <c r="BK87" s="2">
        <f t="shared" ca="1" si="182"/>
        <v>0</v>
      </c>
      <c r="BL87" s="56">
        <f t="shared" ca="1" si="183"/>
        <v>0</v>
      </c>
      <c r="BN87" s="6">
        <f t="shared" ca="1" si="184"/>
        <v>6670.3009722776333</v>
      </c>
      <c r="BO87" s="6">
        <f t="shared" si="185"/>
        <v>0</v>
      </c>
      <c r="BP87" s="6">
        <f t="shared" si="186"/>
        <v>0</v>
      </c>
      <c r="BQ87" s="12">
        <f t="shared" si="187"/>
        <v>0</v>
      </c>
      <c r="BR87" s="2">
        <f t="shared" ca="1" si="188"/>
        <v>4.489414695094418E-2</v>
      </c>
      <c r="BS87" s="2">
        <f t="shared" si="189"/>
        <v>0</v>
      </c>
      <c r="BT87" s="2">
        <f t="shared" si="190"/>
        <v>0</v>
      </c>
      <c r="BU87" s="13">
        <f t="shared" si="191"/>
        <v>0</v>
      </c>
      <c r="BV87" s="2">
        <f t="shared" ca="1" si="192"/>
        <v>9.4174503661463363E-2</v>
      </c>
      <c r="BW87" s="2">
        <f t="shared" ca="1" si="193"/>
        <v>0</v>
      </c>
      <c r="BX87" s="2">
        <f t="shared" ca="1" si="194"/>
        <v>0</v>
      </c>
      <c r="BY87" s="13">
        <f t="shared" ca="1" si="195"/>
        <v>0</v>
      </c>
      <c r="CB87" s="17" t="s">
        <v>286</v>
      </c>
      <c r="CC87" s="123" t="b">
        <f t="shared" si="78"/>
        <v>1</v>
      </c>
      <c r="CD87" s="124" t="s">
        <v>238</v>
      </c>
      <c r="CE87" s="138" t="str">
        <f>IF([1]!w_info_callput(CD87)="认购","C","P")</f>
        <v>C</v>
      </c>
      <c r="CF87" s="139">
        <f>[1]!w_info_strikeprice(CD87,"")</f>
        <v>3.4</v>
      </c>
      <c r="CG87" s="140" t="str">
        <f>[1]!w_info_lasttradingdate(CD87)</f>
        <v>2020-09-23</v>
      </c>
      <c r="CH87" s="55" t="str">
        <f t="shared" si="154"/>
        <v>IO2009-C-3400.CFE</v>
      </c>
      <c r="CI87" s="55" t="str">
        <f t="shared" si="155"/>
        <v>IO2009-C-3400.CFE</v>
      </c>
      <c r="CK87" s="17" t="s">
        <v>395</v>
      </c>
      <c r="CL87" s="17"/>
    </row>
    <row r="88" spans="1:90">
      <c r="B88" t="s">
        <v>125</v>
      </c>
      <c r="C88" s="29" t="str">
        <f t="shared" si="156"/>
        <v>C</v>
      </c>
      <c r="D88" s="125">
        <f>[1]!w_info_strikeprice(B88,"")</f>
        <v>3500</v>
      </c>
      <c r="E88" s="18" t="str">
        <f>[1]!w_info_lasttradingdate(B88)</f>
        <v>2020-09-18</v>
      </c>
      <c r="F88" s="4">
        <f>IF(G88&gt;0,RTD("wdf.rtq",,$B88,F$5),0)</f>
        <v>334.8</v>
      </c>
      <c r="G88" s="73">
        <f>RTD("wdf.rtq",,$B88,G$5)</f>
        <v>22</v>
      </c>
      <c r="H88" s="4">
        <f>RTD("wdf.rtq",,$B88,H$5)</f>
        <v>7</v>
      </c>
      <c r="I88" s="73">
        <f>RTD("wdf.rtq",,$B88,I$5)</f>
        <v>2</v>
      </c>
      <c r="J88" s="4">
        <f>RTD("wdf.rtq",,$B88,J$5)</f>
        <v>0</v>
      </c>
      <c r="K88" s="73">
        <f>RTD("wdf.rtq",,$B88,K$5)</f>
        <v>0</v>
      </c>
      <c r="L88" s="4">
        <f>[1]!s_dq_presettle(B88,"")</f>
        <v>338.8</v>
      </c>
      <c r="M88" s="6">
        <f t="shared" si="157"/>
        <v>0</v>
      </c>
      <c r="N88" s="3">
        <f t="shared" si="158"/>
        <v>33480</v>
      </c>
      <c r="O88" s="6">
        <f t="shared" si="159"/>
        <v>37243.200000000004</v>
      </c>
      <c r="P88" s="3">
        <f t="shared" si="160"/>
        <v>17500</v>
      </c>
      <c r="Q88" s="6">
        <f t="shared" si="161"/>
        <v>70723.210000000006</v>
      </c>
      <c r="R88" s="75">
        <f ca="1">IF(NOW()-TODAY()&gt;15/24, G88, [1]!s_dq_volume(B88,R$2,1))/$I$2</f>
        <v>28</v>
      </c>
      <c r="S88" s="78">
        <f t="shared" si="162"/>
        <v>224.32000000000016</v>
      </c>
      <c r="T88" s="78">
        <f t="shared" si="163"/>
        <v>110.47999999999985</v>
      </c>
      <c r="AB88" s="17" t="s">
        <v>239</v>
      </c>
      <c r="AC88" s="29" t="str">
        <f>IF([1]!w_info_callput(AB88)="认购","C","P")</f>
        <v>C</v>
      </c>
      <c r="AD88" s="31">
        <f>[1]!w_info_strikeprice(AB88,"")</f>
        <v>3.5</v>
      </c>
      <c r="AE88" s="18" t="str">
        <f>[1]!w_info_lasttradingdate(AB88)</f>
        <v>2020-09-23</v>
      </c>
      <c r="AF88" s="15">
        <f>RTD("wdf.rtq",,$AB88,F$5)</f>
        <v>0.38600000000000001</v>
      </c>
      <c r="AG88" s="73">
        <f>RTD("wdf.rtq",,$AB88,G$5)</f>
        <v>31</v>
      </c>
      <c r="AH88" s="15">
        <f>RTD("wdf.rtq",,$AB88,H$5)</f>
        <v>0.37320000000000003</v>
      </c>
      <c r="AI88" s="73">
        <f>RTD("wdf.rtq",,$AB88,I$5)</f>
        <v>15</v>
      </c>
      <c r="AJ88" s="15">
        <f>RTD("wdf.rtq",,$AB88,J$5)</f>
        <v>0.40300000000000002</v>
      </c>
      <c r="AK88" s="77">
        <f>RTD("wdf.rtq",,$AB88,K$5)</f>
        <v>10</v>
      </c>
      <c r="AL88" s="15">
        <f>[1]!s_dq_presettle(AB88,"")</f>
        <v>0.39479999999999998</v>
      </c>
      <c r="AM88" s="15">
        <f t="shared" si="164"/>
        <v>0</v>
      </c>
      <c r="AN88" s="3">
        <f t="shared" si="165"/>
        <v>38600</v>
      </c>
      <c r="AO88" s="15">
        <f t="shared" si="166"/>
        <v>0.44531999999999999</v>
      </c>
      <c r="AP88" s="14">
        <f t="shared" si="167"/>
        <v>2.7020000000000002E-2</v>
      </c>
      <c r="AQ88" s="8">
        <f t="shared" si="168"/>
        <v>99758.409999999989</v>
      </c>
      <c r="AR88" s="78">
        <f ca="1">IF(NOW()-TODAY()&gt;15/24, AG88, [1]!s_dq_volume(AB88,AR$2,1))/AI$2</f>
        <v>16</v>
      </c>
      <c r="AS88" s="122">
        <f t="shared" si="169"/>
        <v>0.2110000000000003</v>
      </c>
      <c r="AT88" s="122">
        <f t="shared" si="170"/>
        <v>0.17499999999999971</v>
      </c>
      <c r="AV88" s="49">
        <f t="shared" ca="1" si="171"/>
        <v>1349.3009722776405</v>
      </c>
      <c r="AY88" s="10"/>
      <c r="AZ88" s="10"/>
      <c r="BA88" s="6">
        <f t="shared" ca="1" si="172"/>
        <v>-6548.3009722776405</v>
      </c>
      <c r="BB88" s="6">
        <f t="shared" ca="1" si="173"/>
        <v>-41028.300972277641</v>
      </c>
      <c r="BC88" s="6">
        <f t="shared" si="174"/>
        <v>0</v>
      </c>
      <c r="BD88" s="12">
        <f t="shared" si="175"/>
        <v>0</v>
      </c>
      <c r="BE88" s="2">
        <f t="shared" ca="1" si="176"/>
        <v>-5.9898542791394803E-2</v>
      </c>
      <c r="BF88" s="2">
        <f t="shared" ca="1" si="177"/>
        <v>-0.36954706112602614</v>
      </c>
      <c r="BG88" s="2">
        <f t="shared" si="178"/>
        <v>0</v>
      </c>
      <c r="BH88" s="13">
        <f t="shared" si="179"/>
        <v>0</v>
      </c>
      <c r="BI88" s="2">
        <f t="shared" ca="1" si="180"/>
        <v>-0.12564924206240866</v>
      </c>
      <c r="BJ88" s="2">
        <f t="shared" ca="1" si="181"/>
        <v>-0.77519929489080197</v>
      </c>
      <c r="BK88" s="2">
        <f t="shared" ca="1" si="182"/>
        <v>0</v>
      </c>
      <c r="BL88" s="56">
        <f t="shared" ca="1" si="183"/>
        <v>0</v>
      </c>
      <c r="BN88" s="6">
        <f t="shared" ca="1" si="184"/>
        <v>6390.3009722776405</v>
      </c>
      <c r="BO88" s="6">
        <f t="shared" si="185"/>
        <v>0</v>
      </c>
      <c r="BP88" s="6">
        <f t="shared" ca="1" si="186"/>
        <v>40810.300972277641</v>
      </c>
      <c r="BQ88" s="12">
        <f t="shared" ca="1" si="187"/>
        <v>40870.300972277641</v>
      </c>
      <c r="BR88" s="2">
        <f t="shared" ca="1" si="188"/>
        <v>4.7961402213353058E-2</v>
      </c>
      <c r="BS88" s="2">
        <f t="shared" si="189"/>
        <v>0</v>
      </c>
      <c r="BT88" s="2">
        <f t="shared" ca="1" si="190"/>
        <v>0.40624068057083557</v>
      </c>
      <c r="BU88" s="13">
        <f t="shared" ca="1" si="191"/>
        <v>0.406838023539071</v>
      </c>
      <c r="BV88" s="2">
        <f t="shared" ca="1" si="192"/>
        <v>0.10060868855099922</v>
      </c>
      <c r="BW88" s="2">
        <f t="shared" ca="1" si="193"/>
        <v>0</v>
      </c>
      <c r="BX88" s="2">
        <f t="shared" ca="1" si="194"/>
        <v>0.85217154257675265</v>
      </c>
      <c r="BY88" s="13">
        <f t="shared" ca="1" si="195"/>
        <v>0.8534245896078213</v>
      </c>
      <c r="CB88" s="17" t="s">
        <v>287</v>
      </c>
      <c r="CC88" s="123" t="b">
        <f t="shared" si="78"/>
        <v>1</v>
      </c>
      <c r="CD88" s="17" t="s">
        <v>239</v>
      </c>
      <c r="CE88" s="138" t="str">
        <f>IF([1]!w_info_callput(CD88)="认购","C","P")</f>
        <v>C</v>
      </c>
      <c r="CF88" s="139">
        <f>[1]!w_info_strikeprice(CD88,"")</f>
        <v>3.5</v>
      </c>
      <c r="CG88" s="140" t="str">
        <f>[1]!w_info_lasttradingdate(CD88)</f>
        <v>2020-09-23</v>
      </c>
      <c r="CH88" s="55" t="str">
        <f t="shared" si="154"/>
        <v>IO2009-C-3500.CFE</v>
      </c>
      <c r="CI88" s="55" t="str">
        <f t="shared" si="155"/>
        <v>IO2009-C-3500.CFE</v>
      </c>
      <c r="CK88" s="17" t="s">
        <v>396</v>
      </c>
      <c r="CL88" s="17"/>
    </row>
    <row r="89" spans="1:90">
      <c r="B89" t="s">
        <v>126</v>
      </c>
      <c r="C89" s="29" t="str">
        <f t="shared" si="156"/>
        <v>C</v>
      </c>
      <c r="D89" s="125">
        <f>[1]!w_info_strikeprice(B89,"")</f>
        <v>3600</v>
      </c>
      <c r="E89" s="18" t="str">
        <f>[1]!w_info_lasttradingdate(B89)</f>
        <v>2020-09-18</v>
      </c>
      <c r="F89" s="4">
        <f>IF(G89&gt;0,RTD("wdf.rtq",,$B89,F$5),0)</f>
        <v>278.2</v>
      </c>
      <c r="G89" s="73">
        <f>RTD("wdf.rtq",,$B89,G$5)</f>
        <v>18</v>
      </c>
      <c r="H89" s="4">
        <f>RTD("wdf.rtq",,$B89,H$5)</f>
        <v>7</v>
      </c>
      <c r="I89" s="73">
        <f>RTD("wdf.rtq",,$B89,I$5)</f>
        <v>2</v>
      </c>
      <c r="J89" s="4">
        <f>RTD("wdf.rtq",,$B89,J$5)</f>
        <v>0</v>
      </c>
      <c r="K89" s="73">
        <f>RTD("wdf.rtq",,$B89,K$5)</f>
        <v>0</v>
      </c>
      <c r="L89" s="4">
        <f>[1]!s_dq_presettle(B89,"")</f>
        <v>287</v>
      </c>
      <c r="M89" s="6">
        <f t="shared" si="157"/>
        <v>0</v>
      </c>
      <c r="N89" s="3">
        <f t="shared" si="158"/>
        <v>27820</v>
      </c>
      <c r="O89" s="6">
        <f t="shared" si="159"/>
        <v>37243.200000000004</v>
      </c>
      <c r="P89" s="3">
        <f t="shared" si="160"/>
        <v>18000</v>
      </c>
      <c r="Q89" s="6">
        <f t="shared" si="161"/>
        <v>65063.210000000006</v>
      </c>
      <c r="R89" s="75">
        <f ca="1">IF(NOW()-TODAY()&gt;15/24, G89, [1]!s_dq_volume(B89,R$2,1))/$I$2</f>
        <v>15</v>
      </c>
      <c r="S89" s="78">
        <f t="shared" si="162"/>
        <v>124.32000000000016</v>
      </c>
      <c r="T89" s="78">
        <f t="shared" si="163"/>
        <v>153.87999999999982</v>
      </c>
      <c r="AB89" s="17" t="s">
        <v>223</v>
      </c>
      <c r="AC89" s="29" t="str">
        <f>IF([1]!w_info_callput(AB89)="认购","C","P")</f>
        <v>C</v>
      </c>
      <c r="AD89" s="31">
        <f>[1]!w_info_strikeprice(AB89,"")</f>
        <v>3.6</v>
      </c>
      <c r="AE89" s="18" t="str">
        <f>[1]!w_info_lasttradingdate(AB89)</f>
        <v>2020-09-23</v>
      </c>
      <c r="AF89" s="15">
        <f>RTD("wdf.rtq",,$AB89,F$5)</f>
        <v>0.32950000000000002</v>
      </c>
      <c r="AG89" s="73">
        <f>RTD("wdf.rtq",,$AB89,G$5)</f>
        <v>118</v>
      </c>
      <c r="AH89" s="15">
        <f>RTD("wdf.rtq",,$AB89,H$5)</f>
        <v>0.31880000000000003</v>
      </c>
      <c r="AI89" s="73">
        <f>RTD("wdf.rtq",,$AB89,I$5)</f>
        <v>11</v>
      </c>
      <c r="AJ89" s="15">
        <f>RTD("wdf.rtq",,$AB89,J$5)</f>
        <v>0.34250000000000003</v>
      </c>
      <c r="AK89" s="77">
        <f>RTD("wdf.rtq",,$AB89,K$5)</f>
        <v>15</v>
      </c>
      <c r="AL89" s="15">
        <f>[1]!s_dq_presettle(AB89,"")</f>
        <v>0.33710000000000001</v>
      </c>
      <c r="AM89" s="15">
        <f t="shared" si="164"/>
        <v>0</v>
      </c>
      <c r="AN89" s="3">
        <f t="shared" si="165"/>
        <v>32950</v>
      </c>
      <c r="AO89" s="15">
        <f t="shared" si="166"/>
        <v>0.44531999999999999</v>
      </c>
      <c r="AP89" s="14">
        <f t="shared" si="167"/>
        <v>2.3065000000000002E-2</v>
      </c>
      <c r="AQ89" s="8">
        <f t="shared" si="168"/>
        <v>92978.409999999989</v>
      </c>
      <c r="AR89" s="78">
        <f ca="1">IF(NOW()-TODAY()&gt;15/24, AG89, [1]!s_dq_volume(AB89,AR$2,1))/AI$2</f>
        <v>50.6</v>
      </c>
      <c r="AS89" s="122">
        <f t="shared" si="169"/>
        <v>0.11100000000000021</v>
      </c>
      <c r="AT89" s="122">
        <f t="shared" si="170"/>
        <v>0.21849999999999981</v>
      </c>
      <c r="AV89" s="49">
        <f t="shared" ca="1" si="171"/>
        <v>1349.3009722776515</v>
      </c>
      <c r="AY89" s="10"/>
      <c r="AZ89" s="10"/>
      <c r="BA89" s="6">
        <f t="shared" ca="1" si="172"/>
        <v>-6558.3009722776515</v>
      </c>
      <c r="BB89" s="6">
        <f t="shared" ca="1" si="173"/>
        <v>-34978.300972277648</v>
      </c>
      <c r="BC89" s="6">
        <f t="shared" si="174"/>
        <v>0</v>
      </c>
      <c r="BD89" s="12">
        <f t="shared" si="175"/>
        <v>0</v>
      </c>
      <c r="BE89" s="2">
        <f t="shared" ca="1" si="176"/>
        <v>-6.6912418971663626E-2</v>
      </c>
      <c r="BF89" s="2">
        <f t="shared" ca="1" si="177"/>
        <v>-0.35220189713208994</v>
      </c>
      <c r="BG89" s="2">
        <f t="shared" si="178"/>
        <v>0</v>
      </c>
      <c r="BH89" s="13">
        <f t="shared" si="179"/>
        <v>0</v>
      </c>
      <c r="BI89" s="2">
        <f t="shared" ca="1" si="180"/>
        <v>-0.14036225818768519</v>
      </c>
      <c r="BJ89" s="2">
        <f t="shared" ca="1" si="181"/>
        <v>-0.73881432444375184</v>
      </c>
      <c r="BK89" s="2">
        <f t="shared" ca="1" si="182"/>
        <v>0</v>
      </c>
      <c r="BL89" s="56">
        <f t="shared" ca="1" si="183"/>
        <v>0</v>
      </c>
      <c r="BN89" s="6">
        <f t="shared" ca="1" si="184"/>
        <v>6400.3009722776515</v>
      </c>
      <c r="BO89" s="6">
        <f t="shared" si="185"/>
        <v>0</v>
      </c>
      <c r="BP89" s="6">
        <f t="shared" ca="1" si="186"/>
        <v>34760.300972277648</v>
      </c>
      <c r="BQ89" s="12">
        <f t="shared" ca="1" si="187"/>
        <v>34820.300972277648</v>
      </c>
      <c r="BR89" s="2">
        <f t="shared" ca="1" si="188"/>
        <v>5.2983321322504592E-2</v>
      </c>
      <c r="BS89" s="2">
        <f t="shared" si="189"/>
        <v>0</v>
      </c>
      <c r="BT89" s="2">
        <f t="shared" ca="1" si="190"/>
        <v>0.37105981571507601</v>
      </c>
      <c r="BU89" s="13">
        <f t="shared" ca="1" si="191"/>
        <v>0.37170038402955013</v>
      </c>
      <c r="BV89" s="2">
        <f t="shared" ca="1" si="192"/>
        <v>0.11114317403858721</v>
      </c>
      <c r="BW89" s="2">
        <f t="shared" ca="1" si="193"/>
        <v>0</v>
      </c>
      <c r="BX89" s="2">
        <f t="shared" ca="1" si="194"/>
        <v>0.77837260193105029</v>
      </c>
      <c r="BY89" s="13">
        <f t="shared" ca="1" si="195"/>
        <v>0.77971632282060799</v>
      </c>
      <c r="CB89" s="17" t="s">
        <v>288</v>
      </c>
      <c r="CC89" s="123" t="b">
        <f t="shared" si="78"/>
        <v>1</v>
      </c>
      <c r="CD89" s="17" t="s">
        <v>223</v>
      </c>
      <c r="CE89" s="138" t="str">
        <f>IF([1]!w_info_callput(CD89)="认购","C","P")</f>
        <v>C</v>
      </c>
      <c r="CF89" s="139">
        <f>[1]!w_info_strikeprice(CD89,"")</f>
        <v>3.6</v>
      </c>
      <c r="CG89" s="140" t="str">
        <f>[1]!w_info_lasttradingdate(CD89)</f>
        <v>2020-09-23</v>
      </c>
      <c r="CH89" s="55" t="str">
        <f t="shared" si="154"/>
        <v>IO2009-C-3600.CFE</v>
      </c>
      <c r="CI89" s="55" t="str">
        <f t="shared" si="155"/>
        <v>IO2009-C-3600.CFE</v>
      </c>
      <c r="CK89" s="17" t="s">
        <v>397</v>
      </c>
      <c r="CL89" s="17"/>
    </row>
    <row r="90" spans="1:90">
      <c r="B90" t="s">
        <v>127</v>
      </c>
      <c r="C90" s="29" t="str">
        <f t="shared" si="156"/>
        <v>C</v>
      </c>
      <c r="D90" s="125">
        <f>[1]!w_info_strikeprice(B90,"")</f>
        <v>3700</v>
      </c>
      <c r="E90" s="18" t="str">
        <f>[1]!w_info_lasttradingdate(B90)</f>
        <v>2020-09-18</v>
      </c>
      <c r="F90" s="4">
        <f>IF(G90&gt;0,RTD("wdf.rtq",,$B90,F$5),0)</f>
        <v>233.4</v>
      </c>
      <c r="G90" s="73">
        <f>RTD("wdf.rtq",,$B90,G$5)</f>
        <v>36</v>
      </c>
      <c r="H90" s="4">
        <f>RTD("wdf.rtq",,$B90,H$5)</f>
        <v>7</v>
      </c>
      <c r="I90" s="73">
        <f>RTD("wdf.rtq",,$B90,I$5)</f>
        <v>2</v>
      </c>
      <c r="J90" s="4">
        <f>RTD("wdf.rtq",,$B90,J$5)</f>
        <v>252.6</v>
      </c>
      <c r="K90" s="73">
        <f>RTD("wdf.rtq",,$B90,K$5)</f>
        <v>1</v>
      </c>
      <c r="L90" s="4">
        <f>[1]!s_dq_presettle(B90,"")</f>
        <v>241.4</v>
      </c>
      <c r="M90" s="6">
        <f t="shared" si="157"/>
        <v>0</v>
      </c>
      <c r="N90" s="3">
        <f t="shared" si="158"/>
        <v>23340</v>
      </c>
      <c r="O90" s="6">
        <f t="shared" si="159"/>
        <v>37243.200000000004</v>
      </c>
      <c r="P90" s="3">
        <f t="shared" si="160"/>
        <v>18500</v>
      </c>
      <c r="Q90" s="6">
        <f t="shared" si="161"/>
        <v>60583.210000000006</v>
      </c>
      <c r="R90" s="75">
        <f ca="1">IF(NOW()-TODAY()&gt;15/24, G90, [1]!s_dq_volume(B90,R$2,1))/$I$2</f>
        <v>17</v>
      </c>
      <c r="S90" s="78">
        <f t="shared" si="162"/>
        <v>24.320000000000164</v>
      </c>
      <c r="T90" s="78">
        <f t="shared" si="163"/>
        <v>209.07999999999984</v>
      </c>
      <c r="AB90" s="17" t="s">
        <v>205</v>
      </c>
      <c r="AC90" s="29" t="str">
        <f>IF([1]!w_info_callput(AB90)="认购","C","P")</f>
        <v>C</v>
      </c>
      <c r="AD90" s="31">
        <f>[1]!w_info_strikeprice(AB90,"")</f>
        <v>3.7</v>
      </c>
      <c r="AE90" s="18" t="str">
        <f>[1]!w_info_lasttradingdate(AB90)</f>
        <v>2020-09-23</v>
      </c>
      <c r="AF90" s="15">
        <f>RTD("wdf.rtq",,$AB90,F$5)</f>
        <v>0.28350000000000003</v>
      </c>
      <c r="AG90" s="73">
        <f>RTD("wdf.rtq",,$AB90,G$5)</f>
        <v>726</v>
      </c>
      <c r="AH90" s="15">
        <f>RTD("wdf.rtq",,$AB90,H$5)</f>
        <v>0.27500000000000002</v>
      </c>
      <c r="AI90" s="73">
        <f>RTD("wdf.rtq",,$AB90,I$5)</f>
        <v>1</v>
      </c>
      <c r="AJ90" s="15">
        <f>RTD("wdf.rtq",,$AB90,J$5)</f>
        <v>0.29000000000000004</v>
      </c>
      <c r="AK90" s="77">
        <f>RTD("wdf.rtq",,$AB90,K$5)</f>
        <v>4</v>
      </c>
      <c r="AL90" s="15">
        <f>[1]!s_dq_presettle(AB90,"")</f>
        <v>0.28560000000000002</v>
      </c>
      <c r="AM90" s="15">
        <f t="shared" si="164"/>
        <v>0</v>
      </c>
      <c r="AN90" s="3">
        <f t="shared" si="165"/>
        <v>28350.000000000004</v>
      </c>
      <c r="AO90" s="15">
        <f t="shared" si="166"/>
        <v>0.44531999999999999</v>
      </c>
      <c r="AP90" s="14">
        <f t="shared" si="167"/>
        <v>1.9845000000000005E-2</v>
      </c>
      <c r="AQ90" s="8">
        <f t="shared" si="168"/>
        <v>87458.409999999989</v>
      </c>
      <c r="AR90" s="78">
        <f ca="1">IF(NOW()-TODAY()&gt;15/24, AG90, [1]!s_dq_volume(AB90,AR$2,1))/AI$2</f>
        <v>203.2</v>
      </c>
      <c r="AS90" s="122">
        <f t="shared" si="169"/>
        <v>1.1000000000000121E-2</v>
      </c>
      <c r="AT90" s="122">
        <f t="shared" si="170"/>
        <v>0.27249999999999991</v>
      </c>
      <c r="AV90" s="49">
        <f t="shared" ca="1" si="171"/>
        <v>1349.3009722776605</v>
      </c>
      <c r="AY90" s="10"/>
      <c r="AZ90" s="10"/>
      <c r="BA90" s="6">
        <f t="shared" ca="1" si="172"/>
        <v>-6438.3009722776642</v>
      </c>
      <c r="BB90" s="6">
        <f t="shared" ca="1" si="173"/>
        <v>-29728.300972277662</v>
      </c>
      <c r="BC90" s="6">
        <f t="shared" ca="1" si="174"/>
        <v>-3728.3009722776642</v>
      </c>
      <c r="BD90" s="12">
        <f t="shared" ca="1" si="175"/>
        <v>-3668.3009722776642</v>
      </c>
      <c r="BE90" s="2">
        <f t="shared" ca="1" si="176"/>
        <v>-7.2394788991397743E-2</v>
      </c>
      <c r="BF90" s="2">
        <f t="shared" ca="1" si="177"/>
        <v>-0.33185125842529711</v>
      </c>
      <c r="BG90" s="2">
        <f t="shared" ca="1" si="178"/>
        <v>-4.231742489606978E-2</v>
      </c>
      <c r="BH90" s="13">
        <f t="shared" ca="1" si="179"/>
        <v>-4.1645859321857867E-2</v>
      </c>
      <c r="BI90" s="2">
        <f t="shared" ca="1" si="180"/>
        <v>-0.15186263207965617</v>
      </c>
      <c r="BJ90" s="2">
        <f t="shared" ca="1" si="181"/>
        <v>-0.69612476623697384</v>
      </c>
      <c r="BK90" s="2">
        <f t="shared" ca="1" si="182"/>
        <v>-8.8769310845203842E-2</v>
      </c>
      <c r="BL90" s="56">
        <f t="shared" ca="1" si="183"/>
        <v>-8.7360566968265066E-2</v>
      </c>
      <c r="BN90" s="6">
        <f t="shared" ca="1" si="184"/>
        <v>6280.3009722776642</v>
      </c>
      <c r="BO90" s="6">
        <f t="shared" ca="1" si="185"/>
        <v>3510.3009722776642</v>
      </c>
      <c r="BP90" s="6">
        <f t="shared" ca="1" si="186"/>
        <v>29510.300972277662</v>
      </c>
      <c r="BQ90" s="12">
        <f t="shared" ca="1" si="187"/>
        <v>29570.300972277662</v>
      </c>
      <c r="BR90" s="2">
        <f t="shared" ca="1" si="188"/>
        <v>5.6682230117541081E-2</v>
      </c>
      <c r="BS90" s="2">
        <f t="shared" ca="1" si="189"/>
        <v>3.1142215120650341E-2</v>
      </c>
      <c r="BT90" s="2">
        <f t="shared" ca="1" si="190"/>
        <v>0.33474168008978455</v>
      </c>
      <c r="BU90" s="13">
        <f t="shared" ca="1" si="191"/>
        <v>0.3354223490677482</v>
      </c>
      <c r="BV90" s="2">
        <f t="shared" ca="1" si="192"/>
        <v>0.11890237926955458</v>
      </c>
      <c r="BW90" s="2">
        <f t="shared" ca="1" si="193"/>
        <v>6.5327060454237793E-2</v>
      </c>
      <c r="BX90" s="2">
        <f t="shared" ca="1" si="194"/>
        <v>0.70218800708489293</v>
      </c>
      <c r="BY90" s="13">
        <f t="shared" ca="1" si="195"/>
        <v>0.70361584718234538</v>
      </c>
      <c r="CB90" s="17" t="s">
        <v>289</v>
      </c>
      <c r="CC90" s="123" t="b">
        <f t="shared" si="78"/>
        <v>1</v>
      </c>
      <c r="CD90" s="17" t="s">
        <v>205</v>
      </c>
      <c r="CE90" s="138" t="str">
        <f>IF([1]!w_info_callput(CD90)="认购","C","P")</f>
        <v>C</v>
      </c>
      <c r="CF90" s="139">
        <f>[1]!w_info_strikeprice(CD90,"")</f>
        <v>3.7</v>
      </c>
      <c r="CG90" s="140" t="str">
        <f>[1]!w_info_lasttradingdate(CD90)</f>
        <v>2020-09-23</v>
      </c>
      <c r="CH90" s="55" t="str">
        <f t="shared" si="154"/>
        <v>IO2009-C-3700.CFE</v>
      </c>
      <c r="CI90" s="55" t="str">
        <f t="shared" si="155"/>
        <v>IO2009-C-3700.CFE</v>
      </c>
      <c r="CK90" s="17" t="s">
        <v>398</v>
      </c>
      <c r="CL90" s="17"/>
    </row>
    <row r="91" spans="1:90">
      <c r="B91" t="s">
        <v>128</v>
      </c>
      <c r="C91" s="29" t="str">
        <f t="shared" si="156"/>
        <v>C</v>
      </c>
      <c r="D91" s="125">
        <f>[1]!w_info_strikeprice(B91,"")</f>
        <v>3800</v>
      </c>
      <c r="E91" s="18" t="str">
        <f>[1]!w_info_lasttradingdate(B91)</f>
        <v>2020-09-18</v>
      </c>
      <c r="F91" s="4">
        <f>IF(G91&gt;0,RTD("wdf.rtq",,$B91,F$5),0)</f>
        <v>197</v>
      </c>
      <c r="G91" s="73">
        <f>RTD("wdf.rtq",,$B91,G$5)</f>
        <v>33</v>
      </c>
      <c r="H91" s="4">
        <f>RTD("wdf.rtq",,$B91,H$5)</f>
        <v>190</v>
      </c>
      <c r="I91" s="73">
        <f>RTD("wdf.rtq",,$B91,I$5)</f>
        <v>1</v>
      </c>
      <c r="J91" s="4">
        <f>RTD("wdf.rtq",,$B91,J$5)</f>
        <v>207.8</v>
      </c>
      <c r="K91" s="73">
        <f>RTD("wdf.rtq",,$B91,K$5)</f>
        <v>3</v>
      </c>
      <c r="L91" s="4">
        <f>[1]!s_dq_presettle(B91,"")</f>
        <v>200.4</v>
      </c>
      <c r="M91" s="6">
        <f t="shared" si="157"/>
        <v>75.679999999999836</v>
      </c>
      <c r="N91" s="3">
        <f t="shared" si="158"/>
        <v>19700</v>
      </c>
      <c r="O91" s="6">
        <f t="shared" si="159"/>
        <v>29675.200000000019</v>
      </c>
      <c r="P91" s="3">
        <f t="shared" si="160"/>
        <v>19000</v>
      </c>
      <c r="Q91" s="6">
        <f t="shared" si="161"/>
        <v>49375.210000000021</v>
      </c>
      <c r="R91" s="75">
        <f ca="1">IF(NOW()-TODAY()&gt;15/24, G91, [1]!s_dq_volume(B91,R$2,1))/$I$2</f>
        <v>16</v>
      </c>
      <c r="S91" s="78">
        <f t="shared" si="162"/>
        <v>0</v>
      </c>
      <c r="T91" s="78">
        <f t="shared" si="163"/>
        <v>197</v>
      </c>
      <c r="AB91" s="17" t="s">
        <v>206</v>
      </c>
      <c r="AC91" s="29" t="str">
        <f>IF([1]!w_info_callput(AB91)="认购","C","P")</f>
        <v>C</v>
      </c>
      <c r="AD91" s="31">
        <f>[1]!w_info_strikeprice(AB91,"")</f>
        <v>3.8</v>
      </c>
      <c r="AE91" s="18" t="str">
        <f>[1]!w_info_lasttradingdate(AB91)</f>
        <v>2020-09-23</v>
      </c>
      <c r="AF91" s="15">
        <f>RTD("wdf.rtq",,$AB91,F$5)</f>
        <v>0.2361</v>
      </c>
      <c r="AG91" s="73">
        <f>RTD("wdf.rtq",,$AB91,G$5)</f>
        <v>394</v>
      </c>
      <c r="AH91" s="15">
        <f>RTD("wdf.rtq",,$AB91,H$5)</f>
        <v>0.2283</v>
      </c>
      <c r="AI91" s="73">
        <f>RTD("wdf.rtq",,$AB91,I$5)</f>
        <v>6</v>
      </c>
      <c r="AJ91" s="15">
        <f>RTD("wdf.rtq",,$AB91,J$5)</f>
        <v>0.23970000000000002</v>
      </c>
      <c r="AK91" s="77">
        <f>RTD("wdf.rtq",,$AB91,K$5)</f>
        <v>1</v>
      </c>
      <c r="AL91" s="15">
        <f>[1]!s_dq_presettle(AB91,"")</f>
        <v>0.2399</v>
      </c>
      <c r="AM91" s="15">
        <f t="shared" si="164"/>
        <v>8.8999999999999524E-2</v>
      </c>
      <c r="AN91" s="3">
        <f t="shared" si="165"/>
        <v>23610</v>
      </c>
      <c r="AO91" s="15">
        <f t="shared" si="166"/>
        <v>0.35632000000000047</v>
      </c>
      <c r="AP91" s="14">
        <f t="shared" si="167"/>
        <v>1.6527000000000003E-2</v>
      </c>
      <c r="AQ91" s="8">
        <f t="shared" si="168"/>
        <v>71090.410000000047</v>
      </c>
      <c r="AR91" s="78">
        <f ca="1">IF(NOW()-TODAY()&gt;15/24, AG91, [1]!s_dq_volume(AB91,AR$2,1))/AI$2</f>
        <v>138.1</v>
      </c>
      <c r="AS91" s="122">
        <f t="shared" si="169"/>
        <v>0</v>
      </c>
      <c r="AT91" s="122">
        <f t="shared" si="170"/>
        <v>0.2361</v>
      </c>
      <c r="AV91" s="49">
        <f t="shared" ca="1" si="171"/>
        <v>0</v>
      </c>
      <c r="AY91" s="10"/>
      <c r="AZ91" s="10"/>
      <c r="BA91" s="6">
        <f t="shared" ca="1" si="172"/>
        <v>-3989</v>
      </c>
      <c r="BB91" s="6">
        <f t="shared" ca="1" si="173"/>
        <v>-5049.0000000000036</v>
      </c>
      <c r="BC91" s="6">
        <f t="shared" ca="1" si="174"/>
        <v>-2189</v>
      </c>
      <c r="BD91" s="12">
        <f t="shared" ca="1" si="175"/>
        <v>-2129</v>
      </c>
      <c r="BE91" s="2">
        <f t="shared" ca="1" si="176"/>
        <v>-5.4654908850710969E-2</v>
      </c>
      <c r="BF91" s="2">
        <f t="shared" ca="1" si="177"/>
        <v>-6.8838851235138623E-2</v>
      </c>
      <c r="BG91" s="2">
        <f t="shared" ca="1" si="178"/>
        <v>-3.0307976951538102E-2</v>
      </c>
      <c r="BH91" s="13">
        <f t="shared" ca="1" si="179"/>
        <v>-2.9485406939471534E-2</v>
      </c>
      <c r="BI91" s="2">
        <f t="shared" ca="1" si="180"/>
        <v>-0.11464966511787071</v>
      </c>
      <c r="BJ91" s="2">
        <f t="shared" ca="1" si="181"/>
        <v>-0.14440333736106664</v>
      </c>
      <c r="BK91" s="2">
        <f t="shared" ca="1" si="182"/>
        <v>-6.3577078087996591E-2</v>
      </c>
      <c r="BL91" s="56">
        <f t="shared" ca="1" si="183"/>
        <v>-6.1851572028201775E-2</v>
      </c>
      <c r="BN91" s="6">
        <f t="shared" ca="1" si="184"/>
        <v>3831</v>
      </c>
      <c r="BO91" s="6">
        <f t="shared" ca="1" si="185"/>
        <v>1971</v>
      </c>
      <c r="BP91" s="6">
        <f t="shared" ca="1" si="186"/>
        <v>4831.0000000000036</v>
      </c>
      <c r="BQ91" s="12">
        <f t="shared" ca="1" si="187"/>
        <v>4891.0000000000036</v>
      </c>
      <c r="BR91" s="2">
        <f t="shared" ca="1" si="188"/>
        <v>4.2196086569055012E-2</v>
      </c>
      <c r="BS91" s="2">
        <f t="shared" ca="1" si="189"/>
        <v>2.1454133055463658E-2</v>
      </c>
      <c r="BT91" s="2">
        <f t="shared" ca="1" si="190"/>
        <v>5.3623897677034071E-2</v>
      </c>
      <c r="BU91" s="13">
        <f t="shared" ca="1" si="191"/>
        <v>5.4289907216539486E-2</v>
      </c>
      <c r="BV91" s="2">
        <f t="shared" ca="1" si="192"/>
        <v>8.8514779297155621E-2</v>
      </c>
      <c r="BW91" s="2">
        <f t="shared" ca="1" si="193"/>
        <v>4.5004359570369169E-2</v>
      </c>
      <c r="BX91" s="2">
        <f t="shared" ca="1" si="194"/>
        <v>0.11248691179377836</v>
      </c>
      <c r="BY91" s="13">
        <f t="shared" ca="1" si="195"/>
        <v>0.11388400077032708</v>
      </c>
      <c r="CB91" s="17" t="s">
        <v>290</v>
      </c>
      <c r="CC91" s="123" t="b">
        <f t="shared" si="78"/>
        <v>1</v>
      </c>
      <c r="CD91" s="17" t="s">
        <v>206</v>
      </c>
      <c r="CE91" s="138" t="str">
        <f>IF([1]!w_info_callput(CD91)="认购","C","P")</f>
        <v>C</v>
      </c>
      <c r="CF91" s="139">
        <f>[1]!w_info_strikeprice(CD91,"")</f>
        <v>3.8</v>
      </c>
      <c r="CG91" s="140" t="str">
        <f>[1]!w_info_lasttradingdate(CD91)</f>
        <v>2020-09-23</v>
      </c>
      <c r="CH91" s="55" t="str">
        <f t="shared" si="154"/>
        <v>IO2009-C-3800.CFE</v>
      </c>
      <c r="CI91" s="55" t="str">
        <f t="shared" si="155"/>
        <v>IO2009-C-3800.CFE</v>
      </c>
      <c r="CK91" s="17" t="s">
        <v>399</v>
      </c>
      <c r="CL91" s="17"/>
    </row>
    <row r="92" spans="1:90">
      <c r="B92" t="s">
        <v>129</v>
      </c>
      <c r="C92" s="29" t="str">
        <f t="shared" si="156"/>
        <v>C</v>
      </c>
      <c r="D92" s="125">
        <f>[1]!w_info_strikeprice(B92,"")</f>
        <v>3900</v>
      </c>
      <c r="E92" s="18" t="str">
        <f>[1]!w_info_lasttradingdate(B92)</f>
        <v>2020-09-18</v>
      </c>
      <c r="F92" s="4">
        <f>IF(G92&gt;0,RTD("wdf.rtq",,$B92,F$5),0)</f>
        <v>161.4</v>
      </c>
      <c r="G92" s="73">
        <f>RTD("wdf.rtq",,$B92,G$5)</f>
        <v>52</v>
      </c>
      <c r="H92" s="4">
        <f>RTD("wdf.rtq",,$B92,H$5)</f>
        <v>7</v>
      </c>
      <c r="I92" s="73">
        <f>RTD("wdf.rtq",,$B92,I$5)</f>
        <v>2</v>
      </c>
      <c r="J92" s="4">
        <f>RTD("wdf.rtq",,$B92,J$5)</f>
        <v>187</v>
      </c>
      <c r="K92" s="73">
        <f>RTD("wdf.rtq",,$B92,K$5)</f>
        <v>2</v>
      </c>
      <c r="L92" s="4">
        <f>[1]!s_dq_presettle(B92,"")</f>
        <v>166.8</v>
      </c>
      <c r="M92" s="6">
        <f t="shared" si="157"/>
        <v>175.67999999999984</v>
      </c>
      <c r="N92" s="3">
        <f t="shared" si="158"/>
        <v>16140</v>
      </c>
      <c r="O92" s="6">
        <f t="shared" si="159"/>
        <v>19675.200000000019</v>
      </c>
      <c r="P92" s="3">
        <f t="shared" si="160"/>
        <v>19500</v>
      </c>
      <c r="Q92" s="6">
        <f t="shared" si="161"/>
        <v>35815.210000000021</v>
      </c>
      <c r="R92" s="75">
        <f ca="1">IF(NOW()-TODAY()&gt;15/24, G92, [1]!s_dq_volume(B92,R$2,1))/$I$2</f>
        <v>46</v>
      </c>
      <c r="S92" s="78">
        <f t="shared" si="162"/>
        <v>0</v>
      </c>
      <c r="T92" s="78">
        <f t="shared" si="163"/>
        <v>161.4</v>
      </c>
      <c r="AB92" s="17" t="s">
        <v>207</v>
      </c>
      <c r="AC92" s="29" t="str">
        <f>IF([1]!w_info_callput(AB92)="认购","C","P")</f>
        <v>C</v>
      </c>
      <c r="AD92" s="31">
        <f>[1]!w_info_strikeprice(AB92,"")</f>
        <v>3.9</v>
      </c>
      <c r="AE92" s="18" t="str">
        <f>[1]!w_info_lasttradingdate(AB92)</f>
        <v>2020-09-23</v>
      </c>
      <c r="AF92" s="15">
        <f>RTD("wdf.rtq",,$AB92,F$5)</f>
        <v>0.19570000000000001</v>
      </c>
      <c r="AG92" s="73">
        <f>RTD("wdf.rtq",,$AB92,G$5)</f>
        <v>284</v>
      </c>
      <c r="AH92" s="15">
        <f>RTD("wdf.rtq",,$AB92,H$5)</f>
        <v>0.18990000000000001</v>
      </c>
      <c r="AI92" s="73">
        <f>RTD("wdf.rtq",,$AB92,I$5)</f>
        <v>6</v>
      </c>
      <c r="AJ92" s="15">
        <f>RTD("wdf.rtq",,$AB92,J$5)</f>
        <v>0.2046</v>
      </c>
      <c r="AK92" s="77">
        <f>RTD("wdf.rtq",,$AB92,K$5)</f>
        <v>18</v>
      </c>
      <c r="AL92" s="15">
        <f>[1]!s_dq_presettle(AB92,"")</f>
        <v>0.2001</v>
      </c>
      <c r="AM92" s="15">
        <f t="shared" si="164"/>
        <v>0.18899999999999961</v>
      </c>
      <c r="AN92" s="3">
        <f t="shared" si="165"/>
        <v>19570</v>
      </c>
      <c r="AO92" s="15">
        <f t="shared" si="166"/>
        <v>0.25632000000000038</v>
      </c>
      <c r="AP92" s="14">
        <f t="shared" si="167"/>
        <v>1.3699000000000003E-2</v>
      </c>
      <c r="AQ92" s="8">
        <f t="shared" si="168"/>
        <v>54242.410000000054</v>
      </c>
      <c r="AR92" s="78">
        <f ca="1">IF(NOW()-TODAY()&gt;15/24, AG92, [1]!s_dq_volume(AB92,AR$2,1))/AI$2</f>
        <v>108.8</v>
      </c>
      <c r="AS92" s="122">
        <f t="shared" si="169"/>
        <v>0</v>
      </c>
      <c r="AT92" s="122">
        <f t="shared" si="170"/>
        <v>0.19570000000000001</v>
      </c>
      <c r="AV92" s="49">
        <f t="shared" ca="1" si="171"/>
        <v>0</v>
      </c>
      <c r="AY92" s="10"/>
      <c r="AZ92" s="10"/>
      <c r="BA92" s="6">
        <f t="shared" ca="1" si="172"/>
        <v>-3509</v>
      </c>
      <c r="BB92" s="6">
        <f t="shared" ca="1" si="173"/>
        <v>-19839</v>
      </c>
      <c r="BC92" s="6">
        <f t="shared" ca="1" si="174"/>
        <v>-429</v>
      </c>
      <c r="BD92" s="12">
        <f t="shared" ca="1" si="175"/>
        <v>-369</v>
      </c>
      <c r="BE92" s="2">
        <f t="shared" ca="1" si="176"/>
        <v>-6.3356264244551902E-2</v>
      </c>
      <c r="BF92" s="2">
        <f t="shared" ca="1" si="177"/>
        <v>-0.3525353348303808</v>
      </c>
      <c r="BG92" s="2">
        <f t="shared" ca="1" si="178"/>
        <v>-7.8248674286883688E-3</v>
      </c>
      <c r="BH92" s="13">
        <f t="shared" ca="1" si="179"/>
        <v>-6.7329365219109616E-3</v>
      </c>
      <c r="BI92" s="2">
        <f t="shared" ca="1" si="180"/>
        <v>-0.13290250832908876</v>
      </c>
      <c r="BJ92" s="2">
        <f t="shared" ca="1" si="181"/>
        <v>-0.73951377708671828</v>
      </c>
      <c r="BK92" s="2">
        <f t="shared" ca="1" si="182"/>
        <v>-1.6414233399260084E-2</v>
      </c>
      <c r="BL92" s="56">
        <f t="shared" ca="1" si="183"/>
        <v>-1.4123688681020119E-2</v>
      </c>
      <c r="BN92" s="6">
        <f t="shared" ca="1" si="184"/>
        <v>3351</v>
      </c>
      <c r="BO92" s="6">
        <f t="shared" ca="1" si="185"/>
        <v>211</v>
      </c>
      <c r="BP92" s="6">
        <f t="shared" ca="1" si="186"/>
        <v>19621</v>
      </c>
      <c r="BQ92" s="12">
        <f t="shared" ca="1" si="187"/>
        <v>19681</v>
      </c>
      <c r="BR92" s="2">
        <f t="shared" ca="1" si="188"/>
        <v>4.7611327887180858E-2</v>
      </c>
      <c r="BS92" s="2">
        <f t="shared" ca="1" si="189"/>
        <v>2.8926930163124557E-3</v>
      </c>
      <c r="BT92" s="2">
        <f t="shared" ca="1" si="190"/>
        <v>0.35711926101557545</v>
      </c>
      <c r="BU92" s="13">
        <f t="shared" ca="1" si="191"/>
        <v>0.35821144358247081</v>
      </c>
      <c r="BV92" s="2">
        <f t="shared" ca="1" si="192"/>
        <v>9.9874337234603525E-2</v>
      </c>
      <c r="BW92" s="2">
        <f t="shared" ca="1" si="193"/>
        <v>6.0680054652531394E-3</v>
      </c>
      <c r="BX92" s="2">
        <f t="shared" ca="1" si="194"/>
        <v>0.74912948431428183</v>
      </c>
      <c r="BY92" s="13">
        <f t="shared" ca="1" si="195"/>
        <v>0.75142055694024046</v>
      </c>
      <c r="CB92" s="17" t="s">
        <v>291</v>
      </c>
      <c r="CC92" s="123" t="b">
        <f t="shared" si="78"/>
        <v>1</v>
      </c>
      <c r="CD92" s="17" t="s">
        <v>207</v>
      </c>
      <c r="CE92" s="138" t="str">
        <f>IF([1]!w_info_callput(CD92)="认购","C","P")</f>
        <v>C</v>
      </c>
      <c r="CF92" s="139">
        <f>[1]!w_info_strikeprice(CD92,"")</f>
        <v>3.9</v>
      </c>
      <c r="CG92" s="140" t="str">
        <f>[1]!w_info_lasttradingdate(CD92)</f>
        <v>2020-09-23</v>
      </c>
      <c r="CH92" s="55" t="str">
        <f t="shared" si="154"/>
        <v>IO2009-C-3900.CFE</v>
      </c>
      <c r="CI92" s="55" t="str">
        <f t="shared" si="155"/>
        <v>IO2009-C-3900.CFE</v>
      </c>
      <c r="CK92" s="17" t="s">
        <v>400</v>
      </c>
      <c r="CL92" s="17"/>
    </row>
    <row r="93" spans="1:90">
      <c r="B93" t="s">
        <v>130</v>
      </c>
      <c r="C93" s="29" t="str">
        <f t="shared" si="156"/>
        <v>C</v>
      </c>
      <c r="D93" s="125">
        <f>[1]!w_info_strikeprice(B93,"")</f>
        <v>4000</v>
      </c>
      <c r="E93" s="18" t="str">
        <f>[1]!w_info_lasttradingdate(B93)</f>
        <v>2020-09-18</v>
      </c>
      <c r="F93" s="4">
        <f>IF(G93&gt;0,RTD("wdf.rtq",,$B93,F$5),0)</f>
        <v>133.80000000000001</v>
      </c>
      <c r="G93" s="73">
        <f>RTD("wdf.rtq",,$B93,G$5)</f>
        <v>30</v>
      </c>
      <c r="H93" s="4">
        <f>RTD("wdf.rtq",,$B93,H$5)</f>
        <v>10</v>
      </c>
      <c r="I93" s="73">
        <f>RTD("wdf.rtq",,$B93,I$5)</f>
        <v>3</v>
      </c>
      <c r="J93" s="4">
        <f>RTD("wdf.rtq",,$B93,J$5)</f>
        <v>147</v>
      </c>
      <c r="K93" s="73">
        <f>RTD("wdf.rtq",,$B93,K$5)</f>
        <v>1</v>
      </c>
      <c r="L93" s="4">
        <f>[1]!s_dq_presettle(B93,"")</f>
        <v>140.80000000000001</v>
      </c>
      <c r="M93" s="6">
        <f t="shared" si="157"/>
        <v>275.67999999999984</v>
      </c>
      <c r="N93" s="3">
        <f t="shared" si="158"/>
        <v>13380.000000000002</v>
      </c>
      <c r="O93" s="6">
        <f t="shared" si="159"/>
        <v>9675.2000000000189</v>
      </c>
      <c r="P93" s="3">
        <f t="shared" si="160"/>
        <v>20000</v>
      </c>
      <c r="Q93" s="6">
        <f t="shared" si="161"/>
        <v>33380.01</v>
      </c>
      <c r="R93" s="75">
        <f ca="1">IF(NOW()-TODAY()&gt;15/24, G93, [1]!s_dq_volume(B93,R$2,1))/$I$2</f>
        <v>34</v>
      </c>
      <c r="S93" s="78">
        <f t="shared" si="162"/>
        <v>0</v>
      </c>
      <c r="T93" s="78">
        <f t="shared" si="163"/>
        <v>133.80000000000001</v>
      </c>
      <c r="AB93" s="17" t="s">
        <v>208</v>
      </c>
      <c r="AC93" s="29" t="str">
        <f>IF([1]!w_info_callput(AB93)="认购","C","P")</f>
        <v>C</v>
      </c>
      <c r="AD93" s="31">
        <f>[1]!w_info_strikeprice(AB93,"")</f>
        <v>4</v>
      </c>
      <c r="AE93" s="18" t="str">
        <f>[1]!w_info_lasttradingdate(AB93)</f>
        <v>2020-09-23</v>
      </c>
      <c r="AF93" s="15">
        <f>RTD("wdf.rtq",,$AB93,F$5)</f>
        <v>0.16220000000000001</v>
      </c>
      <c r="AG93" s="73">
        <f>RTD("wdf.rtq",,$AB93,G$5)</f>
        <v>437</v>
      </c>
      <c r="AH93" s="15">
        <f>RTD("wdf.rtq",,$AB93,H$5)</f>
        <v>0.15640000000000001</v>
      </c>
      <c r="AI93" s="73">
        <f>RTD("wdf.rtq",,$AB93,I$5)</f>
        <v>15</v>
      </c>
      <c r="AJ93" s="15">
        <f>RTD("wdf.rtq",,$AB93,J$5)</f>
        <v>0.16889999999999999</v>
      </c>
      <c r="AK93" s="77">
        <f>RTD("wdf.rtq",,$AB93,K$5)</f>
        <v>14</v>
      </c>
      <c r="AL93" s="15">
        <f>[1]!s_dq_presettle(AB93,"")</f>
        <v>0.1658</v>
      </c>
      <c r="AM93" s="15">
        <f t="shared" si="164"/>
        <v>0.2889999999999997</v>
      </c>
      <c r="AN93" s="3">
        <f t="shared" si="165"/>
        <v>16220.000000000002</v>
      </c>
      <c r="AO93" s="15">
        <f t="shared" si="166"/>
        <v>0.15632000000000029</v>
      </c>
      <c r="AP93" s="14">
        <f t="shared" si="167"/>
        <v>1.1354000000000001E-2</v>
      </c>
      <c r="AQ93" s="8">
        <f t="shared" si="168"/>
        <v>38222.410000000033</v>
      </c>
      <c r="AR93" s="78">
        <f ca="1">IF(NOW()-TODAY()&gt;15/24, AG93, [1]!s_dq_volume(AB93,AR$2,1))/AI$2</f>
        <v>97.4</v>
      </c>
      <c r="AS93" s="122">
        <f t="shared" si="169"/>
        <v>0</v>
      </c>
      <c r="AT93" s="122">
        <f t="shared" si="170"/>
        <v>0.16220000000000001</v>
      </c>
      <c r="AV93" s="49">
        <f t="shared" ca="1" si="171"/>
        <v>0</v>
      </c>
      <c r="AY93" s="10"/>
      <c r="AZ93" s="10"/>
      <c r="BA93" s="6">
        <f t="shared" ca="1" si="172"/>
        <v>-2919</v>
      </c>
      <c r="BB93" s="6">
        <f t="shared" ca="1" si="173"/>
        <v>-15969</v>
      </c>
      <c r="BC93" s="6">
        <f t="shared" ca="1" si="174"/>
        <v>-1079.0000000000018</v>
      </c>
      <c r="BD93" s="12">
        <f t="shared" ca="1" si="175"/>
        <v>-1019.0000000000018</v>
      </c>
      <c r="BE93" s="2">
        <f t="shared" ca="1" si="176"/>
        <v>-5.8850794586533348E-2</v>
      </c>
      <c r="BF93" s="2">
        <f t="shared" ca="1" si="177"/>
        <v>-0.31766454790838511</v>
      </c>
      <c r="BG93" s="2">
        <f t="shared" ca="1" si="178"/>
        <v>-2.2002442495423671E-2</v>
      </c>
      <c r="BH93" s="13">
        <f t="shared" ca="1" si="179"/>
        <v>-2.0787429459928747E-2</v>
      </c>
      <c r="BI93" s="2">
        <f t="shared" ca="1" si="180"/>
        <v>-0.12345137944876249</v>
      </c>
      <c r="BJ93" s="2">
        <f t="shared" ca="1" si="181"/>
        <v>-0.66636528727908373</v>
      </c>
      <c r="BK93" s="2">
        <f t="shared" ca="1" si="182"/>
        <v>-4.6154548912814022E-2</v>
      </c>
      <c r="BL93" s="56">
        <f t="shared" ca="1" si="183"/>
        <v>-4.3605814671689613E-2</v>
      </c>
      <c r="BN93" s="6">
        <f t="shared" ca="1" si="184"/>
        <v>2761</v>
      </c>
      <c r="BO93" s="6">
        <f t="shared" ca="1" si="185"/>
        <v>861.00000000000182</v>
      </c>
      <c r="BP93" s="6">
        <f t="shared" ca="1" si="186"/>
        <v>15751</v>
      </c>
      <c r="BQ93" s="12">
        <f t="shared" ca="1" si="187"/>
        <v>15811</v>
      </c>
      <c r="BR93" s="2">
        <f t="shared" ca="1" si="188"/>
        <v>5.3505252952333007E-2</v>
      </c>
      <c r="BS93" s="2">
        <f t="shared" ca="1" si="189"/>
        <v>1.6269100367878205E-2</v>
      </c>
      <c r="BT93" s="2">
        <f t="shared" ca="1" si="190"/>
        <v>0.40158144204731805</v>
      </c>
      <c r="BU93" s="13">
        <f t="shared" ca="1" si="191"/>
        <v>0.40311138453756379</v>
      </c>
      <c r="BV93" s="2">
        <f t="shared" ca="1" si="192"/>
        <v>0.1122380306183997</v>
      </c>
      <c r="BW93" s="2">
        <f t="shared" ca="1" si="193"/>
        <v>3.4127710541813475E-2</v>
      </c>
      <c r="BX93" s="2">
        <f t="shared" ca="1" si="194"/>
        <v>0.84239785257052346</v>
      </c>
      <c r="BY93" s="13">
        <f t="shared" ca="1" si="195"/>
        <v>0.84560721469086653</v>
      </c>
      <c r="CB93" s="17" t="s">
        <v>292</v>
      </c>
      <c r="CC93" s="123" t="b">
        <f t="shared" si="78"/>
        <v>1</v>
      </c>
      <c r="CD93" s="17" t="s">
        <v>208</v>
      </c>
      <c r="CE93" s="138" t="str">
        <f>IF([1]!w_info_callput(CD93)="认购","C","P")</f>
        <v>C</v>
      </c>
      <c r="CF93" s="139">
        <f>[1]!w_info_strikeprice(CD93,"")</f>
        <v>4</v>
      </c>
      <c r="CG93" s="140" t="str">
        <f>[1]!w_info_lasttradingdate(CD93)</f>
        <v>2020-09-23</v>
      </c>
      <c r="CH93" s="55" t="str">
        <f t="shared" si="154"/>
        <v>IO2009-C-4000.CFE</v>
      </c>
      <c r="CI93" s="55" t="str">
        <f t="shared" si="155"/>
        <v>IO2009-C-4000.CFE</v>
      </c>
      <c r="CK93" s="17" t="s">
        <v>401</v>
      </c>
      <c r="CL93" s="17"/>
    </row>
    <row r="94" spans="1:90">
      <c r="B94" t="s">
        <v>131</v>
      </c>
      <c r="C94" s="29" t="str">
        <f t="shared" si="156"/>
        <v>C</v>
      </c>
      <c r="D94" s="125">
        <f>[1]!w_info_strikeprice(B94,"")</f>
        <v>4100</v>
      </c>
      <c r="E94" s="18" t="str">
        <f>[1]!w_info_lasttradingdate(B94)</f>
        <v>2020-09-18</v>
      </c>
      <c r="F94" s="4">
        <f>IF(G94&gt;0,RTD("wdf.rtq",,$B94,F$5),0)</f>
        <v>110.8</v>
      </c>
      <c r="G94" s="73">
        <f>RTD("wdf.rtq",,$B94,G$5)</f>
        <v>22</v>
      </c>
      <c r="H94" s="4">
        <f>RTD("wdf.rtq",,$B94,H$5)</f>
        <v>7</v>
      </c>
      <c r="I94" s="73">
        <f>RTD("wdf.rtq",,$B94,I$5)</f>
        <v>2</v>
      </c>
      <c r="J94" s="4">
        <f>RTD("wdf.rtq",,$B94,J$5)</f>
        <v>486</v>
      </c>
      <c r="K94" s="73">
        <f>RTD("wdf.rtq",,$B94,K$5)</f>
        <v>2</v>
      </c>
      <c r="L94" s="4">
        <f>[1]!s_dq_presettle(B94,"")</f>
        <v>112.6</v>
      </c>
      <c r="M94" s="6">
        <f t="shared" si="157"/>
        <v>375.67999999999984</v>
      </c>
      <c r="N94" s="3">
        <f t="shared" si="158"/>
        <v>11080</v>
      </c>
      <c r="O94" s="6">
        <f t="shared" si="159"/>
        <v>-324.79999999998199</v>
      </c>
      <c r="P94" s="3">
        <f t="shared" si="160"/>
        <v>20500</v>
      </c>
      <c r="Q94" s="6">
        <f t="shared" si="161"/>
        <v>31580.01</v>
      </c>
      <c r="R94" s="75">
        <f ca="1">IF(NOW()-TODAY()&gt;15/24, G94, [1]!s_dq_volume(B94,R$2,1))/$I$2</f>
        <v>81</v>
      </c>
      <c r="S94" s="78">
        <f t="shared" si="162"/>
        <v>0</v>
      </c>
      <c r="T94" s="78">
        <f t="shared" si="163"/>
        <v>110.8</v>
      </c>
      <c r="AB94" s="17" t="s">
        <v>209</v>
      </c>
      <c r="AC94" s="29" t="str">
        <f>IF([1]!w_info_callput(AB94)="认购","C","P")</f>
        <v>C</v>
      </c>
      <c r="AD94" s="31">
        <f>[1]!w_info_strikeprice(AB94,"")</f>
        <v>4.0999999999999996</v>
      </c>
      <c r="AE94" s="18" t="str">
        <f>[1]!w_info_lasttradingdate(AB94)</f>
        <v>2020-09-23</v>
      </c>
      <c r="AF94" s="15">
        <f>RTD("wdf.rtq",,$AB94,F$5)</f>
        <v>0.13400000000000001</v>
      </c>
      <c r="AG94" s="73">
        <f>RTD("wdf.rtq",,$AB94,G$5)</f>
        <v>216</v>
      </c>
      <c r="AH94" s="15">
        <f>RTD("wdf.rtq",,$AB94,H$5)</f>
        <v>0.12940000000000002</v>
      </c>
      <c r="AI94" s="73">
        <f>RTD("wdf.rtq",,$AB94,I$5)</f>
        <v>10</v>
      </c>
      <c r="AJ94" s="15">
        <f>RTD("wdf.rtq",,$AB94,J$5)</f>
        <v>0.13900000000000001</v>
      </c>
      <c r="AK94" s="77">
        <f>RTD("wdf.rtq",,$AB94,K$5)</f>
        <v>10</v>
      </c>
      <c r="AL94" s="15">
        <f>[1]!s_dq_presettle(AB94,"")</f>
        <v>0.13600000000000001</v>
      </c>
      <c r="AM94" s="15">
        <f t="shared" si="164"/>
        <v>0.38899999999999935</v>
      </c>
      <c r="AN94" s="3">
        <f t="shared" si="165"/>
        <v>13400</v>
      </c>
      <c r="AO94" s="15">
        <f t="shared" si="166"/>
        <v>5.6320000000000647E-2</v>
      </c>
      <c r="AP94" s="14">
        <f t="shared" si="167"/>
        <v>9.3800000000000012E-3</v>
      </c>
      <c r="AQ94" s="8">
        <f t="shared" si="168"/>
        <v>22838.410000000076</v>
      </c>
      <c r="AR94" s="78">
        <f ca="1">IF(NOW()-TODAY()&gt;15/24, AG94, [1]!s_dq_volume(AB94,AR$2,1))/AI$2</f>
        <v>93</v>
      </c>
      <c r="AS94" s="122">
        <f t="shared" si="169"/>
        <v>0</v>
      </c>
      <c r="AT94" s="122">
        <f t="shared" si="170"/>
        <v>0.13400000000000001</v>
      </c>
      <c r="AV94" s="49">
        <f t="shared" ca="1" si="171"/>
        <v>0</v>
      </c>
      <c r="AY94" s="10"/>
      <c r="AZ94" s="10"/>
      <c r="BA94" s="6">
        <f t="shared" ca="1" si="172"/>
        <v>-2399</v>
      </c>
      <c r="BB94" s="6">
        <f t="shared" ca="1" si="173"/>
        <v>-13279.000000000002</v>
      </c>
      <c r="BC94" s="6">
        <f t="shared" ca="1" si="174"/>
        <v>35521</v>
      </c>
      <c r="BD94" s="12">
        <f t="shared" ca="1" si="175"/>
        <v>35581</v>
      </c>
      <c r="BE94" s="2">
        <f t="shared" ca="1" si="176"/>
        <v>-5.3334803616095244E-2</v>
      </c>
      <c r="BF94" s="2">
        <f t="shared" ca="1" si="177"/>
        <v>-0.29197443008477791</v>
      </c>
      <c r="BG94" s="2">
        <f t="shared" ca="1" si="178"/>
        <v>0.79750767905081288</v>
      </c>
      <c r="BH94" s="13">
        <f t="shared" ca="1" si="179"/>
        <v>0.79921365696009494</v>
      </c>
      <c r="BI94" s="2">
        <f t="shared" ca="1" si="180"/>
        <v>-0.11188047884985496</v>
      </c>
      <c r="BJ94" s="2">
        <f t="shared" ca="1" si="181"/>
        <v>-0.61247509759163188</v>
      </c>
      <c r="BK94" s="2">
        <f t="shared" ca="1" si="182"/>
        <v>1.6729327750203833</v>
      </c>
      <c r="BL94" s="56">
        <f t="shared" ca="1" si="183"/>
        <v>1.6765114068415783</v>
      </c>
      <c r="BN94" s="6">
        <f t="shared" ca="1" si="184"/>
        <v>2241</v>
      </c>
      <c r="BO94" s="6">
        <f t="shared" ca="1" si="185"/>
        <v>-35739</v>
      </c>
      <c r="BP94" s="6">
        <f t="shared" ca="1" si="186"/>
        <v>13061.000000000002</v>
      </c>
      <c r="BQ94" s="12">
        <f t="shared" ca="1" si="187"/>
        <v>13121.000000000002</v>
      </c>
      <c r="BR94" s="2">
        <f t="shared" ca="1" si="188"/>
        <v>6.6070314027101951E-2</v>
      </c>
      <c r="BS94" s="2">
        <f t="shared" ca="1" si="189"/>
        <v>-0.50027709183337032</v>
      </c>
      <c r="BT94" s="2">
        <f t="shared" ca="1" si="190"/>
        <v>0.55487982843375527</v>
      </c>
      <c r="BU94" s="13">
        <f t="shared" ca="1" si="191"/>
        <v>0.55742932509035059</v>
      </c>
      <c r="BV94" s="2">
        <f t="shared" ca="1" si="192"/>
        <v>0.13859577367754145</v>
      </c>
      <c r="BW94" s="2">
        <f t="shared" ca="1" si="193"/>
        <v>-1.049431830570001</v>
      </c>
      <c r="BX94" s="2">
        <f t="shared" ca="1" si="194"/>
        <v>1.1639720538983946</v>
      </c>
      <c r="BY94" s="13">
        <f t="shared" ca="1" si="195"/>
        <v>1.1693201359653906</v>
      </c>
      <c r="CB94" s="17" t="s">
        <v>293</v>
      </c>
      <c r="CC94" s="123" t="b">
        <f t="shared" si="78"/>
        <v>1</v>
      </c>
      <c r="CD94" s="17" t="s">
        <v>209</v>
      </c>
      <c r="CE94" s="138" t="str">
        <f>IF([1]!w_info_callput(CD94)="认购","C","P")</f>
        <v>C</v>
      </c>
      <c r="CF94" s="139">
        <f>[1]!w_info_strikeprice(CD94,"")</f>
        <v>4.0999999999999996</v>
      </c>
      <c r="CG94" s="140" t="str">
        <f>[1]!w_info_lasttradingdate(CD94)</f>
        <v>2020-09-23</v>
      </c>
      <c r="CH94" s="55" t="str">
        <f t="shared" si="154"/>
        <v>IO2009-C-4100.CFE</v>
      </c>
      <c r="CI94" s="55" t="str">
        <f t="shared" si="155"/>
        <v>IO2009-C-4100.CFE</v>
      </c>
      <c r="CK94" s="17" t="s">
        <v>402</v>
      </c>
      <c r="CL94" s="17"/>
    </row>
    <row r="95" spans="1:90">
      <c r="B95" t="s">
        <v>132</v>
      </c>
      <c r="C95" s="29" t="str">
        <f t="shared" si="156"/>
        <v>C</v>
      </c>
      <c r="D95" s="125">
        <f>[1]!w_info_strikeprice(B95,"")</f>
        <v>4200</v>
      </c>
      <c r="E95" s="18" t="str">
        <f>[1]!w_info_lasttradingdate(B95)</f>
        <v>2020-09-18</v>
      </c>
      <c r="F95" s="4">
        <f>IF(G95&gt;0,RTD("wdf.rtq",,$B95,F$5),0)</f>
        <v>92</v>
      </c>
      <c r="G95" s="73">
        <f>RTD("wdf.rtq",,$B95,G$5)</f>
        <v>9</v>
      </c>
      <c r="H95" s="4">
        <f>RTD("wdf.rtq",,$B95,H$5)</f>
        <v>7</v>
      </c>
      <c r="I95" s="73">
        <f>RTD("wdf.rtq",,$B95,I$5)</f>
        <v>1</v>
      </c>
      <c r="J95" s="4">
        <f>RTD("wdf.rtq",,$B95,J$5)</f>
        <v>104</v>
      </c>
      <c r="K95" s="73">
        <f>RTD("wdf.rtq",,$B95,K$5)</f>
        <v>4</v>
      </c>
      <c r="L95" s="4">
        <f>[1]!s_dq_presettle(B95,"")</f>
        <v>97.4</v>
      </c>
      <c r="M95" s="6">
        <f t="shared" si="157"/>
        <v>475.67999999999984</v>
      </c>
      <c r="N95" s="3">
        <f t="shared" si="158"/>
        <v>9200</v>
      </c>
      <c r="O95" s="6">
        <f t="shared" si="159"/>
        <v>-10324.799999999981</v>
      </c>
      <c r="P95" s="3">
        <f t="shared" si="160"/>
        <v>21000</v>
      </c>
      <c r="Q95" s="6">
        <f t="shared" si="161"/>
        <v>30200.01</v>
      </c>
      <c r="R95" s="75">
        <f ca="1">IF(NOW()-TODAY()&gt;15/24, G95, [1]!s_dq_volume(B95,R$2,1))/$I$2</f>
        <v>16</v>
      </c>
      <c r="S95" s="78">
        <f t="shared" si="162"/>
        <v>0</v>
      </c>
      <c r="T95" s="78">
        <f t="shared" si="163"/>
        <v>92</v>
      </c>
      <c r="AB95" s="17" t="s">
        <v>210</v>
      </c>
      <c r="AC95" s="29" t="str">
        <f>IF([1]!w_info_callput(AB95)="认购","C","P")</f>
        <v>C</v>
      </c>
      <c r="AD95" s="31">
        <f>[1]!w_info_strikeprice(AB95,"")</f>
        <v>4.2</v>
      </c>
      <c r="AE95" s="18" t="str">
        <f>[1]!w_info_lasttradingdate(AB95)</f>
        <v>2020-09-23</v>
      </c>
      <c r="AF95" s="15">
        <f>RTD("wdf.rtq",,$AB95,F$5)</f>
        <v>0.1114</v>
      </c>
      <c r="AG95" s="73">
        <f>RTD("wdf.rtq",,$AB95,G$5)</f>
        <v>410</v>
      </c>
      <c r="AH95" s="15">
        <f>RTD("wdf.rtq",,$AB95,H$5)</f>
        <v>0.11080000000000001</v>
      </c>
      <c r="AI95" s="73">
        <f>RTD("wdf.rtq",,$AB95,I$5)</f>
        <v>5</v>
      </c>
      <c r="AJ95" s="15">
        <f>RTD("wdf.rtq",,$AB95,J$5)</f>
        <v>0.1149</v>
      </c>
      <c r="AK95" s="77">
        <f>RTD("wdf.rtq",,$AB95,K$5)</f>
        <v>2</v>
      </c>
      <c r="AL95" s="15">
        <f>[1]!s_dq_presettle(AB95,"")</f>
        <v>0.11219999999999999</v>
      </c>
      <c r="AM95" s="15">
        <f t="shared" si="164"/>
        <v>0.48899999999999988</v>
      </c>
      <c r="AN95" s="3">
        <f t="shared" si="165"/>
        <v>11140</v>
      </c>
      <c r="AO95" s="15">
        <f t="shared" si="166"/>
        <v>-4.3679999999999886E-2</v>
      </c>
      <c r="AP95" s="14">
        <f t="shared" si="167"/>
        <v>7.7980000000000002E-3</v>
      </c>
      <c r="AQ95" s="8">
        <f t="shared" si="168"/>
        <v>14303.769999999999</v>
      </c>
      <c r="AR95" s="78">
        <f ca="1">IF(NOW()-TODAY()&gt;15/24, AG95, [1]!s_dq_volume(AB95,AR$2,1))/AI$2</f>
        <v>127.3</v>
      </c>
      <c r="AS95" s="122">
        <f t="shared" si="169"/>
        <v>0</v>
      </c>
      <c r="AT95" s="122">
        <f t="shared" si="170"/>
        <v>0.1114</v>
      </c>
      <c r="AV95" s="49">
        <f t="shared" ca="1" si="171"/>
        <v>0</v>
      </c>
      <c r="AY95" s="10"/>
      <c r="AZ95" s="10"/>
      <c r="BA95" s="6">
        <f t="shared" ca="1" si="172"/>
        <v>-2019</v>
      </c>
      <c r="BB95" s="6">
        <f t="shared" ca="1" si="173"/>
        <v>-10869</v>
      </c>
      <c r="BC95" s="6">
        <f t="shared" ca="1" si="174"/>
        <v>-819.00000000000182</v>
      </c>
      <c r="BD95" s="12">
        <f t="shared" ca="1" si="175"/>
        <v>-759.00000000000182</v>
      </c>
      <c r="BE95" s="2">
        <f t="shared" ca="1" si="176"/>
        <v>-4.8838885138150677E-2</v>
      </c>
      <c r="BF95" s="2">
        <f t="shared" ca="1" si="177"/>
        <v>-0.260709939863291</v>
      </c>
      <c r="BG95" s="2">
        <f t="shared" ca="1" si="178"/>
        <v>-1.9830503673001574E-2</v>
      </c>
      <c r="BH95" s="13">
        <f t="shared" ca="1" si="179"/>
        <v>-1.8386623452852888E-2</v>
      </c>
      <c r="BI95" s="2">
        <f t="shared" ca="1" si="180"/>
        <v>-0.10244938549094826</v>
      </c>
      <c r="BJ95" s="2">
        <f t="shared" ca="1" si="181"/>
        <v>-0.54689154051782307</v>
      </c>
      <c r="BK95" s="2">
        <f t="shared" ca="1" si="182"/>
        <v>-4.1598470348537787E-2</v>
      </c>
      <c r="BL95" s="56">
        <f t="shared" ca="1" si="183"/>
        <v>-3.8569641151099454E-2</v>
      </c>
      <c r="BN95" s="6">
        <f t="shared" ca="1" si="184"/>
        <v>1861</v>
      </c>
      <c r="BO95" s="6">
        <f t="shared" ca="1" si="185"/>
        <v>601.00000000000182</v>
      </c>
      <c r="BP95" s="6">
        <f t="shared" ca="1" si="186"/>
        <v>10651</v>
      </c>
      <c r="BQ95" s="12">
        <f t="shared" ca="1" si="187"/>
        <v>10711</v>
      </c>
      <c r="BR95" s="2">
        <f t="shared" ca="1" si="188"/>
        <v>7.917878706267123E-2</v>
      </c>
      <c r="BS95" s="2">
        <f t="shared" ca="1" si="189"/>
        <v>2.4328270543322008E-2</v>
      </c>
      <c r="BT95" s="2">
        <f t="shared" ca="1" si="190"/>
        <v>0.70988730180840975</v>
      </c>
      <c r="BU95" s="13">
        <f t="shared" ca="1" si="191"/>
        <v>0.71388724300625783</v>
      </c>
      <c r="BV95" s="2">
        <f t="shared" ca="1" si="192"/>
        <v>0.1660934326314655</v>
      </c>
      <c r="BW95" s="2">
        <f t="shared" ca="1" si="193"/>
        <v>5.103344108225593E-2</v>
      </c>
      <c r="BX95" s="2">
        <f t="shared" ca="1" si="194"/>
        <v>1.4891314089659171</v>
      </c>
      <c r="BY95" s="13">
        <f t="shared" ca="1" si="195"/>
        <v>1.4975220902142763</v>
      </c>
      <c r="CB95" s="17" t="s">
        <v>294</v>
      </c>
      <c r="CC95" s="123" t="b">
        <f t="shared" si="78"/>
        <v>1</v>
      </c>
      <c r="CD95" s="17" t="s">
        <v>210</v>
      </c>
      <c r="CE95" s="138" t="str">
        <f>IF([1]!w_info_callput(CD95)="认购","C","P")</f>
        <v>C</v>
      </c>
      <c r="CF95" s="139">
        <f>[1]!w_info_strikeprice(CD95,"")</f>
        <v>4.2</v>
      </c>
      <c r="CG95" s="140" t="str">
        <f>[1]!w_info_lasttradingdate(CD95)</f>
        <v>2020-09-23</v>
      </c>
      <c r="CH95" s="55" t="str">
        <f t="shared" si="154"/>
        <v>IO2009-C-4200.CFE</v>
      </c>
      <c r="CI95" s="55" t="str">
        <f t="shared" si="155"/>
        <v>IO2009-C-4200.CFE</v>
      </c>
      <c r="CK95" s="17" t="s">
        <v>403</v>
      </c>
      <c r="CL95" s="17"/>
    </row>
    <row r="96" spans="1:90">
      <c r="B96" t="s">
        <v>133</v>
      </c>
      <c r="AB96" s="17" t="s">
        <v>211</v>
      </c>
      <c r="CB96" s="17" t="s">
        <v>295</v>
      </c>
      <c r="CC96" s="123"/>
      <c r="CD96" s="17" t="s">
        <v>211</v>
      </c>
      <c r="CE96" s="138" t="str">
        <f>IF([1]!w_info_callput(CD96)="认购","C","P")</f>
        <v>C</v>
      </c>
      <c r="CF96" s="139">
        <f>[1]!w_info_strikeprice(CD96,"")</f>
        <v>4.3</v>
      </c>
      <c r="CG96" s="140" t="str">
        <f>[1]!w_info_lasttradingdate(CD96)</f>
        <v>2020-09-23</v>
      </c>
      <c r="CH96" s="55" t="str">
        <f t="shared" si="154"/>
        <v>IO2009-C-4300.CFE</v>
      </c>
      <c r="CI96" s="55" t="str">
        <f t="shared" si="155"/>
        <v>IO2009-C-4300.CFE</v>
      </c>
      <c r="CK96" s="17" t="s">
        <v>404</v>
      </c>
      <c r="CL96" s="17"/>
    </row>
    <row r="97" spans="2:90">
      <c r="B97" t="s">
        <v>134</v>
      </c>
      <c r="AB97" s="124" t="s">
        <v>212</v>
      </c>
      <c r="CB97" s="17" t="s">
        <v>296</v>
      </c>
      <c r="CC97" s="123"/>
      <c r="CD97" s="124" t="s">
        <v>212</v>
      </c>
      <c r="CE97" s="138" t="str">
        <f>IF([1]!w_info_callput(CD97)="认购","C","P")</f>
        <v>C</v>
      </c>
      <c r="CF97" s="139">
        <f>[1]!w_info_strikeprice(CD97,"")</f>
        <v>4.4000000000000004</v>
      </c>
      <c r="CG97" s="140" t="str">
        <f>[1]!w_info_lasttradingdate(CD97)</f>
        <v>2020-09-23</v>
      </c>
      <c r="CH97" s="55" t="str">
        <f t="shared" si="154"/>
        <v>IO2009-C-4400.CFE</v>
      </c>
      <c r="CI97" s="55" t="str">
        <f t="shared" si="155"/>
        <v>IO2009-C-4400.CFE</v>
      </c>
      <c r="CK97" s="17" t="s">
        <v>405</v>
      </c>
      <c r="CL97" s="17"/>
    </row>
    <row r="98" spans="2:90">
      <c r="B98" t="s">
        <v>135</v>
      </c>
      <c r="AB98" s="17" t="s">
        <v>213</v>
      </c>
      <c r="CB98" s="17" t="s">
        <v>338</v>
      </c>
      <c r="CC98" s="123"/>
      <c r="CD98" s="17" t="s">
        <v>213</v>
      </c>
      <c r="CE98" s="138" t="str">
        <f>IF([1]!w_info_callput(CD98)="认购","C","P")</f>
        <v>C</v>
      </c>
      <c r="CF98" s="139">
        <f>[1]!w_info_strikeprice(CD98,"")</f>
        <v>4.5</v>
      </c>
      <c r="CG98" s="140" t="str">
        <f>[1]!w_info_lasttradingdate(CD98)</f>
        <v>2020-09-23</v>
      </c>
      <c r="CH98" s="55" t="str">
        <f t="shared" si="154"/>
        <v>IO2009-C-4500.CFE</v>
      </c>
      <c r="CI98" s="55" t="str">
        <f t="shared" si="155"/>
        <v>IO2009-C-4500.CFE</v>
      </c>
      <c r="CL98" s="17"/>
    </row>
    <row r="99" spans="2:90">
      <c r="B99" t="s">
        <v>136</v>
      </c>
      <c r="AB99" s="17" t="s">
        <v>392</v>
      </c>
      <c r="CB99" s="17" t="s">
        <v>432</v>
      </c>
      <c r="CC99" s="123"/>
      <c r="CD99" s="17" t="s">
        <v>392</v>
      </c>
      <c r="CE99" s="138" t="str">
        <f>IF([1]!w_info_callput(CD99)="认购","C","P")</f>
        <v>C</v>
      </c>
      <c r="CF99" s="139">
        <f>[1]!w_info_strikeprice(CD99,"")</f>
        <v>4.5999999999999996</v>
      </c>
      <c r="CG99" s="140" t="str">
        <f>[1]!w_info_lasttradingdate(CD99)</f>
        <v>2020-09-23</v>
      </c>
      <c r="CH99" s="55" t="str">
        <f t="shared" si="154"/>
        <v>IO2009-C-4600.CFE</v>
      </c>
      <c r="CI99" s="55" t="str">
        <f t="shared" si="155"/>
        <v>IO2009-C-4600.CFE</v>
      </c>
      <c r="CL99" s="17"/>
    </row>
    <row r="100" spans="2:90">
      <c r="B100" t="s">
        <v>436</v>
      </c>
      <c r="AB100" s="17" t="s">
        <v>410</v>
      </c>
      <c r="CB100" s="17" t="s">
        <v>339</v>
      </c>
      <c r="CC100" s="123"/>
      <c r="CD100" s="17" t="s">
        <v>410</v>
      </c>
      <c r="CE100" s="138" t="str">
        <f>IF([1]!w_info_callput(CD100)="认购","C","P")</f>
        <v>P</v>
      </c>
      <c r="CF100" s="139">
        <f>[1]!w_info_strikeprice(CD100,"")</f>
        <v>3.1</v>
      </c>
      <c r="CG100" s="140" t="str">
        <f>[1]!w_info_lasttradingdate(CD100)</f>
        <v>2020-09-23</v>
      </c>
      <c r="CH100" s="55" t="str">
        <f t="shared" si="154"/>
        <v>IO2009-P-3100.CFE</v>
      </c>
      <c r="CI100" s="55" t="str">
        <f t="shared" si="155"/>
        <v>IO2009-P-3100.CFE</v>
      </c>
      <c r="CL100" s="17"/>
    </row>
    <row r="101" spans="2:90">
      <c r="B101" t="s">
        <v>367</v>
      </c>
      <c r="AB101" s="17" t="s">
        <v>405</v>
      </c>
      <c r="CB101" s="17" t="s">
        <v>340</v>
      </c>
      <c r="CC101" s="123"/>
      <c r="CD101" s="17" t="s">
        <v>405</v>
      </c>
      <c r="CE101" s="138" t="str">
        <f>IF([1]!w_info_callput(CD101)="认购","C","P")</f>
        <v>P</v>
      </c>
      <c r="CF101" s="139">
        <f>[1]!w_info_strikeprice(CD101,"")</f>
        <v>3.2</v>
      </c>
      <c r="CG101" s="140" t="str">
        <f>[1]!w_info_lasttradingdate(CD101)</f>
        <v>2020-09-23</v>
      </c>
      <c r="CH101" s="55" t="str">
        <f t="shared" si="154"/>
        <v>IO2009-P-3200.CFE</v>
      </c>
      <c r="CI101" s="55" t="str">
        <f t="shared" si="155"/>
        <v>IO2009-P-3200.CFE</v>
      </c>
      <c r="CL101" s="17"/>
    </row>
    <row r="102" spans="2:90">
      <c r="B102" t="s">
        <v>138</v>
      </c>
      <c r="AB102" s="17" t="s">
        <v>240</v>
      </c>
      <c r="CB102" s="17" t="s">
        <v>341</v>
      </c>
      <c r="CC102" s="123"/>
      <c r="CD102" s="17" t="s">
        <v>240</v>
      </c>
      <c r="CE102" s="138" t="str">
        <f>IF([1]!w_info_callput(CD102)="认购","C","P")</f>
        <v>P</v>
      </c>
      <c r="CF102" s="139">
        <f>[1]!w_info_strikeprice(CD102,"")</f>
        <v>3.3</v>
      </c>
      <c r="CG102" s="140" t="str">
        <f>[1]!w_info_lasttradingdate(CD102)</f>
        <v>2020-09-23</v>
      </c>
      <c r="CH102" s="55" t="str">
        <f t="shared" ref="CH102:CH115" si="196">"IO20"&amp;MID(CG102,6,2)&amp;"-"&amp;CE102&amp;"-"&amp;CF102*1000&amp;".CFE"</f>
        <v>IO2009-P-3300.CFE</v>
      </c>
      <c r="CI102" s="55" t="str">
        <f t="shared" ref="CI102:CI115" si="197">VLOOKUP(CH102,CB:CB,1,0)</f>
        <v>IO2009-P-3300.CFE</v>
      </c>
      <c r="CL102" s="17"/>
    </row>
    <row r="103" spans="2:90">
      <c r="B103" t="s">
        <v>139</v>
      </c>
      <c r="AB103" s="17" t="s">
        <v>241</v>
      </c>
      <c r="CB103" s="17" t="s">
        <v>342</v>
      </c>
      <c r="CC103" s="123"/>
      <c r="CD103" s="17" t="s">
        <v>241</v>
      </c>
      <c r="CE103" s="138" t="str">
        <f>IF([1]!w_info_callput(CD103)="认购","C","P")</f>
        <v>P</v>
      </c>
      <c r="CF103" s="139">
        <f>[1]!w_info_strikeprice(CD103,"")</f>
        <v>3.4</v>
      </c>
      <c r="CG103" s="140" t="str">
        <f>[1]!w_info_lasttradingdate(CD103)</f>
        <v>2020-09-23</v>
      </c>
      <c r="CH103" s="55" t="str">
        <f t="shared" si="196"/>
        <v>IO2009-P-3400.CFE</v>
      </c>
      <c r="CI103" s="55" t="str">
        <f t="shared" si="197"/>
        <v>IO2009-P-3400.CFE</v>
      </c>
      <c r="CL103" s="17"/>
    </row>
    <row r="104" spans="2:90">
      <c r="B104" t="s">
        <v>140</v>
      </c>
      <c r="AB104" s="17" t="s">
        <v>242</v>
      </c>
      <c r="CB104" s="17" t="s">
        <v>343</v>
      </c>
      <c r="CC104" s="123"/>
      <c r="CD104" s="17" t="s">
        <v>242</v>
      </c>
      <c r="CE104" s="138" t="str">
        <f>IF([1]!w_info_callput(CD104)="认购","C","P")</f>
        <v>P</v>
      </c>
      <c r="CF104" s="139">
        <f>[1]!w_info_strikeprice(CD104,"")</f>
        <v>3.5</v>
      </c>
      <c r="CG104" s="140" t="str">
        <f>[1]!w_info_lasttradingdate(CD104)</f>
        <v>2020-09-23</v>
      </c>
      <c r="CH104" s="55" t="str">
        <f t="shared" si="196"/>
        <v>IO2009-P-3500.CFE</v>
      </c>
      <c r="CI104" s="55" t="str">
        <f t="shared" si="197"/>
        <v>IO2009-P-3500.CFE</v>
      </c>
      <c r="CL104" s="17"/>
    </row>
    <row r="105" spans="2:90">
      <c r="B105" t="s">
        <v>141</v>
      </c>
      <c r="AB105" s="17" t="s">
        <v>224</v>
      </c>
      <c r="CB105" s="17" t="s">
        <v>344</v>
      </c>
      <c r="CC105" s="123"/>
      <c r="CD105" s="17" t="s">
        <v>224</v>
      </c>
      <c r="CE105" s="138" t="str">
        <f>IF([1]!w_info_callput(CD105)="认购","C","P")</f>
        <v>P</v>
      </c>
      <c r="CF105" s="139">
        <f>[1]!w_info_strikeprice(CD105,"")</f>
        <v>3.6</v>
      </c>
      <c r="CG105" s="140" t="str">
        <f>[1]!w_info_lasttradingdate(CD105)</f>
        <v>2020-09-23</v>
      </c>
      <c r="CH105" s="55" t="str">
        <f t="shared" si="196"/>
        <v>IO2009-P-3600.CFE</v>
      </c>
      <c r="CI105" s="55" t="str">
        <f t="shared" si="197"/>
        <v>IO2009-P-3600.CFE</v>
      </c>
      <c r="CL105" s="17"/>
    </row>
    <row r="106" spans="2:90">
      <c r="B106" t="s">
        <v>142</v>
      </c>
      <c r="AB106" s="17" t="s">
        <v>214</v>
      </c>
      <c r="CB106" s="17" t="s">
        <v>320</v>
      </c>
      <c r="CC106" s="123"/>
      <c r="CD106" s="17" t="s">
        <v>214</v>
      </c>
      <c r="CE106" s="138" t="str">
        <f>IF([1]!w_info_callput(CD106)="认购","C","P")</f>
        <v>P</v>
      </c>
      <c r="CF106" s="139">
        <f>[1]!w_info_strikeprice(CD106,"")</f>
        <v>3.7</v>
      </c>
      <c r="CG106" s="140" t="str">
        <f>[1]!w_info_lasttradingdate(CD106)</f>
        <v>2020-09-23</v>
      </c>
      <c r="CH106" s="55" t="str">
        <f t="shared" si="196"/>
        <v>IO2009-P-3700.CFE</v>
      </c>
      <c r="CI106" s="55" t="str">
        <f t="shared" si="197"/>
        <v>IO2009-P-3700.CFE</v>
      </c>
      <c r="CL106" s="17"/>
    </row>
    <row r="107" spans="2:90">
      <c r="B107" t="s">
        <v>143</v>
      </c>
      <c r="AB107" s="17" t="s">
        <v>215</v>
      </c>
      <c r="CB107" s="17" t="s">
        <v>321</v>
      </c>
      <c r="CC107" s="123"/>
      <c r="CD107" s="17" t="s">
        <v>215</v>
      </c>
      <c r="CE107" s="138" t="str">
        <f>IF([1]!w_info_callput(CD107)="认购","C","P")</f>
        <v>P</v>
      </c>
      <c r="CF107" s="139">
        <f>[1]!w_info_strikeprice(CD107,"")</f>
        <v>3.8</v>
      </c>
      <c r="CG107" s="140" t="str">
        <f>[1]!w_info_lasttradingdate(CD107)</f>
        <v>2020-09-23</v>
      </c>
      <c r="CH107" s="55" t="str">
        <f t="shared" si="196"/>
        <v>IO2009-P-3800.CFE</v>
      </c>
      <c r="CI107" s="55" t="str">
        <f t="shared" si="197"/>
        <v>IO2009-P-3800.CFE</v>
      </c>
      <c r="CL107" s="17"/>
    </row>
    <row r="108" spans="2:90">
      <c r="B108" t="s">
        <v>144</v>
      </c>
      <c r="AB108" s="17" t="s">
        <v>216</v>
      </c>
      <c r="CB108" s="17" t="s">
        <v>322</v>
      </c>
      <c r="CC108" s="123"/>
      <c r="CD108" s="17" t="s">
        <v>216</v>
      </c>
      <c r="CE108" s="138" t="str">
        <f>IF([1]!w_info_callput(CD108)="认购","C","P")</f>
        <v>P</v>
      </c>
      <c r="CF108" s="139">
        <f>[1]!w_info_strikeprice(CD108,"")</f>
        <v>3.9</v>
      </c>
      <c r="CG108" s="140" t="str">
        <f>[1]!w_info_lasttradingdate(CD108)</f>
        <v>2020-09-23</v>
      </c>
      <c r="CH108" s="55" t="str">
        <f t="shared" si="196"/>
        <v>IO2009-P-3900.CFE</v>
      </c>
      <c r="CI108" s="55" t="str">
        <f t="shared" si="197"/>
        <v>IO2009-P-3900.CFE</v>
      </c>
      <c r="CL108" s="17"/>
    </row>
    <row r="109" spans="2:90">
      <c r="B109" t="s">
        <v>145</v>
      </c>
      <c r="AB109" s="17" t="s">
        <v>217</v>
      </c>
      <c r="CB109" s="17" t="s">
        <v>298</v>
      </c>
      <c r="CC109" s="123"/>
      <c r="CD109" s="17" t="s">
        <v>217</v>
      </c>
      <c r="CE109" s="138" t="str">
        <f>IF([1]!w_info_callput(CD109)="认购","C","P")</f>
        <v>P</v>
      </c>
      <c r="CF109" s="139">
        <f>[1]!w_info_strikeprice(CD109,"")</f>
        <v>4</v>
      </c>
      <c r="CG109" s="140" t="str">
        <f>[1]!w_info_lasttradingdate(CD109)</f>
        <v>2020-09-23</v>
      </c>
      <c r="CH109" s="55" t="str">
        <f t="shared" si="196"/>
        <v>IO2009-P-4000.CFE</v>
      </c>
      <c r="CI109" s="55" t="str">
        <f t="shared" si="197"/>
        <v>IO2009-P-4000.CFE</v>
      </c>
      <c r="CL109" s="17"/>
    </row>
    <row r="110" spans="2:90">
      <c r="B110" t="s">
        <v>146</v>
      </c>
      <c r="AB110" s="17" t="s">
        <v>218</v>
      </c>
      <c r="CB110" s="17" t="s">
        <v>259</v>
      </c>
      <c r="CC110" s="123"/>
      <c r="CD110" s="17" t="s">
        <v>218</v>
      </c>
      <c r="CE110" s="138" t="str">
        <f>IF([1]!w_info_callput(CD110)="认购","C","P")</f>
        <v>P</v>
      </c>
      <c r="CF110" s="139">
        <f>[1]!w_info_strikeprice(CD110,"")</f>
        <v>4.0999999999999996</v>
      </c>
      <c r="CG110" s="140" t="str">
        <f>[1]!w_info_lasttradingdate(CD110)</f>
        <v>2020-09-23</v>
      </c>
      <c r="CH110" s="55" t="str">
        <f t="shared" si="196"/>
        <v>IO2009-P-4100.CFE</v>
      </c>
      <c r="CI110" s="55" t="str">
        <f t="shared" si="197"/>
        <v>IO2009-P-4100.CFE</v>
      </c>
      <c r="CL110" s="17"/>
    </row>
    <row r="111" spans="2:90">
      <c r="B111" t="s">
        <v>147</v>
      </c>
      <c r="AB111" s="17" t="s">
        <v>219</v>
      </c>
      <c r="CB111" s="17" t="s">
        <v>260</v>
      </c>
      <c r="CC111" s="123"/>
      <c r="CD111" s="17" t="s">
        <v>219</v>
      </c>
      <c r="CE111" s="138" t="str">
        <f>IF([1]!w_info_callput(CD111)="认购","C","P")</f>
        <v>P</v>
      </c>
      <c r="CF111" s="139">
        <f>[1]!w_info_strikeprice(CD111,"")</f>
        <v>4.2</v>
      </c>
      <c r="CG111" s="140" t="str">
        <f>[1]!w_info_lasttradingdate(CD111)</f>
        <v>2020-09-23</v>
      </c>
      <c r="CH111" s="55" t="str">
        <f t="shared" si="196"/>
        <v>IO2009-P-4200.CFE</v>
      </c>
      <c r="CI111" s="55" t="str">
        <f t="shared" si="197"/>
        <v>IO2009-P-4200.CFE</v>
      </c>
      <c r="CL111" s="17"/>
    </row>
    <row r="112" spans="2:90">
      <c r="B112" t="s">
        <v>148</v>
      </c>
      <c r="AB112" s="17" t="s">
        <v>220</v>
      </c>
      <c r="CB112" s="17" t="s">
        <v>261</v>
      </c>
      <c r="CC112" s="123"/>
      <c r="CD112" s="17" t="s">
        <v>220</v>
      </c>
      <c r="CE112" s="138" t="str">
        <f>IF([1]!w_info_callput(CD112)="认购","C","P")</f>
        <v>P</v>
      </c>
      <c r="CF112" s="139">
        <f>[1]!w_info_strikeprice(CD112,"")</f>
        <v>4.3</v>
      </c>
      <c r="CG112" s="140" t="str">
        <f>[1]!w_info_lasttradingdate(CD112)</f>
        <v>2020-09-23</v>
      </c>
      <c r="CH112" s="55" t="str">
        <f t="shared" si="196"/>
        <v>IO2009-P-4300.CFE</v>
      </c>
      <c r="CI112" s="55" t="str">
        <f t="shared" si="197"/>
        <v>IO2009-P-4300.CFE</v>
      </c>
      <c r="CL112" s="17"/>
    </row>
    <row r="113" spans="2:90">
      <c r="B113" t="s">
        <v>149</v>
      </c>
      <c r="AB113" s="17" t="s">
        <v>221</v>
      </c>
      <c r="CB113" s="17" t="s">
        <v>262</v>
      </c>
      <c r="CC113" s="123"/>
      <c r="CD113" s="17" t="s">
        <v>221</v>
      </c>
      <c r="CE113" s="138" t="str">
        <f>IF([1]!w_info_callput(CD113)="认购","C","P")</f>
        <v>P</v>
      </c>
      <c r="CF113" s="139">
        <f>[1]!w_info_strikeprice(CD113,"")</f>
        <v>4.4000000000000004</v>
      </c>
      <c r="CG113" s="140" t="str">
        <f>[1]!w_info_lasttradingdate(CD113)</f>
        <v>2020-09-23</v>
      </c>
      <c r="CH113" s="55" t="str">
        <f t="shared" si="196"/>
        <v>IO2009-P-4400.CFE</v>
      </c>
      <c r="CI113" s="55" t="str">
        <f t="shared" si="197"/>
        <v>IO2009-P-4400.CFE</v>
      </c>
      <c r="CL113" s="17"/>
    </row>
    <row r="114" spans="2:90">
      <c r="B114" t="s">
        <v>150</v>
      </c>
      <c r="AB114" s="17" t="s">
        <v>222</v>
      </c>
      <c r="CB114" s="17" t="s">
        <v>263</v>
      </c>
      <c r="CC114" s="123"/>
      <c r="CD114" s="17" t="s">
        <v>222</v>
      </c>
      <c r="CE114" s="138" t="str">
        <f>IF([1]!w_info_callput(CD114)="认购","C","P")</f>
        <v>P</v>
      </c>
      <c r="CF114" s="139">
        <f>[1]!w_info_strikeprice(CD114,"")</f>
        <v>4.5</v>
      </c>
      <c r="CG114" s="140" t="str">
        <f>[1]!w_info_lasttradingdate(CD114)</f>
        <v>2020-09-23</v>
      </c>
      <c r="CH114" s="55" t="str">
        <f t="shared" si="196"/>
        <v>IO2009-P-4500.CFE</v>
      </c>
      <c r="CI114" s="55" t="str">
        <f t="shared" si="197"/>
        <v>IO2009-P-4500.CFE</v>
      </c>
      <c r="CL114" s="17"/>
    </row>
    <row r="115" spans="2:90">
      <c r="B115" t="s">
        <v>151</v>
      </c>
      <c r="AB115" s="17" t="s">
        <v>393</v>
      </c>
      <c r="CB115" s="17" t="s">
        <v>264</v>
      </c>
      <c r="CC115" s="123"/>
      <c r="CD115" s="17" t="s">
        <v>393</v>
      </c>
      <c r="CE115" s="138" t="str">
        <f>IF([1]!w_info_callput(CD115)="认购","C","P")</f>
        <v>P</v>
      </c>
      <c r="CF115" s="139">
        <f>[1]!w_info_strikeprice(CD115,"")</f>
        <v>4.5999999999999996</v>
      </c>
      <c r="CG115" s="140" t="str">
        <f>[1]!w_info_lasttradingdate(CD115)</f>
        <v>2020-09-23</v>
      </c>
      <c r="CH115" s="55" t="str">
        <f t="shared" si="196"/>
        <v>IO2009-P-4600.CFE</v>
      </c>
      <c r="CI115" s="55" t="str">
        <f t="shared" si="197"/>
        <v>IO2009-P-4600.CFE</v>
      </c>
      <c r="CL115" s="17"/>
    </row>
    <row r="116" spans="2:90">
      <c r="CB116" s="17" t="s">
        <v>265</v>
      </c>
      <c r="CC116" s="123"/>
      <c r="CD116" s="17"/>
      <c r="CE116" s="138"/>
      <c r="CF116" s="139"/>
      <c r="CG116" s="140"/>
      <c r="CH116" s="55"/>
      <c r="CI116" s="55"/>
      <c r="CL116" s="17"/>
    </row>
    <row r="117" spans="2:90">
      <c r="CB117" s="17" t="s">
        <v>266</v>
      </c>
      <c r="CC117" s="123"/>
      <c r="CD117" s="17"/>
      <c r="CE117" s="138"/>
      <c r="CF117" s="139"/>
      <c r="CG117" s="140"/>
      <c r="CH117" s="55"/>
      <c r="CI117" s="55"/>
      <c r="CL117" s="17"/>
    </row>
    <row r="118" spans="2:90">
      <c r="CB118" s="17" t="s">
        <v>267</v>
      </c>
      <c r="CC118" s="123"/>
      <c r="CD118" s="17"/>
      <c r="CE118" s="138"/>
      <c r="CF118" s="139"/>
      <c r="CG118" s="140"/>
      <c r="CH118" s="55"/>
      <c r="CI118" s="55"/>
      <c r="CL118" s="17"/>
    </row>
    <row r="119" spans="2:90">
      <c r="CB119" s="17" t="s">
        <v>268</v>
      </c>
      <c r="CC119" s="123"/>
      <c r="CD119" s="17"/>
      <c r="CE119" s="138"/>
      <c r="CF119" s="139"/>
      <c r="CG119" s="140"/>
      <c r="CH119" s="55"/>
      <c r="CI119" s="55"/>
      <c r="CL119" s="17"/>
    </row>
    <row r="120" spans="2:90">
      <c r="CB120" s="17" t="s">
        <v>269</v>
      </c>
      <c r="CC120" s="123"/>
      <c r="CE120" s="29"/>
      <c r="CF120" s="4"/>
      <c r="CG120" s="18"/>
      <c r="CL120" s="17"/>
    </row>
    <row r="121" spans="2:90">
      <c r="CB121" s="17" t="s">
        <v>270</v>
      </c>
      <c r="CC121" s="123"/>
      <c r="CE121" s="29"/>
      <c r="CF121" s="4"/>
      <c r="CG121" s="18"/>
      <c r="CL121" s="17"/>
    </row>
    <row r="122" spans="2:90">
      <c r="CB122" s="17" t="s">
        <v>271</v>
      </c>
      <c r="CC122" s="123"/>
      <c r="CE122" s="29"/>
      <c r="CF122" s="4"/>
      <c r="CG122" s="18"/>
      <c r="CL122" s="17"/>
    </row>
    <row r="123" spans="2:90">
      <c r="CB123" s="17" t="s">
        <v>272</v>
      </c>
      <c r="CC123" s="123"/>
      <c r="CE123" s="29"/>
      <c r="CF123" s="4"/>
      <c r="CG123" s="18"/>
      <c r="CL123" s="17"/>
    </row>
    <row r="124" spans="2:90">
      <c r="CB124" s="17" t="s">
        <v>273</v>
      </c>
      <c r="CC124" s="123"/>
      <c r="CE124" s="29"/>
      <c r="CF124" s="4"/>
      <c r="CG124" s="18"/>
      <c r="CL124" s="17"/>
    </row>
    <row r="125" spans="2:90">
      <c r="CB125" s="17" t="s">
        <v>274</v>
      </c>
      <c r="CC125" s="123"/>
      <c r="CE125" s="29"/>
      <c r="CF125" s="4"/>
      <c r="CG125" s="18"/>
      <c r="CL125" s="17"/>
    </row>
    <row r="126" spans="2:90">
      <c r="CB126" s="17" t="s">
        <v>275</v>
      </c>
      <c r="CC126" s="123"/>
      <c r="CE126" s="29"/>
      <c r="CF126" s="4"/>
      <c r="CG126" s="18"/>
      <c r="CL126" s="17"/>
    </row>
    <row r="127" spans="2:90">
      <c r="CB127" s="17" t="s">
        <v>276</v>
      </c>
      <c r="CC127" s="123"/>
      <c r="CE127" s="29"/>
      <c r="CF127" s="4"/>
      <c r="CG127" s="18"/>
      <c r="CL127" s="17"/>
    </row>
    <row r="128" spans="2:90">
      <c r="CB128" s="17" t="s">
        <v>277</v>
      </c>
      <c r="CC128" s="123"/>
      <c r="CE128" s="29"/>
      <c r="CF128" s="4"/>
      <c r="CG128" s="18"/>
      <c r="CL128" s="17"/>
    </row>
    <row r="129" spans="80:90">
      <c r="CB129" s="17" t="s">
        <v>345</v>
      </c>
      <c r="CC129" s="123"/>
      <c r="CE129" s="29"/>
      <c r="CF129" s="4"/>
      <c r="CG129" s="18"/>
      <c r="CL129" s="17"/>
    </row>
    <row r="130" spans="80:90">
      <c r="CB130" s="17" t="s">
        <v>433</v>
      </c>
      <c r="CC130" s="123"/>
      <c r="CE130" s="29"/>
      <c r="CF130" s="4"/>
      <c r="CG130" s="18"/>
      <c r="CL130" s="17"/>
    </row>
    <row r="131" spans="80:90">
      <c r="CB131" s="17" t="s">
        <v>346</v>
      </c>
      <c r="CC131" s="123"/>
      <c r="CE131" s="29"/>
      <c r="CF131" s="4"/>
      <c r="CG131" s="18"/>
      <c r="CL131" s="17"/>
    </row>
    <row r="132" spans="80:90">
      <c r="CB132" s="17" t="s">
        <v>347</v>
      </c>
      <c r="CC132" s="123"/>
      <c r="CE132" s="29"/>
      <c r="CF132" s="4"/>
      <c r="CG132" s="18"/>
      <c r="CL132" s="17"/>
    </row>
    <row r="133" spans="80:90">
      <c r="CB133" s="17" t="s">
        <v>93</v>
      </c>
      <c r="CC133" s="123"/>
      <c r="CE133" s="29"/>
      <c r="CF133" s="4"/>
      <c r="CG133" s="18"/>
      <c r="CL133" s="17"/>
    </row>
    <row r="134" spans="80:90">
      <c r="CB134" s="17" t="s">
        <v>348</v>
      </c>
      <c r="CC134" s="123"/>
      <c r="CE134" s="29"/>
      <c r="CF134" s="4"/>
      <c r="CG134" s="18"/>
      <c r="CL134" s="17"/>
    </row>
    <row r="135" spans="80:90">
      <c r="CB135" s="17" t="s">
        <v>94</v>
      </c>
      <c r="CC135" s="123"/>
      <c r="CE135" s="29"/>
      <c r="CF135" s="4"/>
      <c r="CG135" s="18"/>
      <c r="CL135" s="17"/>
    </row>
    <row r="136" spans="80:90">
      <c r="CB136" s="17" t="s">
        <v>349</v>
      </c>
      <c r="CC136" s="123"/>
      <c r="CE136" s="29"/>
      <c r="CF136" s="4"/>
      <c r="CG136" s="18"/>
      <c r="CL136" s="17"/>
    </row>
    <row r="137" spans="80:90">
      <c r="CB137" s="17" t="s">
        <v>95</v>
      </c>
      <c r="CC137" s="123"/>
      <c r="CE137" s="29"/>
      <c r="CF137" s="4"/>
      <c r="CG137" s="18"/>
      <c r="CL137" s="17"/>
    </row>
    <row r="138" spans="80:90">
      <c r="CB138" s="17" t="s">
        <v>350</v>
      </c>
      <c r="CC138" s="123"/>
      <c r="CE138" s="29"/>
      <c r="CF138" s="4"/>
      <c r="CG138" s="18"/>
      <c r="CL138" s="17"/>
    </row>
    <row r="139" spans="80:90">
      <c r="CB139" s="17" t="s">
        <v>96</v>
      </c>
      <c r="CC139" s="123"/>
      <c r="CE139" s="29"/>
      <c r="CF139" s="4"/>
      <c r="CG139" s="18"/>
      <c r="CL139" s="17"/>
    </row>
    <row r="140" spans="80:90">
      <c r="CB140" s="17" t="s">
        <v>351</v>
      </c>
      <c r="CC140" s="123"/>
      <c r="CE140" s="29"/>
      <c r="CF140" s="4"/>
      <c r="CG140" s="18"/>
      <c r="CL140" s="17"/>
    </row>
    <row r="141" spans="80:90">
      <c r="CB141" s="17" t="s">
        <v>97</v>
      </c>
      <c r="CC141" s="123"/>
      <c r="CE141" s="29"/>
      <c r="CF141" s="4"/>
      <c r="CG141" s="18"/>
      <c r="CL141" s="17"/>
    </row>
    <row r="142" spans="80:90">
      <c r="CB142" s="17" t="s">
        <v>352</v>
      </c>
      <c r="CC142" s="123"/>
      <c r="CE142" s="29"/>
      <c r="CF142" s="4"/>
      <c r="CG142" s="18"/>
      <c r="CL142" s="17"/>
    </row>
    <row r="143" spans="80:90">
      <c r="CB143" s="17" t="s">
        <v>98</v>
      </c>
      <c r="CC143" s="123"/>
      <c r="CE143" s="29"/>
      <c r="CF143" s="4"/>
      <c r="CG143" s="18"/>
      <c r="CL143" s="17"/>
    </row>
    <row r="144" spans="80:90">
      <c r="CB144" s="17" t="s">
        <v>353</v>
      </c>
      <c r="CC144" s="123"/>
      <c r="CE144" s="29"/>
      <c r="CF144" s="4"/>
      <c r="CG144" s="18"/>
      <c r="CL144" s="17"/>
    </row>
    <row r="145" spans="80:90">
      <c r="CB145" s="17" t="s">
        <v>99</v>
      </c>
      <c r="CC145" s="123"/>
      <c r="CE145" s="29"/>
      <c r="CF145" s="4"/>
      <c r="CG145" s="18"/>
      <c r="CL145" s="17"/>
    </row>
    <row r="146" spans="80:90">
      <c r="CB146" s="17" t="s">
        <v>354</v>
      </c>
      <c r="CC146" s="123"/>
      <c r="CE146" s="29"/>
      <c r="CF146" s="4"/>
      <c r="CG146" s="18"/>
      <c r="CL146" s="17"/>
    </row>
    <row r="147" spans="80:90">
      <c r="CB147" s="17" t="s">
        <v>100</v>
      </c>
      <c r="CC147" s="123"/>
      <c r="CE147" s="29"/>
      <c r="CF147" s="4"/>
      <c r="CG147" s="18"/>
      <c r="CL147" s="17"/>
    </row>
    <row r="148" spans="80:90">
      <c r="CB148" s="17" t="s">
        <v>355</v>
      </c>
      <c r="CC148" s="123"/>
      <c r="CE148" s="29"/>
      <c r="CF148" s="4"/>
      <c r="CG148" s="18"/>
      <c r="CL148" s="17"/>
    </row>
    <row r="149" spans="80:90">
      <c r="CB149" s="17" t="s">
        <v>101</v>
      </c>
      <c r="CC149" s="123"/>
      <c r="CE149" s="29"/>
      <c r="CF149" s="4"/>
      <c r="CG149" s="18"/>
      <c r="CL149" s="17"/>
    </row>
    <row r="150" spans="80:90">
      <c r="CB150" s="17" t="s">
        <v>102</v>
      </c>
      <c r="CC150" s="123"/>
      <c r="CE150" s="29"/>
      <c r="CF150" s="4"/>
      <c r="CG150" s="18"/>
      <c r="CL150" s="17"/>
    </row>
    <row r="151" spans="80:90">
      <c r="CB151" s="17" t="s">
        <v>103</v>
      </c>
      <c r="CC151" s="123"/>
      <c r="CE151" s="29"/>
      <c r="CF151" s="4"/>
      <c r="CG151" s="18"/>
      <c r="CL151" s="17"/>
    </row>
    <row r="152" spans="80:90">
      <c r="CB152" s="17" t="s">
        <v>104</v>
      </c>
      <c r="CC152" s="123"/>
      <c r="CE152" s="29"/>
      <c r="CF152" s="4"/>
      <c r="CG152" s="18"/>
      <c r="CL152" s="17"/>
    </row>
    <row r="153" spans="80:90">
      <c r="CB153" s="17" t="s">
        <v>105</v>
      </c>
      <c r="CC153" s="123"/>
      <c r="CE153" s="29"/>
      <c r="CF153" s="4"/>
      <c r="CG153" s="18"/>
      <c r="CL153" s="17"/>
    </row>
    <row r="154" spans="80:90">
      <c r="CB154" s="17" t="s">
        <v>106</v>
      </c>
      <c r="CC154" s="123"/>
      <c r="CE154" s="29"/>
      <c r="CF154" s="4"/>
      <c r="CG154" s="18"/>
      <c r="CL154" s="17"/>
    </row>
    <row r="155" spans="80:90">
      <c r="CB155" s="17" t="s">
        <v>107</v>
      </c>
      <c r="CC155" s="123"/>
      <c r="CE155" s="29"/>
      <c r="CF155" s="4"/>
      <c r="CG155" s="18"/>
      <c r="CL155" s="17"/>
    </row>
    <row r="156" spans="80:90">
      <c r="CB156" s="17" t="s">
        <v>434</v>
      </c>
      <c r="CC156" s="123"/>
      <c r="CE156" s="29"/>
      <c r="CF156" s="4"/>
      <c r="CG156" s="18"/>
      <c r="CL156" s="17"/>
    </row>
    <row r="157" spans="80:90">
      <c r="CB157" s="17" t="s">
        <v>356</v>
      </c>
      <c r="CC157" s="123"/>
      <c r="CE157" s="29"/>
      <c r="CF157" s="4"/>
      <c r="CG157" s="18"/>
      <c r="CL157" s="17"/>
    </row>
    <row r="158" spans="80:90">
      <c r="CB158" s="17" t="s">
        <v>357</v>
      </c>
      <c r="CC158" s="123"/>
      <c r="CE158" s="29"/>
      <c r="CF158" s="4"/>
      <c r="CG158" s="18"/>
      <c r="CL158" s="17"/>
    </row>
    <row r="159" spans="80:90">
      <c r="CB159" s="17" t="s">
        <v>108</v>
      </c>
      <c r="CC159" s="123"/>
      <c r="CE159" s="29"/>
      <c r="CF159" s="4"/>
      <c r="CG159" s="18"/>
      <c r="CL159" s="17"/>
    </row>
    <row r="160" spans="80:90">
      <c r="CB160" s="17" t="s">
        <v>358</v>
      </c>
      <c r="CC160" s="123"/>
      <c r="CE160" s="29"/>
      <c r="CF160" s="4"/>
      <c r="CG160" s="18"/>
      <c r="CL160" s="17"/>
    </row>
    <row r="161" spans="80:90">
      <c r="CB161" s="17" t="s">
        <v>109</v>
      </c>
      <c r="CC161" s="123"/>
      <c r="CE161" s="29"/>
      <c r="CF161" s="4"/>
      <c r="CG161" s="18"/>
      <c r="CL161" s="17"/>
    </row>
    <row r="162" spans="80:90">
      <c r="CB162" s="17" t="s">
        <v>359</v>
      </c>
      <c r="CC162" s="123"/>
      <c r="CE162" s="29"/>
      <c r="CF162" s="4"/>
      <c r="CG162" s="18"/>
      <c r="CL162" s="17"/>
    </row>
    <row r="163" spans="80:90">
      <c r="CB163" s="17" t="s">
        <v>110</v>
      </c>
      <c r="CC163" s="123"/>
      <c r="CE163" s="29"/>
      <c r="CF163" s="4"/>
      <c r="CG163" s="18"/>
      <c r="CL163" s="17"/>
    </row>
    <row r="164" spans="80:90">
      <c r="CB164" s="17" t="s">
        <v>360</v>
      </c>
      <c r="CC164" s="123"/>
      <c r="CE164" s="29"/>
      <c r="CF164" s="4"/>
      <c r="CG164" s="18"/>
      <c r="CL164" s="17"/>
    </row>
    <row r="165" spans="80:90">
      <c r="CB165" s="17" t="s">
        <v>111</v>
      </c>
      <c r="CC165" s="123"/>
      <c r="CE165" s="29"/>
      <c r="CF165" s="4"/>
      <c r="CG165" s="18"/>
      <c r="CL165" s="17"/>
    </row>
    <row r="166" spans="80:90">
      <c r="CB166" s="17" t="s">
        <v>361</v>
      </c>
      <c r="CC166" s="123"/>
      <c r="CE166" s="29"/>
      <c r="CF166" s="4"/>
      <c r="CG166" s="18"/>
      <c r="CL166" s="17"/>
    </row>
    <row r="167" spans="80:90">
      <c r="CB167" s="17" t="s">
        <v>112</v>
      </c>
      <c r="CC167" s="123"/>
      <c r="CE167" s="29"/>
      <c r="CF167" s="4"/>
      <c r="CG167" s="18"/>
      <c r="CL167" s="17"/>
    </row>
    <row r="168" spans="80:90">
      <c r="CB168" s="17" t="s">
        <v>362</v>
      </c>
      <c r="CC168" s="123"/>
      <c r="CE168" s="29"/>
      <c r="CF168" s="4"/>
      <c r="CG168" s="18"/>
      <c r="CL168" s="17"/>
    </row>
    <row r="169" spans="80:90">
      <c r="CB169" s="17" t="s">
        <v>113</v>
      </c>
      <c r="CC169" s="123"/>
      <c r="CE169" s="29"/>
      <c r="CF169" s="4"/>
      <c r="CG169" s="18"/>
      <c r="CL169" s="17"/>
    </row>
    <row r="170" spans="80:90">
      <c r="CB170" s="17" t="s">
        <v>363</v>
      </c>
      <c r="CC170" s="123"/>
      <c r="CE170" s="29"/>
      <c r="CF170" s="4"/>
      <c r="CG170" s="18"/>
      <c r="CL170" s="17"/>
    </row>
    <row r="171" spans="80:90">
      <c r="CB171" s="17" t="s">
        <v>114</v>
      </c>
      <c r="CC171" s="123"/>
      <c r="CE171" s="29"/>
      <c r="CF171" s="4"/>
      <c r="CG171" s="18"/>
      <c r="CL171" s="17"/>
    </row>
    <row r="172" spans="80:90">
      <c r="CB172" s="17" t="s">
        <v>364</v>
      </c>
      <c r="CC172" s="123"/>
      <c r="CE172" s="29"/>
      <c r="CF172" s="4"/>
      <c r="CG172" s="18"/>
      <c r="CL172" s="17"/>
    </row>
    <row r="173" spans="80:90">
      <c r="CB173" s="17" t="s">
        <v>115</v>
      </c>
      <c r="CC173" s="123"/>
      <c r="CE173" s="29"/>
      <c r="CF173" s="4"/>
      <c r="CG173" s="18"/>
      <c r="CL173" s="17"/>
    </row>
    <row r="174" spans="80:90">
      <c r="CB174" s="17" t="s">
        <v>365</v>
      </c>
      <c r="CC174" s="123"/>
      <c r="CE174" s="29"/>
      <c r="CF174" s="4"/>
      <c r="CG174" s="18"/>
      <c r="CL174" s="17"/>
    </row>
    <row r="175" spans="80:90">
      <c r="CB175" s="17" t="s">
        <v>116</v>
      </c>
      <c r="CC175" s="123"/>
      <c r="CE175" s="29"/>
      <c r="CF175" s="4"/>
      <c r="CG175" s="18"/>
      <c r="CL175" s="17"/>
    </row>
    <row r="176" spans="80:90">
      <c r="CB176" s="17" t="s">
        <v>117</v>
      </c>
      <c r="CC176" s="123"/>
      <c r="CE176" s="29"/>
      <c r="CF176" s="4"/>
      <c r="CG176" s="18"/>
      <c r="CL176" s="17"/>
    </row>
    <row r="177" spans="80:90">
      <c r="CB177" s="17" t="s">
        <v>118</v>
      </c>
      <c r="CC177" s="123"/>
      <c r="CE177" s="29"/>
      <c r="CF177" s="4"/>
      <c r="CG177" s="18"/>
      <c r="CL177" s="17"/>
    </row>
    <row r="178" spans="80:90">
      <c r="CB178" s="17" t="s">
        <v>119</v>
      </c>
      <c r="CC178" s="123"/>
      <c r="CE178" s="29"/>
      <c r="CF178" s="4"/>
      <c r="CG178" s="18"/>
      <c r="CL178" s="17"/>
    </row>
    <row r="179" spans="80:90">
      <c r="CB179" s="17" t="s">
        <v>120</v>
      </c>
      <c r="CC179" s="123"/>
      <c r="CE179" s="29"/>
      <c r="CF179" s="4"/>
      <c r="CG179" s="18"/>
      <c r="CL179" s="17"/>
    </row>
    <row r="180" spans="80:90">
      <c r="CB180" s="17" t="s">
        <v>121</v>
      </c>
      <c r="CC180" s="123"/>
      <c r="CE180" s="29"/>
      <c r="CF180" s="4"/>
      <c r="CG180" s="18"/>
      <c r="CL180" s="17"/>
    </row>
    <row r="181" spans="80:90">
      <c r="CB181" s="17" t="s">
        <v>122</v>
      </c>
      <c r="CC181" s="123"/>
      <c r="CE181" s="29"/>
      <c r="CF181" s="4"/>
      <c r="CG181" s="18"/>
      <c r="CL181" s="17"/>
    </row>
    <row r="182" spans="80:90">
      <c r="CB182" s="17" t="s">
        <v>435</v>
      </c>
      <c r="CC182" s="123"/>
      <c r="CE182" s="29"/>
      <c r="CF182" s="4"/>
      <c r="CG182" s="18"/>
      <c r="CL182" s="17"/>
    </row>
    <row r="183" spans="80:90">
      <c r="CB183" s="17" t="s">
        <v>366</v>
      </c>
      <c r="CC183" s="123"/>
      <c r="CE183" s="29"/>
      <c r="CF183" s="4"/>
      <c r="CG183" s="18"/>
      <c r="CL183" s="17"/>
    </row>
    <row r="184" spans="80:90">
      <c r="CB184" s="17" t="s">
        <v>123</v>
      </c>
      <c r="CC184" s="123"/>
      <c r="CE184" s="29"/>
      <c r="CF184" s="4"/>
      <c r="CG184" s="18"/>
      <c r="CL184" s="17"/>
    </row>
    <row r="185" spans="80:90">
      <c r="CB185" s="17" t="s">
        <v>124</v>
      </c>
      <c r="CC185" s="123"/>
      <c r="CE185" s="29"/>
      <c r="CF185" s="4"/>
      <c r="CG185" s="18"/>
      <c r="CL185" s="17"/>
    </row>
    <row r="186" spans="80:90">
      <c r="CB186" s="17" t="s">
        <v>125</v>
      </c>
      <c r="CC186" s="123"/>
      <c r="CE186" s="29"/>
      <c r="CF186" s="4"/>
      <c r="CG186" s="18"/>
      <c r="CL186" s="17"/>
    </row>
    <row r="187" spans="80:90">
      <c r="CB187" s="17" t="s">
        <v>126</v>
      </c>
      <c r="CC187" s="123"/>
      <c r="CE187" s="29"/>
      <c r="CF187" s="4"/>
      <c r="CG187" s="18"/>
      <c r="CL187" s="17"/>
    </row>
    <row r="188" spans="80:90">
      <c r="CB188" s="17" t="s">
        <v>127</v>
      </c>
      <c r="CC188" s="123"/>
      <c r="CE188" s="29"/>
      <c r="CF188" s="4"/>
      <c r="CG188" s="18"/>
      <c r="CL188" s="17"/>
    </row>
    <row r="189" spans="80:90">
      <c r="CB189" s="17" t="s">
        <v>128</v>
      </c>
      <c r="CC189" s="123"/>
      <c r="CE189" s="29"/>
      <c r="CF189" s="4"/>
      <c r="CG189" s="18"/>
      <c r="CL189" s="17"/>
    </row>
    <row r="190" spans="80:90">
      <c r="CB190" s="17" t="s">
        <v>129</v>
      </c>
      <c r="CC190" s="123"/>
      <c r="CE190" s="29"/>
      <c r="CF190" s="4"/>
      <c r="CG190" s="18"/>
      <c r="CL190" s="17"/>
    </row>
    <row r="191" spans="80:90">
      <c r="CB191" s="17" t="s">
        <v>130</v>
      </c>
      <c r="CC191" s="123"/>
      <c r="CE191" s="29"/>
      <c r="CF191" s="4"/>
      <c r="CG191" s="18"/>
      <c r="CL191" s="17"/>
    </row>
    <row r="192" spans="80:90">
      <c r="CB192" s="17" t="s">
        <v>131</v>
      </c>
      <c r="CC192" s="123"/>
      <c r="CE192" s="29"/>
      <c r="CF192" s="4"/>
      <c r="CG192" s="18"/>
      <c r="CL192" s="17"/>
    </row>
    <row r="193" spans="80:90">
      <c r="CB193" s="17" t="s">
        <v>132</v>
      </c>
      <c r="CC193" s="123"/>
      <c r="CE193" s="29"/>
      <c r="CF193" s="4"/>
      <c r="CG193" s="18"/>
      <c r="CL193" s="17"/>
    </row>
    <row r="194" spans="80:90">
      <c r="CB194" s="17" t="s">
        <v>133</v>
      </c>
      <c r="CC194" s="123"/>
      <c r="CE194" s="29"/>
      <c r="CF194" s="4"/>
      <c r="CG194" s="18"/>
      <c r="CL194" s="17"/>
    </row>
    <row r="195" spans="80:90">
      <c r="CB195" s="17" t="s">
        <v>134</v>
      </c>
      <c r="CC195" s="123"/>
      <c r="CE195" s="29"/>
      <c r="CF195" s="4"/>
      <c r="CG195" s="18"/>
      <c r="CL195" s="17"/>
    </row>
    <row r="196" spans="80:90">
      <c r="CB196" s="17" t="s">
        <v>135</v>
      </c>
      <c r="CC196" s="123"/>
      <c r="CE196" s="29"/>
      <c r="CF196" s="4"/>
      <c r="CG196" s="18"/>
      <c r="CL196" s="17"/>
    </row>
    <row r="197" spans="80:90">
      <c r="CB197" s="17" t="s">
        <v>136</v>
      </c>
      <c r="CC197" s="123"/>
      <c r="CE197" s="29"/>
      <c r="CF197" s="4"/>
      <c r="CG197" s="18"/>
      <c r="CL197" s="17"/>
    </row>
    <row r="198" spans="80:90">
      <c r="CB198" s="17" t="s">
        <v>137</v>
      </c>
      <c r="CC198" s="123"/>
      <c r="CE198" s="29"/>
      <c r="CF198" s="4"/>
      <c r="CG198" s="18"/>
      <c r="CL198" s="17"/>
    </row>
    <row r="199" spans="80:90">
      <c r="CB199" s="17" t="s">
        <v>436</v>
      </c>
      <c r="CC199" s="123"/>
      <c r="CE199" s="29"/>
      <c r="CF199" s="4"/>
      <c r="CG199" s="18"/>
      <c r="CL199" s="17"/>
    </row>
    <row r="200" spans="80:90">
      <c r="CB200" s="17" t="s">
        <v>367</v>
      </c>
      <c r="CC200" s="123"/>
      <c r="CE200" s="29"/>
      <c r="CF200" s="4"/>
      <c r="CG200" s="18"/>
      <c r="CL200" s="17"/>
    </row>
    <row r="201" spans="80:90">
      <c r="CB201" s="17" t="s">
        <v>138</v>
      </c>
      <c r="CC201" s="123"/>
      <c r="CE201" s="29"/>
      <c r="CF201" s="4"/>
      <c r="CG201" s="18"/>
      <c r="CL201" s="17"/>
    </row>
    <row r="202" spans="80:90">
      <c r="CB202" s="17" t="s">
        <v>139</v>
      </c>
      <c r="CC202" s="123"/>
      <c r="CE202" s="29"/>
      <c r="CF202" s="4"/>
      <c r="CG202" s="18"/>
      <c r="CL202" s="17"/>
    </row>
    <row r="203" spans="80:90">
      <c r="CB203" s="17" t="s">
        <v>140</v>
      </c>
      <c r="CC203" s="123"/>
      <c r="CE203" s="29"/>
      <c r="CF203" s="4"/>
      <c r="CG203" s="18"/>
      <c r="CL203" s="17"/>
    </row>
    <row r="204" spans="80:90">
      <c r="CB204" s="17" t="s">
        <v>141</v>
      </c>
      <c r="CC204" s="123"/>
      <c r="CE204" s="29"/>
      <c r="CF204" s="4"/>
      <c r="CG204" s="18"/>
      <c r="CL204" s="17"/>
    </row>
    <row r="205" spans="80:90">
      <c r="CB205" s="17" t="s">
        <v>142</v>
      </c>
      <c r="CC205" s="123"/>
      <c r="CE205" s="29"/>
      <c r="CF205" s="4"/>
      <c r="CG205" s="18"/>
      <c r="CL205" s="17"/>
    </row>
    <row r="206" spans="80:90">
      <c r="CB206" s="17" t="s">
        <v>143</v>
      </c>
      <c r="CC206" s="123"/>
      <c r="CE206" s="29"/>
      <c r="CF206" s="4"/>
      <c r="CG206" s="18"/>
      <c r="CL206" s="17"/>
    </row>
    <row r="207" spans="80:90">
      <c r="CB207" s="17" t="s">
        <v>144</v>
      </c>
      <c r="CC207" s="123"/>
      <c r="CE207" s="29"/>
      <c r="CF207" s="4"/>
      <c r="CG207" s="18"/>
      <c r="CL207" s="17"/>
    </row>
    <row r="208" spans="80:90">
      <c r="CB208" s="17" t="s">
        <v>145</v>
      </c>
      <c r="CC208" s="123"/>
      <c r="CE208" s="29"/>
      <c r="CF208" s="4"/>
      <c r="CG208" s="18"/>
      <c r="CL208" s="17"/>
    </row>
    <row r="209" spans="80:90">
      <c r="CB209" s="17" t="s">
        <v>146</v>
      </c>
      <c r="CC209" s="123"/>
      <c r="CE209" s="29"/>
      <c r="CF209" s="4"/>
      <c r="CG209" s="18"/>
      <c r="CL209" s="17"/>
    </row>
    <row r="210" spans="80:90">
      <c r="CB210" s="17" t="s">
        <v>147</v>
      </c>
      <c r="CC210" s="123"/>
      <c r="CE210" s="29"/>
      <c r="CF210" s="4"/>
      <c r="CG210" s="18"/>
      <c r="CL210" s="17"/>
    </row>
    <row r="211" spans="80:90">
      <c r="CB211" s="17" t="s">
        <v>148</v>
      </c>
      <c r="CC211" s="123"/>
      <c r="CE211" s="29"/>
      <c r="CF211" s="4"/>
      <c r="CG211" s="18"/>
      <c r="CL211" s="17"/>
    </row>
    <row r="212" spans="80:90">
      <c r="CB212" s="17" t="s">
        <v>149</v>
      </c>
      <c r="CC212" s="123"/>
      <c r="CE212" s="29"/>
      <c r="CF212" s="4"/>
      <c r="CG212" s="18"/>
      <c r="CL212" s="17"/>
    </row>
    <row r="213" spans="80:90">
      <c r="CB213" s="17" t="s">
        <v>150</v>
      </c>
      <c r="CC213" s="123"/>
      <c r="CE213" s="29"/>
      <c r="CF213" s="4"/>
      <c r="CG213" s="18"/>
      <c r="CL213" s="17"/>
    </row>
    <row r="214" spans="80:90">
      <c r="CB214" s="17" t="s">
        <v>151</v>
      </c>
      <c r="CC214" s="123"/>
      <c r="CE214" s="29"/>
      <c r="CF214" s="4"/>
      <c r="CG214" s="18"/>
      <c r="CL214" s="17"/>
    </row>
    <row r="215" spans="80:90">
      <c r="CB215" s="17" t="s">
        <v>152</v>
      </c>
      <c r="CC215" s="123"/>
      <c r="CE215" s="29"/>
      <c r="CF215" s="4"/>
      <c r="CG215" s="18"/>
      <c r="CL215" s="17"/>
    </row>
    <row r="216" spans="80:90">
      <c r="CB216" s="17" t="s">
        <v>437</v>
      </c>
      <c r="CC216" s="123"/>
      <c r="CE216" s="29"/>
      <c r="CF216" s="4"/>
      <c r="CG216" s="18"/>
      <c r="CL216" s="17"/>
    </row>
    <row r="217" spans="80:90">
      <c r="CB217" s="17" t="s">
        <v>368</v>
      </c>
      <c r="CC217" s="123"/>
      <c r="CE217" s="29"/>
      <c r="CF217" s="4"/>
      <c r="CG217" s="18"/>
      <c r="CL217" s="17"/>
    </row>
    <row r="218" spans="80:90">
      <c r="CB218" s="17" t="s">
        <v>153</v>
      </c>
      <c r="CC218" s="17"/>
      <c r="CE218" s="29"/>
      <c r="CF218" s="4"/>
      <c r="CG218" s="18"/>
      <c r="CL218" s="17"/>
    </row>
    <row r="219" spans="80:90">
      <c r="CB219" s="17" t="s">
        <v>154</v>
      </c>
      <c r="CC219" s="17"/>
      <c r="CE219" s="29"/>
      <c r="CF219" s="4"/>
      <c r="CG219" s="18"/>
      <c r="CL219" s="17"/>
    </row>
    <row r="220" spans="80:90">
      <c r="CB220" s="17" t="s">
        <v>155</v>
      </c>
      <c r="CL220" s="17"/>
    </row>
    <row r="221" spans="80:90">
      <c r="CB221" s="17" t="s">
        <v>156</v>
      </c>
      <c r="CL221" s="17"/>
    </row>
    <row r="222" spans="80:90">
      <c r="CB222" s="17" t="s">
        <v>157</v>
      </c>
      <c r="CL222" s="17"/>
    </row>
    <row r="223" spans="80:90">
      <c r="CB223" s="17" t="s">
        <v>158</v>
      </c>
      <c r="CL223" s="17"/>
    </row>
    <row r="224" spans="80:90">
      <c r="CB224" s="17" t="s">
        <v>159</v>
      </c>
      <c r="CL224" s="17"/>
    </row>
    <row r="225" spans="80:90">
      <c r="CB225" s="17" t="s">
        <v>160</v>
      </c>
      <c r="CL225" s="17"/>
    </row>
    <row r="226" spans="80:90">
      <c r="CB226" s="17" t="s">
        <v>161</v>
      </c>
      <c r="CL226" s="17"/>
    </row>
    <row r="227" spans="80:90">
      <c r="CB227" s="17" t="s">
        <v>162</v>
      </c>
      <c r="CL227" s="17"/>
    </row>
    <row r="228" spans="80:90">
      <c r="CB228" s="17" t="s">
        <v>163</v>
      </c>
      <c r="CL228" s="17"/>
    </row>
    <row r="229" spans="80:90">
      <c r="CB229" s="17" t="s">
        <v>164</v>
      </c>
      <c r="CL229" s="17"/>
    </row>
    <row r="230" spans="80:90">
      <c r="CB230" s="17" t="s">
        <v>165</v>
      </c>
      <c r="CL230" s="17"/>
    </row>
    <row r="231" spans="80:90">
      <c r="CB231" s="17" t="s">
        <v>166</v>
      </c>
      <c r="CL231" s="17"/>
    </row>
    <row r="232" spans="80:90">
      <c r="CB232" s="17" t="s">
        <v>167</v>
      </c>
    </row>
    <row r="233" spans="80:90">
      <c r="CB233" s="17" t="s">
        <v>438</v>
      </c>
    </row>
    <row r="234" spans="80:90">
      <c r="CB234" s="17" t="s">
        <v>369</v>
      </c>
    </row>
    <row r="235" spans="80:90">
      <c r="CB235" s="17" t="s">
        <v>168</v>
      </c>
    </row>
    <row r="236" spans="80:90">
      <c r="CB236" s="17" t="s">
        <v>169</v>
      </c>
    </row>
    <row r="237" spans="80:90">
      <c r="CB237" s="17" t="s">
        <v>170</v>
      </c>
    </row>
    <row r="238" spans="80:90">
      <c r="CB238" s="17" t="s">
        <v>171</v>
      </c>
    </row>
    <row r="239" spans="80:90">
      <c r="CB239" s="17" t="s">
        <v>172</v>
      </c>
    </row>
    <row r="240" spans="80:90">
      <c r="CB240" s="17" t="s">
        <v>173</v>
      </c>
    </row>
    <row r="241" spans="80:80">
      <c r="CB241" s="17" t="s">
        <v>174</v>
      </c>
    </row>
    <row r="242" spans="80:80">
      <c r="CB242" s="17" t="s">
        <v>175</v>
      </c>
    </row>
    <row r="243" spans="80:80">
      <c r="CB243" s="17" t="s">
        <v>176</v>
      </c>
    </row>
    <row r="244" spans="80:80">
      <c r="CB244" s="17" t="s">
        <v>177</v>
      </c>
    </row>
    <row r="245" spans="80:80">
      <c r="CB245" s="17" t="s">
        <v>178</v>
      </c>
    </row>
    <row r="246" spans="80:80">
      <c r="CB246" s="17" t="s">
        <v>179</v>
      </c>
    </row>
    <row r="247" spans="80:80">
      <c r="CB247" s="17" t="s">
        <v>180</v>
      </c>
    </row>
    <row r="248" spans="80:80">
      <c r="CB248" s="17" t="s">
        <v>181</v>
      </c>
    </row>
    <row r="249" spans="80:80">
      <c r="CB249" s="17" t="s">
        <v>182</v>
      </c>
    </row>
    <row r="250" spans="80:80">
      <c r="CB250" s="17" t="s">
        <v>439</v>
      </c>
    </row>
    <row r="251" spans="80:80">
      <c r="CB251" s="17" t="s">
        <v>370</v>
      </c>
    </row>
    <row r="252" spans="80:80">
      <c r="CB252" s="17" t="s">
        <v>371</v>
      </c>
    </row>
    <row r="253" spans="80:80">
      <c r="CB253" s="17" t="s">
        <v>372</v>
      </c>
    </row>
    <row r="254" spans="80:80">
      <c r="CB254" s="17" t="s">
        <v>373</v>
      </c>
    </row>
    <row r="255" spans="80:80">
      <c r="CB255" s="17" t="s">
        <v>374</v>
      </c>
    </row>
    <row r="256" spans="80:80">
      <c r="CB256" s="17" t="s">
        <v>375</v>
      </c>
    </row>
    <row r="257" spans="80:80">
      <c r="CB257" s="17" t="s">
        <v>376</v>
      </c>
    </row>
    <row r="258" spans="80:80">
      <c r="CB258" s="17" t="s">
        <v>377</v>
      </c>
    </row>
    <row r="259" spans="80:80">
      <c r="CB259" s="17" t="s">
        <v>378</v>
      </c>
    </row>
    <row r="260" spans="80:80">
      <c r="CB260" s="17" t="s">
        <v>379</v>
      </c>
    </row>
    <row r="261" spans="80:80">
      <c r="CB261" s="17" t="s">
        <v>440</v>
      </c>
    </row>
    <row r="262" spans="80:80">
      <c r="CB262" s="17" t="s">
        <v>380</v>
      </c>
    </row>
    <row r="263" spans="80:80">
      <c r="CB263" s="17" t="s">
        <v>381</v>
      </c>
    </row>
    <row r="264" spans="80:80">
      <c r="CB264" s="17" t="s">
        <v>382</v>
      </c>
    </row>
    <row r="265" spans="80:80">
      <c r="CB265" s="17" t="s">
        <v>383</v>
      </c>
    </row>
    <row r="266" spans="80:80">
      <c r="CB266" s="17" t="s">
        <v>384</v>
      </c>
    </row>
    <row r="267" spans="80:80">
      <c r="CB267" s="17" t="s">
        <v>385</v>
      </c>
    </row>
    <row r="268" spans="80:80">
      <c r="CB268" s="17" t="s">
        <v>386</v>
      </c>
    </row>
    <row r="269" spans="80:80">
      <c r="CB269" s="17" t="s">
        <v>387</v>
      </c>
    </row>
    <row r="270" spans="80:80">
      <c r="CB270" s="17" t="s">
        <v>388</v>
      </c>
    </row>
    <row r="271" spans="80:80">
      <c r="CB271" s="17" t="s">
        <v>389</v>
      </c>
    </row>
    <row r="272" spans="80:80">
      <c r="CB272" s="17" t="s">
        <v>374</v>
      </c>
    </row>
    <row r="273" spans="80:80">
      <c r="CB273" s="17" t="s">
        <v>375</v>
      </c>
    </row>
    <row r="274" spans="80:80">
      <c r="CB274" s="17" t="s">
        <v>376</v>
      </c>
    </row>
    <row r="275" spans="80:80">
      <c r="CB275" s="17" t="s">
        <v>377</v>
      </c>
    </row>
    <row r="276" spans="80:80">
      <c r="CB276" s="17" t="s">
        <v>378</v>
      </c>
    </row>
    <row r="277" spans="80:80">
      <c r="CB277" s="17" t="s">
        <v>379</v>
      </c>
    </row>
    <row r="278" spans="80:80">
      <c r="CB278" s="17" t="s">
        <v>380</v>
      </c>
    </row>
    <row r="279" spans="80:80">
      <c r="CB279" s="17" t="s">
        <v>381</v>
      </c>
    </row>
    <row r="280" spans="80:80">
      <c r="CB280" s="17" t="s">
        <v>382</v>
      </c>
    </row>
    <row r="281" spans="80:80">
      <c r="CB281" s="17" t="s">
        <v>383</v>
      </c>
    </row>
    <row r="282" spans="80:80">
      <c r="CB282" s="17" t="s">
        <v>384</v>
      </c>
    </row>
    <row r="283" spans="80:80">
      <c r="CB283" s="17" t="s">
        <v>385</v>
      </c>
    </row>
    <row r="284" spans="80:80">
      <c r="CB284" s="17" t="s">
        <v>386</v>
      </c>
    </row>
    <row r="285" spans="80:80">
      <c r="CB285" s="17" t="s">
        <v>387</v>
      </c>
    </row>
    <row r="286" spans="80:80">
      <c r="CB286" s="17" t="s">
        <v>388</v>
      </c>
    </row>
    <row r="287" spans="80:80">
      <c r="CB287" s="17" t="s">
        <v>389</v>
      </c>
    </row>
  </sheetData>
  <sortState ref="CD6:CI119">
    <sortCondition ref="CG6:CG119"/>
    <sortCondition ref="CE6:CE119"/>
    <sortCondition ref="CF6:CF119"/>
  </sortState>
  <mergeCells count="10">
    <mergeCell ref="B4:R4"/>
    <mergeCell ref="AB4:AR4"/>
    <mergeCell ref="BA1:BL1"/>
    <mergeCell ref="BN4:BQ4"/>
    <mergeCell ref="BR4:BU4"/>
    <mergeCell ref="BV4:BY4"/>
    <mergeCell ref="BA4:BD4"/>
    <mergeCell ref="BE4:BH4"/>
    <mergeCell ref="BI4:BL4"/>
    <mergeCell ref="BN1:BY1"/>
  </mergeCells>
  <phoneticPr fontId="2" type="noConversion"/>
  <conditionalFormatting sqref="BV2:BY2 BV96:BY1048576">
    <cfRule type="cellIs" dxfId="16" priority="53" operator="greaterThan">
      <formula>0.15</formula>
    </cfRule>
  </conditionalFormatting>
  <conditionalFormatting sqref="BI2:BL2 BI96:BL1048576">
    <cfRule type="cellIs" dxfId="15" priority="27" operator="greaterThan">
      <formula>0.15</formula>
    </cfRule>
  </conditionalFormatting>
  <conditionalFormatting sqref="BI6:BL59 BV6:BY59">
    <cfRule type="cellIs" dxfId="14" priority="29" operator="greaterThan">
      <formula>0.1</formula>
    </cfRule>
  </conditionalFormatting>
  <conditionalFormatting sqref="C1:C4 C96:C1048576 AC96:AC1048576 C6:C59 AC6:AC59">
    <cfRule type="cellIs" dxfId="13" priority="15" operator="equal">
      <formula>"C"</formula>
    </cfRule>
  </conditionalFormatting>
  <conditionalFormatting sqref="AC1:AC4">
    <cfRule type="cellIs" dxfId="12" priority="14" operator="equal">
      <formula>"C"</formula>
    </cfRule>
  </conditionalFormatting>
  <conditionalFormatting sqref="C60:C64 C69:C77">
    <cfRule type="cellIs" dxfId="11" priority="12" operator="equal">
      <formula>"C"</formula>
    </cfRule>
  </conditionalFormatting>
  <conditionalFormatting sqref="BI60:BL64 BV60:BY64 BV69:BY77 BI69:BL77">
    <cfRule type="cellIs" dxfId="10" priority="11" operator="greaterThan">
      <formula>0.1</formula>
    </cfRule>
  </conditionalFormatting>
  <conditionalFormatting sqref="AC60:AC64 AC69:AC77">
    <cfRule type="cellIs" dxfId="9" priority="10" operator="equal">
      <formula>"C"</formula>
    </cfRule>
  </conditionalFormatting>
  <conditionalFormatting sqref="C78:C81">
    <cfRule type="cellIs" dxfId="8" priority="9" operator="equal">
      <formula>"C"</formula>
    </cfRule>
  </conditionalFormatting>
  <conditionalFormatting sqref="BI78:BL81 BV78:BY81">
    <cfRule type="cellIs" dxfId="7" priority="8" operator="greaterThan">
      <formula>0.1</formula>
    </cfRule>
  </conditionalFormatting>
  <conditionalFormatting sqref="AC78:AC81">
    <cfRule type="cellIs" dxfId="6" priority="7" operator="equal">
      <formula>"C"</formula>
    </cfRule>
  </conditionalFormatting>
  <conditionalFormatting sqref="C82:C95">
    <cfRule type="cellIs" dxfId="5" priority="6" operator="equal">
      <formula>"C"</formula>
    </cfRule>
  </conditionalFormatting>
  <conditionalFormatting sqref="BI82:BL95 BV82:BY95">
    <cfRule type="cellIs" dxfId="4" priority="5" operator="greaterThan">
      <formula>0.1</formula>
    </cfRule>
  </conditionalFormatting>
  <conditionalFormatting sqref="AC82:AC95">
    <cfRule type="cellIs" dxfId="3" priority="4" operator="equal">
      <formula>"C"</formula>
    </cfRule>
  </conditionalFormatting>
  <conditionalFormatting sqref="C65:C68">
    <cfRule type="cellIs" dxfId="2" priority="3" operator="equal">
      <formula>"C"</formula>
    </cfRule>
  </conditionalFormatting>
  <conditionalFormatting sqref="BI65:BL68 BV65:BY68">
    <cfRule type="cellIs" dxfId="1" priority="2" operator="greaterThan">
      <formula>0.1</formula>
    </cfRule>
  </conditionalFormatting>
  <conditionalFormatting sqref="AC65:AC68">
    <cfRule type="cellIs" dxfId="0" priority="1" operator="equal">
      <formula>"C"</formula>
    </cfRule>
  </conditionalFormatting>
  <pageMargins left="0.7" right="0.7" top="0.75" bottom="0.75" header="0.3" footer="0.3"/>
  <pageSetup orientation="portrait" r:id="rId1"/>
  <ignoredErrors>
    <ignoredError sqref="H3 AH3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>
      <selection activeCell="I45" sqref="I45"/>
    </sheetView>
  </sheetViews>
  <sheetFormatPr defaultRowHeight="14.4"/>
  <sheetData/>
  <phoneticPr fontId="2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G4"/>
  <sheetViews>
    <sheetView workbookViewId="0">
      <selection activeCell="G13" sqref="G13"/>
    </sheetView>
  </sheetViews>
  <sheetFormatPr defaultRowHeight="14.4"/>
  <cols>
    <col min="7" max="7" width="9.5546875" bestFit="1" customWidth="1"/>
  </cols>
  <sheetData>
    <row r="4" spans="7:7">
      <c r="G4" s="109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2020-04-03T14:15:50Z</dcterms:modified>
</cp:coreProperties>
</file>